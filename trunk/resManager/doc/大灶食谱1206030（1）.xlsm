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8505" windowHeight="4230" tabRatio="829" activeTab="2"/>
  </bookViews>
  <sheets>
    <sheet name="一周菜单" sheetId="1" r:id="rId1"/>
    <sheet name="主食成本核算" sheetId="9" r:id="rId2"/>
    <sheet name="热菜成本核算" sheetId="2" r:id="rId3"/>
    <sheet name="凉菜成本核算" sheetId="5" r:id="rId4"/>
    <sheet name="小吃成本核算" sheetId="6" r:id="rId5"/>
    <sheet name="采购价格" sheetId="4" r:id="rId6"/>
    <sheet name="热菜投料" sheetId="8" r:id="rId7"/>
    <sheet name="小吃投料" sheetId="11" r:id="rId8"/>
    <sheet name="凉菜投料" sheetId="10" r:id="rId9"/>
  </sheets>
  <definedNames>
    <definedName name="_xlnm._FilterDatabase" localSheetId="5" hidden="1">采购价格!$A$1:$H$751</definedName>
    <definedName name="_xlnm._FilterDatabase" localSheetId="3" hidden="1">凉菜成本核算!$A$1:$X$6</definedName>
    <definedName name="_xlnm._FilterDatabase" localSheetId="8" hidden="1">凉菜投料!$B$3:$K$17</definedName>
    <definedName name="_xlnm._FilterDatabase" localSheetId="2" hidden="1">热菜成本核算!$A$1:$X$15</definedName>
    <definedName name="_xlnm._FilterDatabase" localSheetId="6" hidden="1">热菜投料!$B$3:$K$17</definedName>
    <definedName name="_xlnm._FilterDatabase" localSheetId="4" hidden="1">小吃成本核算!$A$1:$X$5</definedName>
    <definedName name="_xlnm._FilterDatabase" localSheetId="7" hidden="1">小吃投料!$B$3:$K$17</definedName>
    <definedName name="_xlnm._FilterDatabase" localSheetId="0" hidden="1">一周菜单!#REF!</definedName>
    <definedName name="_xlnm._FilterDatabase" localSheetId="1" hidden="1">主食成本核算!$A$1:$X$2</definedName>
    <definedName name="_xlnm.Print_Titles" localSheetId="0">一周菜单!$1:$2</definedName>
    <definedName name="Z_3AADC896_6B20_4F99_8402_796B8C297358_.wvu.Rows" localSheetId="0" hidden="1">一周菜单!#REF!</definedName>
    <definedName name="本周晚菜">一周菜单!$V$3:$V$18</definedName>
    <definedName name="本周午菜">一周菜单!$L$3:$L$18</definedName>
    <definedName name="成本单价">采购价格!$B$1:$I$7141</definedName>
    <definedName name="大灶毛利">0.1</definedName>
    <definedName name="凉菜定价">凉菜成本核算!$A$3:$X$447</definedName>
    <definedName name="凉菜价" localSheetId="3">凉菜成本核算!$A$3:$X$1516</definedName>
    <definedName name="凉菜毛利">0</definedName>
    <definedName name="凉菜物料">0</definedName>
    <definedName name="热菜核算">热菜成本核算!$A$3:$X$1618</definedName>
    <definedName name="物料比">0.05</definedName>
    <definedName name="小吃定价">小吃成本核算!$A$3:$X$478</definedName>
    <definedName name="小吃毛利">0.16</definedName>
    <definedName name="主食定价">主食成本核算!$A$3:$X$196</definedName>
  </definedNames>
  <calcPr calcId="145621"/>
  <customWorkbookViews>
    <customWorkbookView name="食堂专用 - 个人视图" guid="{3AADC896-6B20-4F99-8402-796B8C297358}" mergeInterval="0" personalView="1" maximized="1" xWindow="1" yWindow="1" windowWidth="1440" windowHeight="662" activeSheetId="2"/>
  </customWorkbookViews>
</workbook>
</file>

<file path=xl/calcChain.xml><?xml version="1.0" encoding="utf-8"?>
<calcChain xmlns="http://schemas.openxmlformats.org/spreadsheetml/2006/main">
  <c r="S13" i="2" l="1"/>
  <c r="S58" i="5" l="1"/>
  <c r="M74" i="1"/>
  <c r="S333" i="2"/>
  <c r="S332" i="2"/>
  <c r="C84" i="1" l="1"/>
  <c r="S127" i="9" l="1"/>
  <c r="C9" i="1"/>
  <c r="C10" i="1"/>
  <c r="C14" i="1"/>
  <c r="C20" i="1"/>
  <c r="C21" i="1"/>
  <c r="C24" i="1"/>
  <c r="C35" i="1"/>
  <c r="C36" i="1"/>
  <c r="C45" i="1"/>
  <c r="C46" i="1"/>
  <c r="C57" i="1"/>
  <c r="C58" i="1"/>
  <c r="C69" i="1"/>
  <c r="C70" i="1"/>
  <c r="C83" i="1"/>
  <c r="S308" i="2" l="1"/>
  <c r="S307" i="2"/>
  <c r="S123" i="9"/>
  <c r="S124" i="9"/>
  <c r="S125" i="9"/>
  <c r="S122" i="9"/>
  <c r="S120" i="9" l="1"/>
  <c r="S118" i="9"/>
  <c r="S119" i="9"/>
  <c r="S121" i="9"/>
  <c r="O111" i="9"/>
  <c r="P111" i="9" s="1"/>
  <c r="O112" i="9"/>
  <c r="P112" i="9" s="1"/>
  <c r="O114" i="9"/>
  <c r="P114" i="9" s="1"/>
  <c r="O115" i="9"/>
  <c r="P115" i="9" s="1"/>
  <c r="O117" i="9"/>
  <c r="P117" i="9" s="1"/>
  <c r="O118" i="9"/>
  <c r="P118" i="9" s="1"/>
  <c r="O120" i="9"/>
  <c r="P120" i="9" s="1"/>
  <c r="O127" i="9"/>
  <c r="P127" i="9" s="1"/>
  <c r="O128" i="9"/>
  <c r="P128" i="9" s="1"/>
  <c r="O130" i="9"/>
  <c r="P130" i="9" s="1"/>
  <c r="O131" i="9"/>
  <c r="P131" i="9" s="1"/>
  <c r="O132" i="9"/>
  <c r="P132" i="9" s="1"/>
  <c r="O133" i="9"/>
  <c r="P133" i="9" s="1"/>
  <c r="K111" i="9"/>
  <c r="K113" i="9"/>
  <c r="K115" i="9"/>
  <c r="K116" i="9"/>
  <c r="L116" i="9" s="1"/>
  <c r="K117" i="9"/>
  <c r="L117" i="9" s="1"/>
  <c r="K118" i="9"/>
  <c r="L118" i="9" s="1"/>
  <c r="K119" i="9"/>
  <c r="L119" i="9" s="1"/>
  <c r="K120" i="9"/>
  <c r="L120" i="9" s="1"/>
  <c r="K121" i="9"/>
  <c r="L121" i="9" s="1"/>
  <c r="K122" i="9"/>
  <c r="L122" i="9" s="1"/>
  <c r="K123" i="9"/>
  <c r="L123" i="9" s="1"/>
  <c r="K124" i="9"/>
  <c r="K125" i="9"/>
  <c r="K126" i="9"/>
  <c r="M115" i="9"/>
  <c r="N115" i="9" s="1"/>
  <c r="M117" i="9"/>
  <c r="N117" i="9" s="1"/>
  <c r="M120" i="9"/>
  <c r="N120" i="9" s="1"/>
  <c r="M121" i="9"/>
  <c r="N121" i="9" s="1"/>
  <c r="M127" i="9"/>
  <c r="N127" i="9" s="1"/>
  <c r="M130" i="9"/>
  <c r="N130" i="9" s="1"/>
  <c r="M131" i="9"/>
  <c r="N131" i="9" s="1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L115" i="9"/>
  <c r="T120" i="9" l="1"/>
  <c r="U120" i="9" s="1"/>
  <c r="V120" i="9" s="1"/>
  <c r="X120" i="9" s="1"/>
  <c r="C13" i="1" s="1"/>
  <c r="S116" i="9"/>
  <c r="S127" i="6" l="1"/>
  <c r="S126" i="6"/>
  <c r="S125" i="6"/>
  <c r="S124" i="6"/>
  <c r="S92" i="6"/>
  <c r="S134" i="2" l="1"/>
  <c r="S323" i="2"/>
  <c r="S321" i="2"/>
  <c r="S311" i="2"/>
  <c r="S310" i="2"/>
  <c r="S243" i="5" l="1"/>
  <c r="S121" i="6" l="1"/>
  <c r="S52" i="6"/>
  <c r="S51" i="6"/>
  <c r="W10" i="1" l="1"/>
  <c r="W11" i="1"/>
  <c r="W12" i="1"/>
  <c r="W13" i="1"/>
  <c r="W21" i="1"/>
  <c r="W22" i="1"/>
  <c r="W23" i="1"/>
  <c r="W24" i="1"/>
  <c r="W25" i="1"/>
  <c r="W26" i="1"/>
  <c r="W35" i="1"/>
  <c r="W36" i="1"/>
  <c r="W37" i="1"/>
  <c r="W38" i="1"/>
  <c r="W47" i="1"/>
  <c r="W48" i="1"/>
  <c r="W49" i="1"/>
  <c r="W50" i="1"/>
  <c r="W59" i="1"/>
  <c r="W60" i="1"/>
  <c r="W61" i="1"/>
  <c r="W62" i="1"/>
  <c r="W71" i="1"/>
  <c r="W72" i="1"/>
  <c r="W73" i="1"/>
  <c r="W74" i="1"/>
  <c r="W83" i="1"/>
  <c r="W84" i="1"/>
  <c r="W85" i="1"/>
  <c r="W86" i="1"/>
  <c r="U6" i="1"/>
  <c r="U7" i="1"/>
  <c r="U8" i="1"/>
  <c r="U9" i="1"/>
  <c r="U10" i="1"/>
  <c r="U11" i="1"/>
  <c r="U12" i="1"/>
  <c r="U13" i="1"/>
  <c r="U14" i="1"/>
  <c r="U18" i="1"/>
  <c r="U19" i="1"/>
  <c r="U20" i="1"/>
  <c r="U21" i="1"/>
  <c r="U22" i="1"/>
  <c r="U23" i="1"/>
  <c r="U24" i="1"/>
  <c r="U25" i="1"/>
  <c r="U26" i="1"/>
  <c r="U30" i="1"/>
  <c r="U31" i="1"/>
  <c r="U32" i="1"/>
  <c r="U33" i="1"/>
  <c r="U34" i="1"/>
  <c r="U35" i="1"/>
  <c r="U36" i="1"/>
  <c r="U37" i="1"/>
  <c r="U38" i="1"/>
  <c r="U42" i="1"/>
  <c r="U43" i="1"/>
  <c r="U44" i="1"/>
  <c r="U45" i="1"/>
  <c r="U46" i="1"/>
  <c r="U47" i="1"/>
  <c r="U48" i="1"/>
  <c r="U49" i="1"/>
  <c r="U50" i="1"/>
  <c r="U54" i="1"/>
  <c r="U55" i="1"/>
  <c r="U56" i="1"/>
  <c r="U57" i="1"/>
  <c r="U58" i="1"/>
  <c r="U59" i="1"/>
  <c r="U60" i="1"/>
  <c r="U61" i="1"/>
  <c r="U62" i="1"/>
  <c r="U66" i="1"/>
  <c r="U67" i="1"/>
  <c r="U68" i="1"/>
  <c r="U69" i="1"/>
  <c r="U70" i="1"/>
  <c r="U71" i="1"/>
  <c r="U72" i="1"/>
  <c r="U73" i="1"/>
  <c r="U74" i="1"/>
  <c r="U78" i="1"/>
  <c r="U79" i="1"/>
  <c r="U80" i="1"/>
  <c r="U81" i="1"/>
  <c r="U82" i="1"/>
  <c r="U83" i="1"/>
  <c r="U84" i="1"/>
  <c r="U85" i="1"/>
  <c r="U86" i="1"/>
  <c r="S8" i="1"/>
  <c r="S9" i="1"/>
  <c r="S10" i="1"/>
  <c r="S11" i="1"/>
  <c r="S12" i="1"/>
  <c r="S20" i="1"/>
  <c r="S21" i="1"/>
  <c r="S22" i="1"/>
  <c r="S23" i="1"/>
  <c r="S24" i="1"/>
  <c r="S25" i="1"/>
  <c r="S26" i="1"/>
  <c r="S36" i="1"/>
  <c r="S37" i="1"/>
  <c r="S38" i="1"/>
  <c r="S48" i="1"/>
  <c r="S49" i="1"/>
  <c r="S50" i="1"/>
  <c r="S60" i="1"/>
  <c r="S61" i="1"/>
  <c r="S62" i="1"/>
  <c r="S73" i="1"/>
  <c r="S74" i="1"/>
  <c r="S84" i="1"/>
  <c r="S85" i="1"/>
  <c r="S86" i="1"/>
  <c r="Q12" i="1"/>
  <c r="Q9" i="1"/>
  <c r="Q14" i="1"/>
  <c r="Q17" i="1"/>
  <c r="Q18" i="1"/>
  <c r="Q22" i="1"/>
  <c r="Q21" i="1"/>
  <c r="Q23" i="1"/>
  <c r="Q24" i="1"/>
  <c r="Q25" i="1"/>
  <c r="Q26" i="1"/>
  <c r="Q29" i="1"/>
  <c r="Q30" i="1"/>
  <c r="Q34" i="1"/>
  <c r="Q33" i="1"/>
  <c r="Q35" i="1"/>
  <c r="Q36" i="1"/>
  <c r="Q37" i="1"/>
  <c r="Q38" i="1"/>
  <c r="Q40" i="1"/>
  <c r="Q41" i="1"/>
  <c r="Q46" i="1"/>
  <c r="Q45" i="1"/>
  <c r="Q47" i="1"/>
  <c r="Q48" i="1"/>
  <c r="Q49" i="1"/>
  <c r="Q50" i="1"/>
  <c r="Q52" i="1"/>
  <c r="Q53" i="1"/>
  <c r="Q58" i="1"/>
  <c r="Q57" i="1"/>
  <c r="Q59" i="1"/>
  <c r="Q60" i="1"/>
  <c r="Q61" i="1"/>
  <c r="Q62" i="1"/>
  <c r="Q66" i="1"/>
  <c r="Q67" i="1"/>
  <c r="Q70" i="1"/>
  <c r="Q69" i="1"/>
  <c r="Q71" i="1"/>
  <c r="Q72" i="1"/>
  <c r="Q73" i="1"/>
  <c r="Q74" i="1"/>
  <c r="Q78" i="1"/>
  <c r="Q79" i="1"/>
  <c r="Q82" i="1"/>
  <c r="Q81" i="1"/>
  <c r="Q83" i="1"/>
  <c r="Q84" i="1"/>
  <c r="Q85" i="1"/>
  <c r="Q86" i="1"/>
  <c r="O6" i="1"/>
  <c r="O7" i="1"/>
  <c r="O8" i="1"/>
  <c r="O9" i="1"/>
  <c r="O10" i="1"/>
  <c r="O11" i="1"/>
  <c r="O12" i="1"/>
  <c r="O13" i="1"/>
  <c r="O14" i="1"/>
  <c r="O17" i="1"/>
  <c r="O18" i="1"/>
  <c r="O19" i="1"/>
  <c r="O20" i="1"/>
  <c r="O21" i="1"/>
  <c r="O22" i="1"/>
  <c r="O23" i="1"/>
  <c r="O24" i="1"/>
  <c r="O25" i="1"/>
  <c r="O26" i="1"/>
  <c r="O31" i="1"/>
  <c r="O32" i="1"/>
  <c r="O33" i="1"/>
  <c r="O34" i="1"/>
  <c r="O35" i="1"/>
  <c r="O36" i="1"/>
  <c r="O37" i="1"/>
  <c r="O38" i="1"/>
  <c r="O43" i="1"/>
  <c r="O44" i="1"/>
  <c r="O45" i="1"/>
  <c r="O46" i="1"/>
  <c r="O47" i="1"/>
  <c r="O48" i="1"/>
  <c r="O49" i="1"/>
  <c r="O50" i="1"/>
  <c r="O55" i="1"/>
  <c r="O56" i="1"/>
  <c r="O57" i="1"/>
  <c r="O58" i="1"/>
  <c r="O59" i="1"/>
  <c r="O60" i="1"/>
  <c r="O61" i="1"/>
  <c r="O62" i="1"/>
  <c r="O67" i="1"/>
  <c r="O68" i="1"/>
  <c r="O69" i="1"/>
  <c r="O70" i="1"/>
  <c r="O71" i="1"/>
  <c r="O72" i="1"/>
  <c r="O73" i="1"/>
  <c r="O74" i="1"/>
  <c r="O79" i="1"/>
  <c r="O80" i="1"/>
  <c r="O81" i="1"/>
  <c r="O82" i="1"/>
  <c r="O83" i="1"/>
  <c r="O84" i="1"/>
  <c r="O85" i="1"/>
  <c r="O86" i="1"/>
  <c r="M11" i="1"/>
  <c r="M12" i="1"/>
  <c r="M13" i="1"/>
  <c r="M14" i="1"/>
  <c r="M23" i="1"/>
  <c r="M24" i="1"/>
  <c r="M25" i="1"/>
  <c r="M26" i="1"/>
  <c r="M37" i="1"/>
  <c r="M38" i="1"/>
  <c r="M49" i="1"/>
  <c r="M50" i="1"/>
  <c r="M61" i="1"/>
  <c r="M62" i="1"/>
  <c r="M73" i="1"/>
  <c r="M85" i="1"/>
  <c r="M86" i="1"/>
  <c r="K9" i="1"/>
  <c r="K10" i="1"/>
  <c r="K11" i="1"/>
  <c r="K12" i="1"/>
  <c r="K13" i="1"/>
  <c r="K14" i="1"/>
  <c r="K21" i="1"/>
  <c r="K22" i="1"/>
  <c r="K23" i="1"/>
  <c r="K24" i="1"/>
  <c r="K25" i="1"/>
  <c r="K26" i="1"/>
  <c r="K33" i="1"/>
  <c r="K34" i="1"/>
  <c r="K35" i="1"/>
  <c r="K36" i="1"/>
  <c r="K37" i="1"/>
  <c r="K38" i="1"/>
  <c r="K44" i="1"/>
  <c r="K45" i="1"/>
  <c r="K46" i="1"/>
  <c r="K47" i="1"/>
  <c r="K48" i="1"/>
  <c r="K49" i="1"/>
  <c r="K50" i="1"/>
  <c r="K57" i="1"/>
  <c r="K58" i="1"/>
  <c r="K59" i="1"/>
  <c r="K60" i="1"/>
  <c r="K61" i="1"/>
  <c r="K62" i="1"/>
  <c r="K69" i="1"/>
  <c r="K70" i="1"/>
  <c r="K71" i="1"/>
  <c r="K72" i="1"/>
  <c r="K73" i="1"/>
  <c r="K74" i="1"/>
  <c r="K81" i="1"/>
  <c r="K82" i="1"/>
  <c r="K83" i="1"/>
  <c r="K84" i="1"/>
  <c r="K85" i="1"/>
  <c r="K86" i="1"/>
  <c r="I7" i="1"/>
  <c r="I10" i="1"/>
  <c r="I8" i="1"/>
  <c r="I11" i="1"/>
  <c r="I12" i="1"/>
  <c r="I13" i="1"/>
  <c r="I14" i="1"/>
  <c r="I18" i="1"/>
  <c r="I19" i="1"/>
  <c r="I23" i="1"/>
  <c r="I22" i="1"/>
  <c r="I24" i="1"/>
  <c r="I25" i="1"/>
  <c r="I26" i="1"/>
  <c r="I30" i="1"/>
  <c r="I31" i="1"/>
  <c r="I34" i="1"/>
  <c r="I33" i="1"/>
  <c r="I32" i="1"/>
  <c r="I36" i="1"/>
  <c r="I37" i="1"/>
  <c r="I38" i="1"/>
  <c r="I41" i="1"/>
  <c r="I42" i="1"/>
  <c r="I46" i="1"/>
  <c r="I45" i="1"/>
  <c r="I48" i="1"/>
  <c r="I49" i="1"/>
  <c r="I50" i="1"/>
  <c r="I53" i="1"/>
  <c r="I54" i="1"/>
  <c r="I58" i="1"/>
  <c r="I57" i="1"/>
  <c r="I60" i="1"/>
  <c r="I61" i="1"/>
  <c r="I62" i="1"/>
  <c r="I65" i="1"/>
  <c r="I66" i="1"/>
  <c r="I70" i="1"/>
  <c r="I69" i="1"/>
  <c r="I67" i="1"/>
  <c r="I72" i="1"/>
  <c r="I73" i="1"/>
  <c r="I74" i="1"/>
  <c r="I79" i="1"/>
  <c r="I80" i="1"/>
  <c r="I82" i="1"/>
  <c r="I81" i="1"/>
  <c r="I84" i="1"/>
  <c r="I85" i="1"/>
  <c r="I86" i="1"/>
  <c r="G11" i="1"/>
  <c r="G12" i="1"/>
  <c r="G13" i="1"/>
  <c r="G14" i="1"/>
  <c r="G22" i="1"/>
  <c r="G23" i="1"/>
  <c r="G24" i="1"/>
  <c r="G25" i="1"/>
  <c r="G26" i="1"/>
  <c r="G35" i="1"/>
  <c r="G36" i="1"/>
  <c r="G37" i="1"/>
  <c r="G38" i="1"/>
  <c r="G47" i="1"/>
  <c r="G48" i="1"/>
  <c r="G49" i="1"/>
  <c r="G50" i="1"/>
  <c r="G59" i="1"/>
  <c r="G60" i="1"/>
  <c r="G61" i="1"/>
  <c r="G62" i="1"/>
  <c r="G71" i="1"/>
  <c r="G72" i="1"/>
  <c r="G73" i="1"/>
  <c r="G74" i="1"/>
  <c r="G83" i="1"/>
  <c r="G84" i="1"/>
  <c r="G85" i="1"/>
  <c r="G86" i="1"/>
  <c r="E4" i="1"/>
  <c r="E5" i="1"/>
  <c r="E11" i="1"/>
  <c r="E12" i="1"/>
  <c r="E13" i="1"/>
  <c r="E14" i="1"/>
  <c r="E15" i="1"/>
  <c r="E16" i="1"/>
  <c r="E17" i="1"/>
  <c r="E23" i="1"/>
  <c r="E24" i="1"/>
  <c r="E25" i="1"/>
  <c r="E26" i="1"/>
  <c r="E27" i="1"/>
  <c r="E28" i="1"/>
  <c r="E29" i="1"/>
  <c r="E35" i="1"/>
  <c r="E36" i="1"/>
  <c r="E37" i="1"/>
  <c r="E38" i="1"/>
  <c r="E39" i="1"/>
  <c r="E40" i="1"/>
  <c r="E41" i="1"/>
  <c r="E47" i="1"/>
  <c r="E48" i="1"/>
  <c r="E49" i="1"/>
  <c r="E50" i="1"/>
  <c r="E51" i="1"/>
  <c r="E52" i="1"/>
  <c r="E53" i="1"/>
  <c r="E59" i="1"/>
  <c r="E60" i="1"/>
  <c r="E61" i="1"/>
  <c r="E62" i="1"/>
  <c r="E63" i="1"/>
  <c r="E64" i="1"/>
  <c r="E65" i="1"/>
  <c r="E71" i="1"/>
  <c r="E72" i="1"/>
  <c r="E73" i="1"/>
  <c r="E74" i="1"/>
  <c r="E75" i="1"/>
  <c r="E76" i="1"/>
  <c r="E77" i="1"/>
  <c r="E83" i="1"/>
  <c r="E84" i="1"/>
  <c r="E85" i="1"/>
  <c r="S241" i="5"/>
  <c r="S292" i="2"/>
  <c r="S289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90" i="2"/>
  <c r="S291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9" i="2"/>
  <c r="S312" i="2"/>
  <c r="S313" i="2"/>
  <c r="S314" i="2"/>
  <c r="S315" i="2"/>
  <c r="S316" i="2"/>
  <c r="S317" i="2"/>
  <c r="S318" i="2"/>
  <c r="S319" i="2"/>
  <c r="S320" i="2"/>
  <c r="S322" i="2"/>
  <c r="S324" i="2"/>
  <c r="S325" i="2"/>
  <c r="S326" i="2"/>
  <c r="S327" i="2"/>
  <c r="S328" i="2"/>
  <c r="S329" i="2"/>
  <c r="S330" i="2"/>
  <c r="S331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Q257" i="2"/>
  <c r="R257" i="2" s="1"/>
  <c r="Q258" i="2"/>
  <c r="R258" i="2" s="1"/>
  <c r="Q259" i="2"/>
  <c r="R259" i="2" s="1"/>
  <c r="Q260" i="2"/>
  <c r="R260" i="2" s="1"/>
  <c r="Q261" i="2"/>
  <c r="R261" i="2" s="1"/>
  <c r="Q262" i="2"/>
  <c r="R262" i="2" s="1"/>
  <c r="Q263" i="2"/>
  <c r="R263" i="2" s="1"/>
  <c r="Q264" i="2"/>
  <c r="R264" i="2" s="1"/>
  <c r="Q265" i="2"/>
  <c r="R265" i="2" s="1"/>
  <c r="Q266" i="2"/>
  <c r="R266" i="2" s="1"/>
  <c r="Q267" i="2"/>
  <c r="R267" i="2" s="1"/>
  <c r="Q268" i="2"/>
  <c r="R268" i="2" s="1"/>
  <c r="Q269" i="2"/>
  <c r="R269" i="2" s="1"/>
  <c r="Q270" i="2"/>
  <c r="R270" i="2" s="1"/>
  <c r="Q271" i="2"/>
  <c r="R271" i="2" s="1"/>
  <c r="Q272" i="2"/>
  <c r="R272" i="2" s="1"/>
  <c r="Q274" i="2"/>
  <c r="R274" i="2" s="1"/>
  <c r="Q276" i="2"/>
  <c r="R276" i="2" s="1"/>
  <c r="Q277" i="2"/>
  <c r="R277" i="2" s="1"/>
  <c r="Q278" i="2"/>
  <c r="R278" i="2" s="1"/>
  <c r="Q279" i="2"/>
  <c r="R279" i="2" s="1"/>
  <c r="Q280" i="2"/>
  <c r="R280" i="2" s="1"/>
  <c r="Q281" i="2"/>
  <c r="R281" i="2" s="1"/>
  <c r="Q282" i="2"/>
  <c r="R282" i="2" s="1"/>
  <c r="Q283" i="2"/>
  <c r="R283" i="2" s="1"/>
  <c r="Q284" i="2"/>
  <c r="R284" i="2" s="1"/>
  <c r="Q285" i="2"/>
  <c r="R285" i="2" s="1"/>
  <c r="Q286" i="2"/>
  <c r="R286" i="2" s="1"/>
  <c r="Q287" i="2"/>
  <c r="R287" i="2" s="1"/>
  <c r="Q288" i="2"/>
  <c r="R288" i="2" s="1"/>
  <c r="Q289" i="2"/>
  <c r="R289" i="2" s="1"/>
  <c r="Q290" i="2"/>
  <c r="R290" i="2" s="1"/>
  <c r="Q292" i="2"/>
  <c r="R292" i="2" s="1"/>
  <c r="Q293" i="2"/>
  <c r="R293" i="2" s="1"/>
  <c r="Q295" i="2"/>
  <c r="R295" i="2" s="1"/>
  <c r="Q296" i="2"/>
  <c r="R296" i="2" s="1"/>
  <c r="Q297" i="2"/>
  <c r="R297" i="2" s="1"/>
  <c r="Q300" i="2"/>
  <c r="R300" i="2" s="1"/>
  <c r="Q301" i="2"/>
  <c r="R301" i="2" s="1"/>
  <c r="Q302" i="2"/>
  <c r="R302" i="2" s="1"/>
  <c r="Q303" i="2"/>
  <c r="R303" i="2" s="1"/>
  <c r="Q304" i="2"/>
  <c r="R304" i="2" s="1"/>
  <c r="Q305" i="2"/>
  <c r="R305" i="2" s="1"/>
  <c r="Q306" i="2"/>
  <c r="R306" i="2" s="1"/>
  <c r="Q307" i="2"/>
  <c r="R307" i="2" s="1"/>
  <c r="Q308" i="2"/>
  <c r="R308" i="2" s="1"/>
  <c r="Q310" i="2"/>
  <c r="R310" i="2" s="1"/>
  <c r="Q311" i="2"/>
  <c r="R311" i="2" s="1"/>
  <c r="Q312" i="2"/>
  <c r="R312" i="2" s="1"/>
  <c r="Q313" i="2"/>
  <c r="R313" i="2" s="1"/>
  <c r="Q314" i="2"/>
  <c r="R314" i="2" s="1"/>
  <c r="Q315" i="2"/>
  <c r="R315" i="2" s="1"/>
  <c r="Q316" i="2"/>
  <c r="R316" i="2" s="1"/>
  <c r="Q317" i="2"/>
  <c r="R317" i="2" s="1"/>
  <c r="Q318" i="2"/>
  <c r="R318" i="2" s="1"/>
  <c r="Q319" i="2"/>
  <c r="R319" i="2" s="1"/>
  <c r="Q320" i="2"/>
  <c r="R320" i="2" s="1"/>
  <c r="Q321" i="2"/>
  <c r="R321" i="2" s="1"/>
  <c r="Q322" i="2"/>
  <c r="R322" i="2" s="1"/>
  <c r="Q323" i="2"/>
  <c r="R323" i="2" s="1"/>
  <c r="Q324" i="2"/>
  <c r="R324" i="2" s="1"/>
  <c r="Q325" i="2"/>
  <c r="R325" i="2" s="1"/>
  <c r="Q326" i="2"/>
  <c r="R326" i="2" s="1"/>
  <c r="Q327" i="2"/>
  <c r="R327" i="2" s="1"/>
  <c r="Q328" i="2"/>
  <c r="R328" i="2" s="1"/>
  <c r="Q329" i="2"/>
  <c r="R329" i="2" s="1"/>
  <c r="Q330" i="2"/>
  <c r="R330" i="2" s="1"/>
  <c r="Q331" i="2"/>
  <c r="R331" i="2" s="1"/>
  <c r="Q332" i="2"/>
  <c r="R332" i="2" s="1"/>
  <c r="Q333" i="2"/>
  <c r="R333" i="2" s="1"/>
  <c r="Q334" i="2"/>
  <c r="R334" i="2" s="1"/>
  <c r="Q335" i="2"/>
  <c r="R335" i="2" s="1"/>
  <c r="Q336" i="2"/>
  <c r="R336" i="2" s="1"/>
  <c r="Q337" i="2"/>
  <c r="R337" i="2" s="1"/>
  <c r="Q338" i="2"/>
  <c r="R338" i="2" s="1"/>
  <c r="Q339" i="2"/>
  <c r="R339" i="2" s="1"/>
  <c r="Q340" i="2"/>
  <c r="R340" i="2" s="1"/>
  <c r="Q341" i="2"/>
  <c r="R341" i="2" s="1"/>
  <c r="Q342" i="2"/>
  <c r="R342" i="2" s="1"/>
  <c r="Q343" i="2"/>
  <c r="R343" i="2" s="1"/>
  <c r="Q344" i="2"/>
  <c r="R344" i="2" s="1"/>
  <c r="Q345" i="2"/>
  <c r="R345" i="2" s="1"/>
  <c r="Q346" i="2"/>
  <c r="R346" i="2" s="1"/>
  <c r="Q347" i="2"/>
  <c r="R347" i="2" s="1"/>
  <c r="Q348" i="2"/>
  <c r="R348" i="2" s="1"/>
  <c r="Q349" i="2"/>
  <c r="R349" i="2" s="1"/>
  <c r="Q350" i="2"/>
  <c r="R350" i="2" s="1"/>
  <c r="Q351" i="2"/>
  <c r="R351" i="2" s="1"/>
  <c r="Q352" i="2"/>
  <c r="R352" i="2" s="1"/>
  <c r="Q353" i="2"/>
  <c r="R353" i="2" s="1"/>
  <c r="Q354" i="2"/>
  <c r="R354" i="2" s="1"/>
  <c r="Q355" i="2"/>
  <c r="R355" i="2" s="1"/>
  <c r="Q356" i="2"/>
  <c r="R356" i="2" s="1"/>
  <c r="Q357" i="2"/>
  <c r="R357" i="2" s="1"/>
  <c r="Q358" i="2"/>
  <c r="R358" i="2" s="1"/>
  <c r="Q359" i="2"/>
  <c r="R359" i="2" s="1"/>
  <c r="Q360" i="2"/>
  <c r="R360" i="2" s="1"/>
  <c r="Q361" i="2"/>
  <c r="R361" i="2" s="1"/>
  <c r="Q362" i="2"/>
  <c r="R362" i="2" s="1"/>
  <c r="Q363" i="2"/>
  <c r="R363" i="2" s="1"/>
  <c r="Q364" i="2"/>
  <c r="R364" i="2" s="1"/>
  <c r="Q365" i="2"/>
  <c r="R365" i="2" s="1"/>
  <c r="Q366" i="2"/>
  <c r="R366" i="2" s="1"/>
  <c r="Q367" i="2"/>
  <c r="R367" i="2" s="1"/>
  <c r="Q368" i="2"/>
  <c r="R368" i="2" s="1"/>
  <c r="Q369" i="2"/>
  <c r="R369" i="2" s="1"/>
  <c r="Q370" i="2"/>
  <c r="R370" i="2" s="1"/>
  <c r="Q371" i="2"/>
  <c r="R371" i="2" s="1"/>
  <c r="Q372" i="2"/>
  <c r="R372" i="2" s="1"/>
  <c r="Q373" i="2"/>
  <c r="R373" i="2" s="1"/>
  <c r="Q374" i="2"/>
  <c r="R374" i="2" s="1"/>
  <c r="Q375" i="2"/>
  <c r="R375" i="2" s="1"/>
  <c r="Q376" i="2"/>
  <c r="R376" i="2" s="1"/>
  <c r="Q377" i="2"/>
  <c r="R377" i="2" s="1"/>
  <c r="Q378" i="2"/>
  <c r="R378" i="2" s="1"/>
  <c r="Q379" i="2"/>
  <c r="R379" i="2" s="1"/>
  <c r="Q380" i="2"/>
  <c r="R380" i="2" s="1"/>
  <c r="Q381" i="2"/>
  <c r="R381" i="2" s="1"/>
  <c r="Q382" i="2"/>
  <c r="R382" i="2" s="1"/>
  <c r="Q383" i="2"/>
  <c r="R383" i="2" s="1"/>
  <c r="Q384" i="2"/>
  <c r="R384" i="2" s="1"/>
  <c r="Q385" i="2"/>
  <c r="R385" i="2" s="1"/>
  <c r="Q386" i="2"/>
  <c r="R386" i="2" s="1"/>
  <c r="Q387" i="2"/>
  <c r="R387" i="2" s="1"/>
  <c r="Q388" i="2"/>
  <c r="R388" i="2" s="1"/>
  <c r="Q389" i="2"/>
  <c r="R389" i="2" s="1"/>
  <c r="Q390" i="2"/>
  <c r="R390" i="2" s="1"/>
  <c r="Q391" i="2"/>
  <c r="R391" i="2" s="1"/>
  <c r="Q392" i="2"/>
  <c r="R392" i="2" s="1"/>
  <c r="Q393" i="2"/>
  <c r="R393" i="2" s="1"/>
  <c r="Q394" i="2"/>
  <c r="R394" i="2" s="1"/>
  <c r="Q395" i="2"/>
  <c r="R395" i="2" s="1"/>
  <c r="Q396" i="2"/>
  <c r="R396" i="2" s="1"/>
  <c r="Q397" i="2"/>
  <c r="R397" i="2" s="1"/>
  <c r="Q398" i="2"/>
  <c r="R398" i="2" s="1"/>
  <c r="Q399" i="2"/>
  <c r="R399" i="2" s="1"/>
  <c r="Q400" i="2"/>
  <c r="R400" i="2" s="1"/>
  <c r="Q401" i="2"/>
  <c r="R401" i="2" s="1"/>
  <c r="Q402" i="2"/>
  <c r="R402" i="2" s="1"/>
  <c r="Q403" i="2"/>
  <c r="R403" i="2" s="1"/>
  <c r="Q404" i="2"/>
  <c r="R404" i="2" s="1"/>
  <c r="Q405" i="2"/>
  <c r="R405" i="2" s="1"/>
  <c r="Q406" i="2"/>
  <c r="R406" i="2" s="1"/>
  <c r="Q407" i="2"/>
  <c r="R407" i="2" s="1"/>
  <c r="Q408" i="2"/>
  <c r="R408" i="2" s="1"/>
  <c r="Q409" i="2"/>
  <c r="R409" i="2" s="1"/>
  <c r="Q410" i="2"/>
  <c r="R410" i="2" s="1"/>
  <c r="Q411" i="2"/>
  <c r="R411" i="2" s="1"/>
  <c r="Q412" i="2"/>
  <c r="R412" i="2" s="1"/>
  <c r="Q413" i="2"/>
  <c r="R413" i="2" s="1"/>
  <c r="Q414" i="2"/>
  <c r="R414" i="2" s="1"/>
  <c r="Q415" i="2"/>
  <c r="R415" i="2" s="1"/>
  <c r="Q416" i="2"/>
  <c r="R416" i="2" s="1"/>
  <c r="Q417" i="2"/>
  <c r="R417" i="2" s="1"/>
  <c r="Q418" i="2"/>
  <c r="R418" i="2" s="1"/>
  <c r="Q419" i="2"/>
  <c r="R419" i="2" s="1"/>
  <c r="Q420" i="2"/>
  <c r="R420" i="2" s="1"/>
  <c r="Q421" i="2"/>
  <c r="R421" i="2" s="1"/>
  <c r="Q422" i="2"/>
  <c r="R422" i="2" s="1"/>
  <c r="Q423" i="2"/>
  <c r="R423" i="2" s="1"/>
  <c r="Q424" i="2"/>
  <c r="R424" i="2" s="1"/>
  <c r="Q425" i="2"/>
  <c r="R425" i="2" s="1"/>
  <c r="Q426" i="2"/>
  <c r="R426" i="2" s="1"/>
  <c r="Q427" i="2"/>
  <c r="R427" i="2" s="1"/>
  <c r="O257" i="2"/>
  <c r="P257" i="2" s="1"/>
  <c r="O258" i="2"/>
  <c r="P258" i="2" s="1"/>
  <c r="O259" i="2"/>
  <c r="P259" i="2" s="1"/>
  <c r="O260" i="2"/>
  <c r="P260" i="2" s="1"/>
  <c r="O261" i="2"/>
  <c r="P261" i="2" s="1"/>
  <c r="O263" i="2"/>
  <c r="P263" i="2" s="1"/>
  <c r="O264" i="2"/>
  <c r="P264" i="2" s="1"/>
  <c r="O265" i="2"/>
  <c r="P265" i="2" s="1"/>
  <c r="O266" i="2"/>
  <c r="P266" i="2" s="1"/>
  <c r="O267" i="2"/>
  <c r="P267" i="2" s="1"/>
  <c r="O268" i="2"/>
  <c r="P268" i="2" s="1"/>
  <c r="O269" i="2"/>
  <c r="P269" i="2" s="1"/>
  <c r="O270" i="2"/>
  <c r="P270" i="2" s="1"/>
  <c r="O271" i="2"/>
  <c r="P271" i="2" s="1"/>
  <c r="O274" i="2"/>
  <c r="P274" i="2" s="1"/>
  <c r="O276" i="2"/>
  <c r="P276" i="2" s="1"/>
  <c r="O277" i="2"/>
  <c r="P277" i="2" s="1"/>
  <c r="O280" i="2"/>
  <c r="P280" i="2" s="1"/>
  <c r="O282" i="2"/>
  <c r="P282" i="2" s="1"/>
  <c r="O284" i="2"/>
  <c r="P284" i="2" s="1"/>
  <c r="O286" i="2"/>
  <c r="P286" i="2" s="1"/>
  <c r="O288" i="2"/>
  <c r="P288" i="2" s="1"/>
  <c r="O289" i="2"/>
  <c r="P289" i="2" s="1"/>
  <c r="O292" i="2"/>
  <c r="P292" i="2" s="1"/>
  <c r="O293" i="2"/>
  <c r="P293" i="2" s="1"/>
  <c r="O295" i="2"/>
  <c r="P295" i="2" s="1"/>
  <c r="O296" i="2"/>
  <c r="P296" i="2" s="1"/>
  <c r="O297" i="2"/>
  <c r="P297" i="2" s="1"/>
  <c r="O302" i="2"/>
  <c r="P302" i="2" s="1"/>
  <c r="O303" i="2"/>
  <c r="P303" i="2" s="1"/>
  <c r="O304" i="2"/>
  <c r="P304" i="2" s="1"/>
  <c r="O306" i="2"/>
  <c r="P306" i="2" s="1"/>
  <c r="O307" i="2"/>
  <c r="P307" i="2" s="1"/>
  <c r="O308" i="2"/>
  <c r="P308" i="2" s="1"/>
  <c r="O310" i="2"/>
  <c r="P310" i="2" s="1"/>
  <c r="O312" i="2"/>
  <c r="P312" i="2" s="1"/>
  <c r="O313" i="2"/>
  <c r="P313" i="2" s="1"/>
  <c r="O314" i="2"/>
  <c r="P314" i="2" s="1"/>
  <c r="O316" i="2"/>
  <c r="P316" i="2" s="1"/>
  <c r="O317" i="2"/>
  <c r="P317" i="2" s="1"/>
  <c r="O318" i="2"/>
  <c r="P318" i="2" s="1"/>
  <c r="O319" i="2"/>
  <c r="P319" i="2" s="1"/>
  <c r="O320" i="2"/>
  <c r="P320" i="2" s="1"/>
  <c r="O321" i="2"/>
  <c r="P321" i="2" s="1"/>
  <c r="O322" i="2"/>
  <c r="P322" i="2" s="1"/>
  <c r="O325" i="2"/>
  <c r="P325" i="2" s="1"/>
  <c r="O326" i="2"/>
  <c r="P326" i="2" s="1"/>
  <c r="O327" i="2"/>
  <c r="P327" i="2" s="1"/>
  <c r="O328" i="2"/>
  <c r="P328" i="2" s="1"/>
  <c r="O329" i="2"/>
  <c r="P329" i="2" s="1"/>
  <c r="O330" i="2"/>
  <c r="P330" i="2" s="1"/>
  <c r="O331" i="2"/>
  <c r="P331" i="2" s="1"/>
  <c r="O332" i="2"/>
  <c r="P332" i="2" s="1"/>
  <c r="O333" i="2"/>
  <c r="P333" i="2" s="1"/>
  <c r="O334" i="2"/>
  <c r="P334" i="2" s="1"/>
  <c r="O335" i="2"/>
  <c r="P335" i="2" s="1"/>
  <c r="O336" i="2"/>
  <c r="P336" i="2" s="1"/>
  <c r="O337" i="2"/>
  <c r="P337" i="2" s="1"/>
  <c r="O338" i="2"/>
  <c r="P338" i="2" s="1"/>
  <c r="O339" i="2"/>
  <c r="P339" i="2" s="1"/>
  <c r="O340" i="2"/>
  <c r="P340" i="2" s="1"/>
  <c r="O341" i="2"/>
  <c r="P341" i="2" s="1"/>
  <c r="O342" i="2"/>
  <c r="P342" i="2" s="1"/>
  <c r="O343" i="2"/>
  <c r="P343" i="2" s="1"/>
  <c r="O344" i="2"/>
  <c r="P344" i="2" s="1"/>
  <c r="O345" i="2"/>
  <c r="P345" i="2" s="1"/>
  <c r="O346" i="2"/>
  <c r="P346" i="2" s="1"/>
  <c r="O347" i="2"/>
  <c r="P347" i="2" s="1"/>
  <c r="O348" i="2"/>
  <c r="P348" i="2" s="1"/>
  <c r="O349" i="2"/>
  <c r="P349" i="2" s="1"/>
  <c r="O350" i="2"/>
  <c r="P350" i="2" s="1"/>
  <c r="O351" i="2"/>
  <c r="P351" i="2" s="1"/>
  <c r="O352" i="2"/>
  <c r="P352" i="2" s="1"/>
  <c r="O353" i="2"/>
  <c r="P353" i="2" s="1"/>
  <c r="O354" i="2"/>
  <c r="P354" i="2" s="1"/>
  <c r="O355" i="2"/>
  <c r="P355" i="2" s="1"/>
  <c r="O356" i="2"/>
  <c r="P356" i="2" s="1"/>
  <c r="O357" i="2"/>
  <c r="P357" i="2" s="1"/>
  <c r="O358" i="2"/>
  <c r="P358" i="2" s="1"/>
  <c r="O359" i="2"/>
  <c r="P359" i="2" s="1"/>
  <c r="O360" i="2"/>
  <c r="P360" i="2" s="1"/>
  <c r="O361" i="2"/>
  <c r="P361" i="2" s="1"/>
  <c r="O362" i="2"/>
  <c r="P362" i="2" s="1"/>
  <c r="O363" i="2"/>
  <c r="P363" i="2" s="1"/>
  <c r="O364" i="2"/>
  <c r="P364" i="2" s="1"/>
  <c r="O365" i="2"/>
  <c r="P365" i="2" s="1"/>
  <c r="O366" i="2"/>
  <c r="P366" i="2" s="1"/>
  <c r="O367" i="2"/>
  <c r="P367" i="2" s="1"/>
  <c r="O368" i="2"/>
  <c r="P368" i="2" s="1"/>
  <c r="O369" i="2"/>
  <c r="P369" i="2" s="1"/>
  <c r="O370" i="2"/>
  <c r="P370" i="2" s="1"/>
  <c r="O371" i="2"/>
  <c r="P371" i="2" s="1"/>
  <c r="O372" i="2"/>
  <c r="P372" i="2" s="1"/>
  <c r="O373" i="2"/>
  <c r="P373" i="2" s="1"/>
  <c r="O374" i="2"/>
  <c r="P374" i="2" s="1"/>
  <c r="O375" i="2"/>
  <c r="P375" i="2" s="1"/>
  <c r="O376" i="2"/>
  <c r="P376" i="2" s="1"/>
  <c r="O377" i="2"/>
  <c r="P377" i="2" s="1"/>
  <c r="O378" i="2"/>
  <c r="P378" i="2" s="1"/>
  <c r="O379" i="2"/>
  <c r="P379" i="2" s="1"/>
  <c r="O380" i="2"/>
  <c r="P380" i="2" s="1"/>
  <c r="O381" i="2"/>
  <c r="P381" i="2" s="1"/>
  <c r="O382" i="2"/>
  <c r="P382" i="2" s="1"/>
  <c r="O383" i="2"/>
  <c r="P383" i="2" s="1"/>
  <c r="O384" i="2"/>
  <c r="P384" i="2" s="1"/>
  <c r="O385" i="2"/>
  <c r="P385" i="2" s="1"/>
  <c r="O386" i="2"/>
  <c r="P386" i="2" s="1"/>
  <c r="O387" i="2"/>
  <c r="P387" i="2" s="1"/>
  <c r="O388" i="2"/>
  <c r="P388" i="2" s="1"/>
  <c r="O389" i="2"/>
  <c r="P389" i="2" s="1"/>
  <c r="O390" i="2"/>
  <c r="P390" i="2" s="1"/>
  <c r="O391" i="2"/>
  <c r="P391" i="2" s="1"/>
  <c r="O392" i="2"/>
  <c r="P392" i="2" s="1"/>
  <c r="O393" i="2"/>
  <c r="P393" i="2" s="1"/>
  <c r="O394" i="2"/>
  <c r="P394" i="2" s="1"/>
  <c r="O395" i="2"/>
  <c r="P395" i="2" s="1"/>
  <c r="O396" i="2"/>
  <c r="P396" i="2" s="1"/>
  <c r="O397" i="2"/>
  <c r="P397" i="2" s="1"/>
  <c r="O398" i="2"/>
  <c r="P398" i="2" s="1"/>
  <c r="O399" i="2"/>
  <c r="P399" i="2" s="1"/>
  <c r="O400" i="2"/>
  <c r="P400" i="2" s="1"/>
  <c r="O401" i="2"/>
  <c r="P401" i="2" s="1"/>
  <c r="O402" i="2"/>
  <c r="P402" i="2" s="1"/>
  <c r="O403" i="2"/>
  <c r="P403" i="2" s="1"/>
  <c r="O404" i="2"/>
  <c r="P404" i="2" s="1"/>
  <c r="O405" i="2"/>
  <c r="P405" i="2" s="1"/>
  <c r="O406" i="2"/>
  <c r="P406" i="2" s="1"/>
  <c r="O407" i="2"/>
  <c r="P407" i="2" s="1"/>
  <c r="O408" i="2"/>
  <c r="P408" i="2" s="1"/>
  <c r="O409" i="2"/>
  <c r="P409" i="2" s="1"/>
  <c r="O410" i="2"/>
  <c r="P410" i="2" s="1"/>
  <c r="O411" i="2"/>
  <c r="P411" i="2" s="1"/>
  <c r="O412" i="2"/>
  <c r="P412" i="2" s="1"/>
  <c r="O413" i="2"/>
  <c r="P413" i="2" s="1"/>
  <c r="O414" i="2"/>
  <c r="P414" i="2" s="1"/>
  <c r="O415" i="2"/>
  <c r="P415" i="2" s="1"/>
  <c r="O416" i="2"/>
  <c r="P416" i="2" s="1"/>
  <c r="O417" i="2"/>
  <c r="P417" i="2" s="1"/>
  <c r="O418" i="2"/>
  <c r="P418" i="2" s="1"/>
  <c r="O419" i="2"/>
  <c r="P419" i="2" s="1"/>
  <c r="O420" i="2"/>
  <c r="P420" i="2" s="1"/>
  <c r="O421" i="2"/>
  <c r="P421" i="2" s="1"/>
  <c r="O422" i="2"/>
  <c r="P422" i="2" s="1"/>
  <c r="O423" i="2"/>
  <c r="P423" i="2" s="1"/>
  <c r="O424" i="2"/>
  <c r="P424" i="2" s="1"/>
  <c r="O425" i="2"/>
  <c r="P425" i="2" s="1"/>
  <c r="O426" i="2"/>
  <c r="P426" i="2" s="1"/>
  <c r="O427" i="2"/>
  <c r="P427" i="2" s="1"/>
  <c r="O428" i="2"/>
  <c r="P428" i="2" s="1"/>
  <c r="O429" i="2"/>
  <c r="P429" i="2" s="1"/>
  <c r="O430" i="2"/>
  <c r="P430" i="2" s="1"/>
  <c r="O431" i="2"/>
  <c r="P431" i="2" s="1"/>
  <c r="O432" i="2"/>
  <c r="P432" i="2" s="1"/>
  <c r="O433" i="2"/>
  <c r="P433" i="2" s="1"/>
  <c r="O434" i="2"/>
  <c r="P434" i="2" s="1"/>
  <c r="O435" i="2"/>
  <c r="P435" i="2" s="1"/>
  <c r="O436" i="2"/>
  <c r="P436" i="2" s="1"/>
  <c r="O437" i="2"/>
  <c r="P437" i="2" s="1"/>
  <c r="O438" i="2"/>
  <c r="P438" i="2" s="1"/>
  <c r="O439" i="2"/>
  <c r="P439" i="2" s="1"/>
  <c r="O440" i="2"/>
  <c r="P440" i="2" s="1"/>
  <c r="O441" i="2"/>
  <c r="P441" i="2" s="1"/>
  <c r="O442" i="2"/>
  <c r="P442" i="2" s="1"/>
  <c r="O443" i="2"/>
  <c r="P443" i="2" s="1"/>
  <c r="O444" i="2"/>
  <c r="P444" i="2" s="1"/>
  <c r="O445" i="2"/>
  <c r="P445" i="2" s="1"/>
  <c r="O446" i="2"/>
  <c r="P446" i="2" s="1"/>
  <c r="O447" i="2"/>
  <c r="P447" i="2" s="1"/>
  <c r="O448" i="2"/>
  <c r="P448" i="2" s="1"/>
  <c r="O449" i="2"/>
  <c r="P449" i="2" s="1"/>
  <c r="O450" i="2"/>
  <c r="P450" i="2" s="1"/>
  <c r="O451" i="2"/>
  <c r="P451" i="2" s="1"/>
  <c r="O452" i="2"/>
  <c r="P452" i="2" s="1"/>
  <c r="O453" i="2"/>
  <c r="P453" i="2" s="1"/>
  <c r="O454" i="2"/>
  <c r="P454" i="2" s="1"/>
  <c r="O455" i="2"/>
  <c r="P455" i="2" s="1"/>
  <c r="O456" i="2"/>
  <c r="P456" i="2" s="1"/>
  <c r="O457" i="2"/>
  <c r="P457" i="2" s="1"/>
  <c r="O458" i="2"/>
  <c r="P458" i="2" s="1"/>
  <c r="O459" i="2"/>
  <c r="P459" i="2" s="1"/>
  <c r="O460" i="2"/>
  <c r="P460" i="2" s="1"/>
  <c r="O461" i="2"/>
  <c r="P461" i="2" s="1"/>
  <c r="O462" i="2"/>
  <c r="P462" i="2" s="1"/>
  <c r="O463" i="2"/>
  <c r="P463" i="2" s="1"/>
  <c r="O464" i="2"/>
  <c r="P464" i="2" s="1"/>
  <c r="O465" i="2"/>
  <c r="P465" i="2" s="1"/>
  <c r="O466" i="2"/>
  <c r="P466" i="2" s="1"/>
  <c r="O467" i="2"/>
  <c r="P467" i="2" s="1"/>
  <c r="O468" i="2"/>
  <c r="P468" i="2" s="1"/>
  <c r="O469" i="2"/>
  <c r="P469" i="2" s="1"/>
  <c r="O470" i="2"/>
  <c r="P470" i="2" s="1"/>
  <c r="O471" i="2"/>
  <c r="P471" i="2" s="1"/>
  <c r="O472" i="2"/>
  <c r="P472" i="2" s="1"/>
  <c r="O473" i="2"/>
  <c r="P473" i="2" s="1"/>
  <c r="O474" i="2"/>
  <c r="P474" i="2" s="1"/>
  <c r="O475" i="2"/>
  <c r="P475" i="2" s="1"/>
  <c r="O476" i="2"/>
  <c r="P476" i="2" s="1"/>
  <c r="O477" i="2"/>
  <c r="P477" i="2" s="1"/>
  <c r="O478" i="2"/>
  <c r="P478" i="2" s="1"/>
  <c r="O479" i="2"/>
  <c r="P479" i="2" s="1"/>
  <c r="O480" i="2"/>
  <c r="P480" i="2" s="1"/>
  <c r="O481" i="2"/>
  <c r="P481" i="2" s="1"/>
  <c r="O482" i="2"/>
  <c r="P482" i="2" s="1"/>
  <c r="O483" i="2"/>
  <c r="P483" i="2" s="1"/>
  <c r="O484" i="2"/>
  <c r="P484" i="2" s="1"/>
  <c r="O485" i="2"/>
  <c r="P485" i="2" s="1"/>
  <c r="O486" i="2"/>
  <c r="P486" i="2" s="1"/>
  <c r="O487" i="2"/>
  <c r="P487" i="2" s="1"/>
  <c r="O488" i="2"/>
  <c r="P488" i="2" s="1"/>
  <c r="O489" i="2"/>
  <c r="P489" i="2" s="1"/>
  <c r="O490" i="2"/>
  <c r="P490" i="2" s="1"/>
  <c r="O491" i="2"/>
  <c r="P491" i="2" s="1"/>
  <c r="O492" i="2"/>
  <c r="P492" i="2" s="1"/>
  <c r="O493" i="2"/>
  <c r="P493" i="2" s="1"/>
  <c r="O494" i="2"/>
  <c r="P494" i="2" s="1"/>
  <c r="O495" i="2"/>
  <c r="P495" i="2" s="1"/>
  <c r="O496" i="2"/>
  <c r="P496" i="2" s="1"/>
  <c r="O497" i="2"/>
  <c r="P497" i="2" s="1"/>
  <c r="O498" i="2"/>
  <c r="P498" i="2" s="1"/>
  <c r="O499" i="2"/>
  <c r="P499" i="2" s="1"/>
  <c r="O500" i="2"/>
  <c r="P500" i="2" s="1"/>
  <c r="O501" i="2"/>
  <c r="P501" i="2" s="1"/>
  <c r="O502" i="2"/>
  <c r="P502" i="2" s="1"/>
  <c r="O503" i="2"/>
  <c r="P503" i="2" s="1"/>
  <c r="O504" i="2"/>
  <c r="P504" i="2" s="1"/>
  <c r="O505" i="2"/>
  <c r="P505" i="2" s="1"/>
  <c r="O506" i="2"/>
  <c r="P506" i="2" s="1"/>
  <c r="O507" i="2"/>
  <c r="P507" i="2" s="1"/>
  <c r="O508" i="2"/>
  <c r="P508" i="2" s="1"/>
  <c r="O509" i="2"/>
  <c r="P509" i="2" s="1"/>
  <c r="O510" i="2"/>
  <c r="P510" i="2" s="1"/>
  <c r="O511" i="2"/>
  <c r="P511" i="2" s="1"/>
  <c r="O512" i="2"/>
  <c r="P512" i="2" s="1"/>
  <c r="O513" i="2"/>
  <c r="P513" i="2" s="1"/>
  <c r="O514" i="2"/>
  <c r="P514" i="2" s="1"/>
  <c r="O515" i="2"/>
  <c r="P515" i="2" s="1"/>
  <c r="O516" i="2"/>
  <c r="P516" i="2" s="1"/>
  <c r="O517" i="2"/>
  <c r="P517" i="2" s="1"/>
  <c r="O518" i="2"/>
  <c r="P518" i="2" s="1"/>
  <c r="O519" i="2"/>
  <c r="P519" i="2" s="1"/>
  <c r="O520" i="2"/>
  <c r="P520" i="2" s="1"/>
  <c r="O521" i="2"/>
  <c r="P521" i="2" s="1"/>
  <c r="O522" i="2"/>
  <c r="P522" i="2" s="1"/>
  <c r="O523" i="2"/>
  <c r="P523" i="2" s="1"/>
  <c r="O524" i="2"/>
  <c r="P524" i="2" s="1"/>
  <c r="O525" i="2"/>
  <c r="P525" i="2" s="1"/>
  <c r="O526" i="2"/>
  <c r="P526" i="2" s="1"/>
  <c r="O527" i="2"/>
  <c r="P527" i="2" s="1"/>
  <c r="O528" i="2"/>
  <c r="P528" i="2" s="1"/>
  <c r="O529" i="2"/>
  <c r="P529" i="2" s="1"/>
  <c r="O530" i="2"/>
  <c r="P530" i="2" s="1"/>
  <c r="O531" i="2"/>
  <c r="P531" i="2" s="1"/>
  <c r="O532" i="2"/>
  <c r="P532" i="2" s="1"/>
  <c r="O533" i="2"/>
  <c r="P533" i="2" s="1"/>
  <c r="O534" i="2"/>
  <c r="P534" i="2" s="1"/>
  <c r="O535" i="2"/>
  <c r="P535" i="2" s="1"/>
  <c r="O536" i="2"/>
  <c r="P536" i="2" s="1"/>
  <c r="O537" i="2"/>
  <c r="P537" i="2" s="1"/>
  <c r="O538" i="2"/>
  <c r="P538" i="2" s="1"/>
  <c r="O539" i="2"/>
  <c r="P539" i="2" s="1"/>
  <c r="O540" i="2"/>
  <c r="P540" i="2" s="1"/>
  <c r="O541" i="2"/>
  <c r="P541" i="2" s="1"/>
  <c r="O542" i="2"/>
  <c r="P542" i="2" s="1"/>
  <c r="O543" i="2"/>
  <c r="P543" i="2" s="1"/>
  <c r="O544" i="2"/>
  <c r="O545" i="2"/>
  <c r="O546" i="2"/>
  <c r="O547" i="2"/>
  <c r="M257" i="2"/>
  <c r="N257" i="2" s="1"/>
  <c r="M259" i="2"/>
  <c r="N259" i="2" s="1"/>
  <c r="M260" i="2"/>
  <c r="N260" i="2" s="1"/>
  <c r="M261" i="2"/>
  <c r="N261" i="2" s="1"/>
  <c r="M264" i="2"/>
  <c r="N264" i="2" s="1"/>
  <c r="M268" i="2"/>
  <c r="N268" i="2" s="1"/>
  <c r="M276" i="2"/>
  <c r="N276" i="2" s="1"/>
  <c r="M277" i="2"/>
  <c r="N277" i="2" s="1"/>
  <c r="M282" i="2"/>
  <c r="N282" i="2" s="1"/>
  <c r="M284" i="2"/>
  <c r="N284" i="2" s="1"/>
  <c r="M288" i="2"/>
  <c r="N288" i="2" s="1"/>
  <c r="M289" i="2"/>
  <c r="N289" i="2" s="1"/>
  <c r="M293" i="2"/>
  <c r="N293" i="2" s="1"/>
  <c r="M296" i="2"/>
  <c r="N296" i="2" s="1"/>
  <c r="M298" i="2"/>
  <c r="N298" i="2" s="1"/>
  <c r="M307" i="2"/>
  <c r="N307" i="2" s="1"/>
  <c r="M308" i="2"/>
  <c r="N308" i="2" s="1"/>
  <c r="M312" i="2"/>
  <c r="N312" i="2" s="1"/>
  <c r="M314" i="2"/>
  <c r="N314" i="2" s="1"/>
  <c r="M319" i="2"/>
  <c r="N319" i="2" s="1"/>
  <c r="M320" i="2"/>
  <c r="N320" i="2" s="1"/>
  <c r="M325" i="2"/>
  <c r="N325" i="2" s="1"/>
  <c r="M328" i="2"/>
  <c r="N328" i="2" s="1"/>
  <c r="M329" i="2"/>
  <c r="N329" i="2" s="1"/>
  <c r="M331" i="2"/>
  <c r="N331" i="2" s="1"/>
  <c r="M332" i="2"/>
  <c r="N332" i="2" s="1"/>
  <c r="M333" i="2"/>
  <c r="N333" i="2" s="1"/>
  <c r="M334" i="2"/>
  <c r="N334" i="2" s="1"/>
  <c r="M335" i="2"/>
  <c r="N335" i="2" s="1"/>
  <c r="M336" i="2"/>
  <c r="N336" i="2" s="1"/>
  <c r="M337" i="2"/>
  <c r="N337" i="2" s="1"/>
  <c r="M338" i="2"/>
  <c r="N338" i="2" s="1"/>
  <c r="M339" i="2"/>
  <c r="N339" i="2" s="1"/>
  <c r="M340" i="2"/>
  <c r="N340" i="2" s="1"/>
  <c r="M341" i="2"/>
  <c r="N341" i="2" s="1"/>
  <c r="M342" i="2"/>
  <c r="N342" i="2" s="1"/>
  <c r="M343" i="2"/>
  <c r="N343" i="2" s="1"/>
  <c r="M344" i="2"/>
  <c r="N344" i="2" s="1"/>
  <c r="M345" i="2"/>
  <c r="N345" i="2" s="1"/>
  <c r="M346" i="2"/>
  <c r="N346" i="2" s="1"/>
  <c r="M347" i="2"/>
  <c r="N347" i="2" s="1"/>
  <c r="M348" i="2"/>
  <c r="N348" i="2" s="1"/>
  <c r="M349" i="2"/>
  <c r="N349" i="2" s="1"/>
  <c r="M350" i="2"/>
  <c r="N350" i="2" s="1"/>
  <c r="M351" i="2"/>
  <c r="N351" i="2" s="1"/>
  <c r="M352" i="2"/>
  <c r="N352" i="2" s="1"/>
  <c r="M353" i="2"/>
  <c r="N353" i="2" s="1"/>
  <c r="M354" i="2"/>
  <c r="N354" i="2" s="1"/>
  <c r="M355" i="2"/>
  <c r="N355" i="2" s="1"/>
  <c r="M356" i="2"/>
  <c r="N356" i="2" s="1"/>
  <c r="M357" i="2"/>
  <c r="N357" i="2" s="1"/>
  <c r="M358" i="2"/>
  <c r="N358" i="2" s="1"/>
  <c r="M359" i="2"/>
  <c r="N359" i="2" s="1"/>
  <c r="M360" i="2"/>
  <c r="N360" i="2" s="1"/>
  <c r="M361" i="2"/>
  <c r="N361" i="2" s="1"/>
  <c r="M362" i="2"/>
  <c r="N362" i="2" s="1"/>
  <c r="M363" i="2"/>
  <c r="N363" i="2" s="1"/>
  <c r="M364" i="2"/>
  <c r="N364" i="2" s="1"/>
  <c r="M365" i="2"/>
  <c r="N365" i="2" s="1"/>
  <c r="M366" i="2"/>
  <c r="N366" i="2" s="1"/>
  <c r="M367" i="2"/>
  <c r="N367" i="2" s="1"/>
  <c r="M368" i="2"/>
  <c r="N368" i="2" s="1"/>
  <c r="M369" i="2"/>
  <c r="N369" i="2" s="1"/>
  <c r="M370" i="2"/>
  <c r="N370" i="2" s="1"/>
  <c r="M371" i="2"/>
  <c r="N371" i="2" s="1"/>
  <c r="M372" i="2"/>
  <c r="N372" i="2" s="1"/>
  <c r="M373" i="2"/>
  <c r="N373" i="2" s="1"/>
  <c r="M374" i="2"/>
  <c r="N374" i="2" s="1"/>
  <c r="M375" i="2"/>
  <c r="N375" i="2" s="1"/>
  <c r="M376" i="2"/>
  <c r="N376" i="2" s="1"/>
  <c r="M377" i="2"/>
  <c r="N377" i="2" s="1"/>
  <c r="M378" i="2"/>
  <c r="N378" i="2" s="1"/>
  <c r="M379" i="2"/>
  <c r="N379" i="2" s="1"/>
  <c r="M380" i="2"/>
  <c r="N380" i="2" s="1"/>
  <c r="M381" i="2"/>
  <c r="N381" i="2" s="1"/>
  <c r="M382" i="2"/>
  <c r="N382" i="2" s="1"/>
  <c r="M383" i="2"/>
  <c r="N383" i="2" s="1"/>
  <c r="M384" i="2"/>
  <c r="N384" i="2" s="1"/>
  <c r="M385" i="2"/>
  <c r="N385" i="2" s="1"/>
  <c r="M386" i="2"/>
  <c r="N386" i="2" s="1"/>
  <c r="M387" i="2"/>
  <c r="N387" i="2" s="1"/>
  <c r="M388" i="2"/>
  <c r="N388" i="2" s="1"/>
  <c r="M389" i="2"/>
  <c r="N389" i="2" s="1"/>
  <c r="M390" i="2"/>
  <c r="N390" i="2" s="1"/>
  <c r="M391" i="2"/>
  <c r="N391" i="2" s="1"/>
  <c r="M392" i="2"/>
  <c r="N392" i="2" s="1"/>
  <c r="M393" i="2"/>
  <c r="N393" i="2" s="1"/>
  <c r="M394" i="2"/>
  <c r="N394" i="2" s="1"/>
  <c r="M395" i="2"/>
  <c r="N395" i="2" s="1"/>
  <c r="M396" i="2"/>
  <c r="N396" i="2" s="1"/>
  <c r="M397" i="2"/>
  <c r="N397" i="2" s="1"/>
  <c r="M398" i="2"/>
  <c r="N398" i="2" s="1"/>
  <c r="M399" i="2"/>
  <c r="N399" i="2" s="1"/>
  <c r="M400" i="2"/>
  <c r="N400" i="2" s="1"/>
  <c r="M401" i="2"/>
  <c r="N401" i="2" s="1"/>
  <c r="M402" i="2"/>
  <c r="N402" i="2" s="1"/>
  <c r="M403" i="2"/>
  <c r="N403" i="2" s="1"/>
  <c r="M404" i="2"/>
  <c r="N404" i="2" s="1"/>
  <c r="M405" i="2"/>
  <c r="N405" i="2" s="1"/>
  <c r="M406" i="2"/>
  <c r="N406" i="2" s="1"/>
  <c r="M407" i="2"/>
  <c r="N407" i="2" s="1"/>
  <c r="M408" i="2"/>
  <c r="N408" i="2" s="1"/>
  <c r="M409" i="2"/>
  <c r="N409" i="2" s="1"/>
  <c r="M410" i="2"/>
  <c r="N410" i="2" s="1"/>
  <c r="M411" i="2"/>
  <c r="N411" i="2" s="1"/>
  <c r="M412" i="2"/>
  <c r="N412" i="2" s="1"/>
  <c r="M413" i="2"/>
  <c r="N413" i="2" s="1"/>
  <c r="M414" i="2"/>
  <c r="N414" i="2" s="1"/>
  <c r="M415" i="2"/>
  <c r="N415" i="2" s="1"/>
  <c r="M416" i="2"/>
  <c r="N416" i="2" s="1"/>
  <c r="M417" i="2"/>
  <c r="N417" i="2" s="1"/>
  <c r="M418" i="2"/>
  <c r="N418" i="2" s="1"/>
  <c r="M419" i="2"/>
  <c r="N419" i="2" s="1"/>
  <c r="M420" i="2"/>
  <c r="N420" i="2" s="1"/>
  <c r="M421" i="2"/>
  <c r="N421" i="2" s="1"/>
  <c r="M422" i="2"/>
  <c r="N422" i="2" s="1"/>
  <c r="M423" i="2"/>
  <c r="N423" i="2" s="1"/>
  <c r="M424" i="2"/>
  <c r="N424" i="2" s="1"/>
  <c r="M425" i="2"/>
  <c r="N425" i="2" s="1"/>
  <c r="M426" i="2"/>
  <c r="N426" i="2" s="1"/>
  <c r="M427" i="2"/>
  <c r="N427" i="2" s="1"/>
  <c r="M428" i="2"/>
  <c r="N428" i="2" s="1"/>
  <c r="M429" i="2"/>
  <c r="N429" i="2" s="1"/>
  <c r="M430" i="2"/>
  <c r="N430" i="2" s="1"/>
  <c r="M431" i="2"/>
  <c r="N431" i="2" s="1"/>
  <c r="M432" i="2"/>
  <c r="N432" i="2" s="1"/>
  <c r="M433" i="2"/>
  <c r="N433" i="2" s="1"/>
  <c r="M434" i="2"/>
  <c r="N434" i="2" s="1"/>
  <c r="M435" i="2"/>
  <c r="N435" i="2" s="1"/>
  <c r="M436" i="2"/>
  <c r="N436" i="2" s="1"/>
  <c r="M437" i="2"/>
  <c r="N437" i="2" s="1"/>
  <c r="M438" i="2"/>
  <c r="N438" i="2" s="1"/>
  <c r="M439" i="2"/>
  <c r="N439" i="2" s="1"/>
  <c r="M440" i="2"/>
  <c r="N440" i="2" s="1"/>
  <c r="M441" i="2"/>
  <c r="N441" i="2" s="1"/>
  <c r="M442" i="2"/>
  <c r="N442" i="2" s="1"/>
  <c r="M443" i="2"/>
  <c r="N443" i="2" s="1"/>
  <c r="M444" i="2"/>
  <c r="N444" i="2" s="1"/>
  <c r="M445" i="2"/>
  <c r="N445" i="2" s="1"/>
  <c r="M446" i="2"/>
  <c r="N446" i="2" s="1"/>
  <c r="M447" i="2"/>
  <c r="N447" i="2" s="1"/>
  <c r="M448" i="2"/>
  <c r="N448" i="2" s="1"/>
  <c r="M449" i="2"/>
  <c r="N449" i="2" s="1"/>
  <c r="M450" i="2"/>
  <c r="N450" i="2" s="1"/>
  <c r="M451" i="2"/>
  <c r="N451" i="2" s="1"/>
  <c r="M452" i="2"/>
  <c r="N452" i="2" s="1"/>
  <c r="M453" i="2"/>
  <c r="N453" i="2" s="1"/>
  <c r="M454" i="2"/>
  <c r="N454" i="2" s="1"/>
  <c r="M455" i="2"/>
  <c r="N455" i="2" s="1"/>
  <c r="M456" i="2"/>
  <c r="N456" i="2" s="1"/>
  <c r="M457" i="2"/>
  <c r="N457" i="2" s="1"/>
  <c r="M458" i="2"/>
  <c r="N458" i="2" s="1"/>
  <c r="M459" i="2"/>
  <c r="N459" i="2" s="1"/>
  <c r="M460" i="2"/>
  <c r="N460" i="2" s="1"/>
  <c r="M461" i="2"/>
  <c r="N461" i="2" s="1"/>
  <c r="M462" i="2"/>
  <c r="N462" i="2" s="1"/>
  <c r="M463" i="2"/>
  <c r="N463" i="2" s="1"/>
  <c r="M464" i="2"/>
  <c r="N464" i="2" s="1"/>
  <c r="M465" i="2"/>
  <c r="N465" i="2" s="1"/>
  <c r="M466" i="2"/>
  <c r="N466" i="2" s="1"/>
  <c r="M467" i="2"/>
  <c r="N467" i="2" s="1"/>
  <c r="M468" i="2"/>
  <c r="N468" i="2" s="1"/>
  <c r="M469" i="2"/>
  <c r="N469" i="2" s="1"/>
  <c r="M470" i="2"/>
  <c r="N470" i="2" s="1"/>
  <c r="M471" i="2"/>
  <c r="N471" i="2" s="1"/>
  <c r="M472" i="2"/>
  <c r="N472" i="2" s="1"/>
  <c r="M473" i="2"/>
  <c r="N473" i="2" s="1"/>
  <c r="M474" i="2"/>
  <c r="N474" i="2" s="1"/>
  <c r="M475" i="2"/>
  <c r="N475" i="2" s="1"/>
  <c r="M476" i="2"/>
  <c r="N476" i="2" s="1"/>
  <c r="M477" i="2"/>
  <c r="N477" i="2" s="1"/>
  <c r="M478" i="2"/>
  <c r="N478" i="2" s="1"/>
  <c r="M479" i="2"/>
  <c r="N479" i="2" s="1"/>
  <c r="M480" i="2"/>
  <c r="N480" i="2" s="1"/>
  <c r="M481" i="2"/>
  <c r="N481" i="2" s="1"/>
  <c r="M482" i="2"/>
  <c r="N482" i="2" s="1"/>
  <c r="M483" i="2"/>
  <c r="N483" i="2" s="1"/>
  <c r="M484" i="2"/>
  <c r="N484" i="2" s="1"/>
  <c r="M485" i="2"/>
  <c r="N485" i="2" s="1"/>
  <c r="M486" i="2"/>
  <c r="N486" i="2" s="1"/>
  <c r="M487" i="2"/>
  <c r="N487" i="2" s="1"/>
  <c r="M488" i="2"/>
  <c r="N488" i="2" s="1"/>
  <c r="M489" i="2"/>
  <c r="N489" i="2" s="1"/>
  <c r="M490" i="2"/>
  <c r="N490" i="2" s="1"/>
  <c r="M491" i="2"/>
  <c r="N491" i="2" s="1"/>
  <c r="M492" i="2"/>
  <c r="N492" i="2" s="1"/>
  <c r="M493" i="2"/>
  <c r="N493" i="2" s="1"/>
  <c r="M494" i="2"/>
  <c r="N494" i="2" s="1"/>
  <c r="M495" i="2"/>
  <c r="N495" i="2" s="1"/>
  <c r="M496" i="2"/>
  <c r="N496" i="2" s="1"/>
  <c r="M497" i="2"/>
  <c r="N497" i="2" s="1"/>
  <c r="M498" i="2"/>
  <c r="N498" i="2" s="1"/>
  <c r="M499" i="2"/>
  <c r="N499" i="2" s="1"/>
  <c r="K284" i="2"/>
  <c r="L284" i="2" s="1"/>
  <c r="T284" i="2" s="1"/>
  <c r="U284" i="2" s="1"/>
  <c r="V284" i="2" s="1"/>
  <c r="X284" i="2" s="1"/>
  <c r="K296" i="2"/>
  <c r="L296" i="2" s="1"/>
  <c r="K320" i="2"/>
  <c r="L320" i="2" s="1"/>
  <c r="K332" i="2"/>
  <c r="L332" i="2" s="1"/>
  <c r="K333" i="2"/>
  <c r="L333" i="2" s="1"/>
  <c r="K334" i="2"/>
  <c r="L334" i="2" s="1"/>
  <c r="K335" i="2"/>
  <c r="L335" i="2" s="1"/>
  <c r="K336" i="2"/>
  <c r="L336" i="2" s="1"/>
  <c r="K337" i="2"/>
  <c r="L337" i="2" s="1"/>
  <c r="K338" i="2"/>
  <c r="L338" i="2" s="1"/>
  <c r="K339" i="2"/>
  <c r="L339" i="2" s="1"/>
  <c r="K340" i="2"/>
  <c r="L340" i="2" s="1"/>
  <c r="K341" i="2"/>
  <c r="L341" i="2" s="1"/>
  <c r="K342" i="2"/>
  <c r="L342" i="2" s="1"/>
  <c r="K343" i="2"/>
  <c r="L343" i="2" s="1"/>
  <c r="K344" i="2"/>
  <c r="L344" i="2" s="1"/>
  <c r="K345" i="2"/>
  <c r="L345" i="2" s="1"/>
  <c r="K346" i="2"/>
  <c r="L346" i="2" s="1"/>
  <c r="K347" i="2"/>
  <c r="L347" i="2" s="1"/>
  <c r="K348" i="2"/>
  <c r="L348" i="2" s="1"/>
  <c r="K349" i="2"/>
  <c r="L349" i="2" s="1"/>
  <c r="K350" i="2"/>
  <c r="L350" i="2" s="1"/>
  <c r="K351" i="2"/>
  <c r="L351" i="2" s="1"/>
  <c r="K352" i="2"/>
  <c r="L352" i="2" s="1"/>
  <c r="K353" i="2"/>
  <c r="L353" i="2" s="1"/>
  <c r="K354" i="2"/>
  <c r="L354" i="2" s="1"/>
  <c r="K355" i="2"/>
  <c r="L355" i="2" s="1"/>
  <c r="K356" i="2"/>
  <c r="L356" i="2" s="1"/>
  <c r="K357" i="2"/>
  <c r="L357" i="2" s="1"/>
  <c r="K358" i="2"/>
  <c r="L358" i="2" s="1"/>
  <c r="K359" i="2"/>
  <c r="L359" i="2" s="1"/>
  <c r="K360" i="2"/>
  <c r="L360" i="2" s="1"/>
  <c r="K361" i="2"/>
  <c r="L361" i="2" s="1"/>
  <c r="K362" i="2"/>
  <c r="L362" i="2" s="1"/>
  <c r="K363" i="2"/>
  <c r="L363" i="2" s="1"/>
  <c r="K364" i="2"/>
  <c r="L364" i="2" s="1"/>
  <c r="K365" i="2"/>
  <c r="L365" i="2" s="1"/>
  <c r="K366" i="2"/>
  <c r="L366" i="2" s="1"/>
  <c r="K367" i="2"/>
  <c r="L367" i="2" s="1"/>
  <c r="K368" i="2"/>
  <c r="L368" i="2" s="1"/>
  <c r="K369" i="2"/>
  <c r="L369" i="2" s="1"/>
  <c r="K370" i="2"/>
  <c r="L370" i="2" s="1"/>
  <c r="K371" i="2"/>
  <c r="L371" i="2" s="1"/>
  <c r="K372" i="2"/>
  <c r="L372" i="2" s="1"/>
  <c r="K373" i="2"/>
  <c r="L373" i="2" s="1"/>
  <c r="K374" i="2"/>
  <c r="L374" i="2" s="1"/>
  <c r="K375" i="2"/>
  <c r="L375" i="2" s="1"/>
  <c r="K376" i="2"/>
  <c r="L376" i="2" s="1"/>
  <c r="K377" i="2"/>
  <c r="L377" i="2" s="1"/>
  <c r="K378" i="2"/>
  <c r="L378" i="2" s="1"/>
  <c r="K379" i="2"/>
  <c r="L379" i="2" s="1"/>
  <c r="K380" i="2"/>
  <c r="L380" i="2" s="1"/>
  <c r="K381" i="2"/>
  <c r="L381" i="2" s="1"/>
  <c r="K382" i="2"/>
  <c r="L382" i="2" s="1"/>
  <c r="K383" i="2"/>
  <c r="L383" i="2" s="1"/>
  <c r="K384" i="2"/>
  <c r="L384" i="2" s="1"/>
  <c r="K385" i="2"/>
  <c r="L385" i="2" s="1"/>
  <c r="K386" i="2"/>
  <c r="L386" i="2" s="1"/>
  <c r="K387" i="2"/>
  <c r="L387" i="2" s="1"/>
  <c r="K388" i="2"/>
  <c r="L388" i="2" s="1"/>
  <c r="K389" i="2"/>
  <c r="L389" i="2" s="1"/>
  <c r="K390" i="2"/>
  <c r="L390" i="2" s="1"/>
  <c r="K391" i="2"/>
  <c r="L391" i="2" s="1"/>
  <c r="K392" i="2"/>
  <c r="L392" i="2" s="1"/>
  <c r="K393" i="2"/>
  <c r="L393" i="2" s="1"/>
  <c r="K394" i="2"/>
  <c r="L394" i="2" s="1"/>
  <c r="K395" i="2"/>
  <c r="L395" i="2" s="1"/>
  <c r="K396" i="2"/>
  <c r="L396" i="2" s="1"/>
  <c r="K397" i="2"/>
  <c r="L397" i="2" s="1"/>
  <c r="K398" i="2"/>
  <c r="L398" i="2" s="1"/>
  <c r="K399" i="2"/>
  <c r="L399" i="2" s="1"/>
  <c r="K400" i="2"/>
  <c r="L400" i="2" s="1"/>
  <c r="K401" i="2"/>
  <c r="L401" i="2" s="1"/>
  <c r="K402" i="2"/>
  <c r="L402" i="2" s="1"/>
  <c r="K403" i="2"/>
  <c r="L403" i="2" s="1"/>
  <c r="K404" i="2"/>
  <c r="L404" i="2" s="1"/>
  <c r="K405" i="2"/>
  <c r="L405" i="2" s="1"/>
  <c r="K406" i="2"/>
  <c r="L406" i="2" s="1"/>
  <c r="K407" i="2"/>
  <c r="L407" i="2" s="1"/>
  <c r="K408" i="2"/>
  <c r="L408" i="2" s="1"/>
  <c r="K409" i="2"/>
  <c r="L409" i="2" s="1"/>
  <c r="K410" i="2"/>
  <c r="L410" i="2" s="1"/>
  <c r="K411" i="2"/>
  <c r="L411" i="2" s="1"/>
  <c r="K412" i="2"/>
  <c r="L412" i="2" s="1"/>
  <c r="K413" i="2"/>
  <c r="L413" i="2" s="1"/>
  <c r="K414" i="2"/>
  <c r="L414" i="2" s="1"/>
  <c r="K415" i="2"/>
  <c r="L415" i="2" s="1"/>
  <c r="K416" i="2"/>
  <c r="L416" i="2" s="1"/>
  <c r="K417" i="2"/>
  <c r="L417" i="2" s="1"/>
  <c r="K418" i="2"/>
  <c r="L418" i="2" s="1"/>
  <c r="K419" i="2"/>
  <c r="L419" i="2" s="1"/>
  <c r="K420" i="2"/>
  <c r="L420" i="2" s="1"/>
  <c r="K421" i="2"/>
  <c r="L421" i="2" s="1"/>
  <c r="K422" i="2"/>
  <c r="L422" i="2" s="1"/>
  <c r="K423" i="2"/>
  <c r="L423" i="2" s="1"/>
  <c r="K424" i="2"/>
  <c r="L424" i="2" s="1"/>
  <c r="K425" i="2"/>
  <c r="L425" i="2" s="1"/>
  <c r="K426" i="2"/>
  <c r="L426" i="2" s="1"/>
  <c r="K427" i="2"/>
  <c r="L427" i="2" s="1"/>
  <c r="K428" i="2"/>
  <c r="L428" i="2" s="1"/>
  <c r="K429" i="2"/>
  <c r="L429" i="2" s="1"/>
  <c r="K430" i="2"/>
  <c r="L430" i="2" s="1"/>
  <c r="K431" i="2"/>
  <c r="L431" i="2" s="1"/>
  <c r="K432" i="2"/>
  <c r="L432" i="2" s="1"/>
  <c r="K433" i="2"/>
  <c r="L433" i="2" s="1"/>
  <c r="K434" i="2"/>
  <c r="L434" i="2" s="1"/>
  <c r="K435" i="2"/>
  <c r="L435" i="2" s="1"/>
  <c r="K436" i="2"/>
  <c r="L436" i="2" s="1"/>
  <c r="K437" i="2"/>
  <c r="L437" i="2" s="1"/>
  <c r="K438" i="2"/>
  <c r="L438" i="2" s="1"/>
  <c r="K439" i="2"/>
  <c r="L439" i="2" s="1"/>
  <c r="K440" i="2"/>
  <c r="L440" i="2" s="1"/>
  <c r="K441" i="2"/>
  <c r="L441" i="2" s="1"/>
  <c r="K442" i="2"/>
  <c r="L442" i="2" s="1"/>
  <c r="K443" i="2"/>
  <c r="L443" i="2" s="1"/>
  <c r="K444" i="2"/>
  <c r="L444" i="2" s="1"/>
  <c r="K445" i="2"/>
  <c r="L445" i="2" s="1"/>
  <c r="K446" i="2"/>
  <c r="L446" i="2" s="1"/>
  <c r="K447" i="2"/>
  <c r="L447" i="2" s="1"/>
  <c r="K448" i="2"/>
  <c r="L448" i="2" s="1"/>
  <c r="K449" i="2"/>
  <c r="L449" i="2" s="1"/>
  <c r="K450" i="2"/>
  <c r="L450" i="2" s="1"/>
  <c r="K451" i="2"/>
  <c r="L451" i="2" s="1"/>
  <c r="K452" i="2"/>
  <c r="L452" i="2" s="1"/>
  <c r="K453" i="2"/>
  <c r="L453" i="2" s="1"/>
  <c r="K454" i="2"/>
  <c r="L454" i="2" s="1"/>
  <c r="K455" i="2"/>
  <c r="L455" i="2" s="1"/>
  <c r="K456" i="2"/>
  <c r="L456" i="2" s="1"/>
  <c r="K457" i="2"/>
  <c r="L457" i="2" s="1"/>
  <c r="K458" i="2"/>
  <c r="L458" i="2" s="1"/>
  <c r="K459" i="2"/>
  <c r="L459" i="2" s="1"/>
  <c r="K460" i="2"/>
  <c r="L460" i="2" s="1"/>
  <c r="K461" i="2"/>
  <c r="L461" i="2" s="1"/>
  <c r="K462" i="2"/>
  <c r="L462" i="2" s="1"/>
  <c r="K463" i="2"/>
  <c r="L463" i="2" s="1"/>
  <c r="K464" i="2"/>
  <c r="L464" i="2" s="1"/>
  <c r="K465" i="2"/>
  <c r="L465" i="2" s="1"/>
  <c r="K466" i="2"/>
  <c r="L466" i="2" s="1"/>
  <c r="K467" i="2"/>
  <c r="L467" i="2" s="1"/>
  <c r="K468" i="2"/>
  <c r="L468" i="2" s="1"/>
  <c r="K469" i="2"/>
  <c r="L469" i="2" s="1"/>
  <c r="K470" i="2"/>
  <c r="L470" i="2" s="1"/>
  <c r="K471" i="2"/>
  <c r="L471" i="2" s="1"/>
  <c r="K472" i="2"/>
  <c r="L472" i="2" s="1"/>
  <c r="K473" i="2"/>
  <c r="L473" i="2" s="1"/>
  <c r="K474" i="2"/>
  <c r="L474" i="2" s="1"/>
  <c r="K475" i="2"/>
  <c r="L475" i="2" s="1"/>
  <c r="K476" i="2"/>
  <c r="L476" i="2" s="1"/>
  <c r="K477" i="2"/>
  <c r="L477" i="2" s="1"/>
  <c r="K478" i="2"/>
  <c r="L478" i="2" s="1"/>
  <c r="K479" i="2"/>
  <c r="L479" i="2" s="1"/>
  <c r="K480" i="2"/>
  <c r="L480" i="2" s="1"/>
  <c r="K481" i="2"/>
  <c r="L481" i="2" s="1"/>
  <c r="K482" i="2"/>
  <c r="L482" i="2" s="1"/>
  <c r="K483" i="2"/>
  <c r="L483" i="2" s="1"/>
  <c r="K484" i="2"/>
  <c r="L484" i="2" s="1"/>
  <c r="K485" i="2"/>
  <c r="L485" i="2" s="1"/>
  <c r="K486" i="2"/>
  <c r="L486" i="2" s="1"/>
  <c r="K487" i="2"/>
  <c r="L487" i="2" s="1"/>
  <c r="K488" i="2"/>
  <c r="L488" i="2" s="1"/>
  <c r="K489" i="2"/>
  <c r="L489" i="2" s="1"/>
  <c r="K490" i="2"/>
  <c r="L490" i="2" s="1"/>
  <c r="K491" i="2"/>
  <c r="L491" i="2" s="1"/>
  <c r="K492" i="2"/>
  <c r="L492" i="2" s="1"/>
  <c r="K493" i="2"/>
  <c r="L493" i="2" s="1"/>
  <c r="K494" i="2"/>
  <c r="L494" i="2" s="1"/>
  <c r="K495" i="2"/>
  <c r="L495" i="2" s="1"/>
  <c r="K496" i="2"/>
  <c r="L496" i="2" s="1"/>
  <c r="K497" i="2"/>
  <c r="L497" i="2" s="1"/>
  <c r="K498" i="2"/>
  <c r="L498" i="2" s="1"/>
  <c r="K499" i="2"/>
  <c r="L499" i="2" s="1"/>
  <c r="K500" i="2"/>
  <c r="L500" i="2" s="1"/>
  <c r="K501" i="2"/>
  <c r="L501" i="2" s="1"/>
  <c r="K502" i="2"/>
  <c r="L502" i="2" s="1"/>
  <c r="K503" i="2"/>
  <c r="L503" i="2" s="1"/>
  <c r="K504" i="2"/>
  <c r="L504" i="2" s="1"/>
  <c r="K505" i="2"/>
  <c r="L505" i="2" s="1"/>
  <c r="K506" i="2"/>
  <c r="L506" i="2" s="1"/>
  <c r="K507" i="2"/>
  <c r="L507" i="2" s="1"/>
  <c r="K508" i="2"/>
  <c r="L508" i="2" s="1"/>
  <c r="K509" i="2"/>
  <c r="L509" i="2" s="1"/>
  <c r="K510" i="2"/>
  <c r="L510" i="2" s="1"/>
  <c r="K511" i="2"/>
  <c r="L511" i="2" s="1"/>
  <c r="K512" i="2"/>
  <c r="L512" i="2" s="1"/>
  <c r="K513" i="2"/>
  <c r="L513" i="2" s="1"/>
  <c r="K514" i="2"/>
  <c r="L514" i="2" s="1"/>
  <c r="K515" i="2"/>
  <c r="L515" i="2" s="1"/>
  <c r="K516" i="2"/>
  <c r="L516" i="2" s="1"/>
  <c r="K517" i="2"/>
  <c r="L517" i="2" s="1"/>
  <c r="K518" i="2"/>
  <c r="L518" i="2" s="1"/>
  <c r="K519" i="2"/>
  <c r="L519" i="2" s="1"/>
  <c r="K520" i="2"/>
  <c r="L520" i="2" s="1"/>
  <c r="K521" i="2"/>
  <c r="L521" i="2" s="1"/>
  <c r="K522" i="2"/>
  <c r="L522" i="2" s="1"/>
  <c r="K523" i="2"/>
  <c r="L523" i="2" s="1"/>
  <c r="K524" i="2"/>
  <c r="L524" i="2" s="1"/>
  <c r="K525" i="2"/>
  <c r="L525" i="2" s="1"/>
  <c r="K526" i="2"/>
  <c r="L526" i="2" s="1"/>
  <c r="K527" i="2"/>
  <c r="L527" i="2" s="1"/>
  <c r="K528" i="2"/>
  <c r="L528" i="2" s="1"/>
  <c r="K529" i="2"/>
  <c r="L529" i="2" s="1"/>
  <c r="K530" i="2"/>
  <c r="L530" i="2" s="1"/>
  <c r="K531" i="2"/>
  <c r="L531" i="2" s="1"/>
  <c r="K532" i="2"/>
  <c r="L532" i="2" s="1"/>
  <c r="K533" i="2"/>
  <c r="L533" i="2" s="1"/>
  <c r="K534" i="2"/>
  <c r="L534" i="2" s="1"/>
  <c r="K535" i="2"/>
  <c r="L535" i="2" s="1"/>
  <c r="K536" i="2"/>
  <c r="L536" i="2" s="1"/>
  <c r="K537" i="2"/>
  <c r="L537" i="2" s="1"/>
  <c r="K538" i="2"/>
  <c r="L538" i="2" s="1"/>
  <c r="K539" i="2"/>
  <c r="L539" i="2" s="1"/>
  <c r="K540" i="2"/>
  <c r="L540" i="2" s="1"/>
  <c r="K541" i="2"/>
  <c r="L541" i="2" s="1"/>
  <c r="K542" i="2"/>
  <c r="L542" i="2" s="1"/>
  <c r="K543" i="2"/>
  <c r="L543" i="2" s="1"/>
  <c r="W118" i="9"/>
  <c r="W119" i="9"/>
  <c r="W120" i="9"/>
  <c r="W121" i="9"/>
  <c r="W122" i="9"/>
  <c r="W123" i="9"/>
  <c r="W124" i="9"/>
  <c r="W125" i="9"/>
  <c r="W126" i="9"/>
  <c r="T352" i="2" l="1"/>
  <c r="U352" i="2" s="1"/>
  <c r="V352" i="2" s="1"/>
  <c r="X352" i="2" s="1"/>
  <c r="T350" i="2"/>
  <c r="U350" i="2" s="1"/>
  <c r="V350" i="2" s="1"/>
  <c r="X350" i="2" s="1"/>
  <c r="T348" i="2"/>
  <c r="U348" i="2" s="1"/>
  <c r="V348" i="2" s="1"/>
  <c r="X348" i="2" s="1"/>
  <c r="T346" i="2"/>
  <c r="U346" i="2" s="1"/>
  <c r="V346" i="2" s="1"/>
  <c r="X346" i="2" s="1"/>
  <c r="T344" i="2"/>
  <c r="U344" i="2" s="1"/>
  <c r="V344" i="2" s="1"/>
  <c r="X344" i="2" s="1"/>
  <c r="T342" i="2"/>
  <c r="U342" i="2" s="1"/>
  <c r="V342" i="2" s="1"/>
  <c r="X342" i="2" s="1"/>
  <c r="T340" i="2"/>
  <c r="U340" i="2" s="1"/>
  <c r="V340" i="2" s="1"/>
  <c r="X340" i="2" s="1"/>
  <c r="T338" i="2"/>
  <c r="U338" i="2" s="1"/>
  <c r="V338" i="2" s="1"/>
  <c r="X338" i="2" s="1"/>
  <c r="T336" i="2"/>
  <c r="U336" i="2" s="1"/>
  <c r="V336" i="2" s="1"/>
  <c r="X336" i="2" s="1"/>
  <c r="T334" i="2"/>
  <c r="U334" i="2" s="1"/>
  <c r="V334" i="2" s="1"/>
  <c r="X334" i="2" s="1"/>
  <c r="T332" i="2"/>
  <c r="U332" i="2" s="1"/>
  <c r="V332" i="2" s="1"/>
  <c r="X332" i="2" s="1"/>
  <c r="T296" i="2"/>
  <c r="U296" i="2" s="1"/>
  <c r="V296" i="2" s="1"/>
  <c r="X296" i="2" s="1"/>
  <c r="T351" i="2"/>
  <c r="U351" i="2" s="1"/>
  <c r="V351" i="2" s="1"/>
  <c r="X351" i="2" s="1"/>
  <c r="T349" i="2"/>
  <c r="U349" i="2" s="1"/>
  <c r="V349" i="2" s="1"/>
  <c r="X349" i="2" s="1"/>
  <c r="T347" i="2"/>
  <c r="U347" i="2" s="1"/>
  <c r="V347" i="2" s="1"/>
  <c r="X347" i="2" s="1"/>
  <c r="T345" i="2"/>
  <c r="U345" i="2" s="1"/>
  <c r="V345" i="2" s="1"/>
  <c r="X345" i="2" s="1"/>
  <c r="T343" i="2"/>
  <c r="U343" i="2" s="1"/>
  <c r="V343" i="2" s="1"/>
  <c r="X343" i="2" s="1"/>
  <c r="T341" i="2"/>
  <c r="U341" i="2" s="1"/>
  <c r="V341" i="2" s="1"/>
  <c r="X341" i="2" s="1"/>
  <c r="T339" i="2"/>
  <c r="U339" i="2" s="1"/>
  <c r="V339" i="2" s="1"/>
  <c r="X339" i="2" s="1"/>
  <c r="T337" i="2"/>
  <c r="U337" i="2" s="1"/>
  <c r="V337" i="2" s="1"/>
  <c r="X337" i="2" s="1"/>
  <c r="T335" i="2"/>
  <c r="U335" i="2" s="1"/>
  <c r="V335" i="2" s="1"/>
  <c r="X335" i="2" s="1"/>
  <c r="T333" i="2"/>
  <c r="U333" i="2" s="1"/>
  <c r="V333" i="2" s="1"/>
  <c r="X333" i="2" s="1"/>
  <c r="M75" i="1" s="1"/>
  <c r="T320" i="2"/>
  <c r="U320" i="2" s="1"/>
  <c r="V320" i="2" s="1"/>
  <c r="X320" i="2" s="1"/>
  <c r="Q6" i="1"/>
  <c r="Q5" i="1"/>
  <c r="T299" i="2"/>
  <c r="U299" i="2" s="1"/>
  <c r="V299" i="2" s="1"/>
  <c r="X299" i="2" s="1"/>
  <c r="S115" i="9" l="1"/>
  <c r="S110" i="9"/>
  <c r="S117" i="9"/>
  <c r="K322" i="2" l="1"/>
  <c r="L322" i="2" s="1"/>
  <c r="M324" i="2"/>
  <c r="N324" i="2" s="1"/>
  <c r="O262" i="2"/>
  <c r="P262" i="2" s="1"/>
  <c r="M271" i="2"/>
  <c r="N271" i="2" s="1"/>
  <c r="M287" i="2"/>
  <c r="N287" i="2" s="1"/>
  <c r="S46" i="6"/>
  <c r="S47" i="6"/>
  <c r="I5" i="4"/>
  <c r="S20" i="9"/>
  <c r="O123" i="9" l="1"/>
  <c r="P123" i="9" s="1"/>
  <c r="M119" i="9"/>
  <c r="N119" i="9" s="1"/>
  <c r="O122" i="9"/>
  <c r="P122" i="9" s="1"/>
  <c r="O126" i="9"/>
  <c r="P126" i="9" s="1"/>
  <c r="M128" i="9"/>
  <c r="N128" i="9" s="1"/>
  <c r="K316" i="2"/>
  <c r="L316" i="2" s="1"/>
  <c r="Q294" i="2"/>
  <c r="R294" i="2" s="1"/>
  <c r="M302" i="2"/>
  <c r="N302" i="2" s="1"/>
  <c r="M258" i="2"/>
  <c r="N258" i="2" s="1"/>
  <c r="S63" i="2"/>
  <c r="S89" i="2"/>
  <c r="S84" i="5"/>
  <c r="S85" i="5"/>
  <c r="S20" i="2"/>
  <c r="S239" i="2"/>
  <c r="W38" i="5"/>
  <c r="W27" i="5"/>
  <c r="W28" i="5"/>
  <c r="S22" i="5"/>
  <c r="K46" i="5" l="1"/>
  <c r="K47" i="5"/>
  <c r="K48" i="5"/>
  <c r="I19" i="4"/>
  <c r="S7" i="9"/>
  <c r="K269" i="2" l="1"/>
  <c r="K318" i="2"/>
  <c r="L318" i="2" s="1"/>
  <c r="O113" i="9"/>
  <c r="P113" i="9" s="1"/>
  <c r="K112" i="9"/>
  <c r="K282" i="2"/>
  <c r="L282" i="2" s="1"/>
  <c r="T282" i="2" s="1"/>
  <c r="U282" i="2" s="1"/>
  <c r="V282" i="2" s="1"/>
  <c r="X282" i="2" s="1"/>
  <c r="O311" i="2"/>
  <c r="P311" i="2" s="1"/>
  <c r="M126" i="9"/>
  <c r="N126" i="9" s="1"/>
  <c r="K317" i="2"/>
  <c r="L317" i="2" s="1"/>
  <c r="M327" i="2"/>
  <c r="N327" i="2" s="1"/>
  <c r="M326" i="2"/>
  <c r="N326" i="2" s="1"/>
  <c r="M122" i="9"/>
  <c r="N122" i="9" s="1"/>
  <c r="T122" i="9" s="1"/>
  <c r="U122" i="9" s="1"/>
  <c r="V122" i="9" s="1"/>
  <c r="X122" i="9" s="1"/>
  <c r="O129" i="9"/>
  <c r="P129" i="9" s="1"/>
  <c r="M295" i="2"/>
  <c r="N295" i="2" s="1"/>
  <c r="M280" i="2"/>
  <c r="N280" i="2" s="1"/>
  <c r="K310" i="2"/>
  <c r="L310" i="2" s="1"/>
  <c r="M283" i="2"/>
  <c r="N283" i="2" s="1"/>
  <c r="O285" i="2"/>
  <c r="P285" i="2" s="1"/>
  <c r="K114" i="9"/>
  <c r="L114" i="9" s="1"/>
  <c r="K330" i="2"/>
  <c r="L330" i="2" s="1"/>
  <c r="K277" i="2"/>
  <c r="L277" i="2" s="1"/>
  <c r="T277" i="2" s="1"/>
  <c r="U277" i="2" s="1"/>
  <c r="V277" i="2" s="1"/>
  <c r="X277" i="2" s="1"/>
  <c r="M278" i="2"/>
  <c r="N278" i="2" s="1"/>
  <c r="K276" i="2"/>
  <c r="L276" i="2" s="1"/>
  <c r="T276" i="2" s="1"/>
  <c r="U276" i="2" s="1"/>
  <c r="V276" i="2" s="1"/>
  <c r="X276" i="2" s="1"/>
  <c r="K275" i="2"/>
  <c r="L275" i="2" s="1"/>
  <c r="M281" i="2"/>
  <c r="N281" i="2" s="1"/>
  <c r="K273" i="2"/>
  <c r="L273" i="2" s="1"/>
  <c r="K308" i="2"/>
  <c r="L308" i="2" s="1"/>
  <c r="T308" i="2" s="1"/>
  <c r="U308" i="2" s="1"/>
  <c r="V308" i="2" s="1"/>
  <c r="X308" i="2" s="1"/>
  <c r="K323" i="2"/>
  <c r="L323" i="2" s="1"/>
  <c r="K274" i="2"/>
  <c r="L274" i="2" s="1"/>
  <c r="K279" i="2"/>
  <c r="L279" i="2" s="1"/>
  <c r="K307" i="2"/>
  <c r="L307" i="2" s="1"/>
  <c r="T307" i="2" s="1"/>
  <c r="U307" i="2" s="1"/>
  <c r="V307" i="2" s="1"/>
  <c r="X307" i="2" s="1"/>
  <c r="K280" i="2"/>
  <c r="L280" i="2" s="1"/>
  <c r="K331" i="2"/>
  <c r="L331" i="2" s="1"/>
  <c r="T331" i="2" s="1"/>
  <c r="U331" i="2" s="1"/>
  <c r="V331" i="2" s="1"/>
  <c r="X331" i="2" s="1"/>
  <c r="K329" i="2"/>
  <c r="L329" i="2" s="1"/>
  <c r="T329" i="2" s="1"/>
  <c r="U329" i="2" s="1"/>
  <c r="V329" i="2" s="1"/>
  <c r="X329" i="2" s="1"/>
  <c r="K278" i="2"/>
  <c r="L278" i="2" s="1"/>
  <c r="K289" i="2"/>
  <c r="L289" i="2" s="1"/>
  <c r="T289" i="2" s="1"/>
  <c r="U289" i="2" s="1"/>
  <c r="V289" i="2" s="1"/>
  <c r="X289" i="2" s="1"/>
  <c r="M52" i="1" s="1"/>
  <c r="K271" i="2"/>
  <c r="L271" i="2" s="1"/>
  <c r="T271" i="2" s="1"/>
  <c r="U271" i="2" s="1"/>
  <c r="V271" i="2" s="1"/>
  <c r="X271" i="2" s="1"/>
  <c r="M273" i="2"/>
  <c r="N273" i="2" s="1"/>
  <c r="K301" i="2"/>
  <c r="L301" i="2" s="1"/>
  <c r="M291" i="2"/>
  <c r="N291" i="2" s="1"/>
  <c r="M297" i="2"/>
  <c r="N297" i="2" s="1"/>
  <c r="K281" i="2"/>
  <c r="L281" i="2" s="1"/>
  <c r="M313" i="2"/>
  <c r="N313" i="2" s="1"/>
  <c r="K321" i="2"/>
  <c r="L321" i="2" s="1"/>
  <c r="M322" i="2"/>
  <c r="N322" i="2" s="1"/>
  <c r="T322" i="2" s="1"/>
  <c r="U322" i="2" s="1"/>
  <c r="V322" i="2" s="1"/>
  <c r="X322" i="2" s="1"/>
  <c r="W31" i="1" s="1"/>
  <c r="M330" i="2"/>
  <c r="N330" i="2" s="1"/>
  <c r="M270" i="2"/>
  <c r="N270" i="2" s="1"/>
  <c r="M316" i="2"/>
  <c r="N316" i="2" s="1"/>
  <c r="T316" i="2" s="1"/>
  <c r="U316" i="2" s="1"/>
  <c r="V316" i="2" s="1"/>
  <c r="X316" i="2" s="1"/>
  <c r="M267" i="2"/>
  <c r="N267" i="2" s="1"/>
  <c r="M290" i="2"/>
  <c r="N290" i="2" s="1"/>
  <c r="M311" i="2"/>
  <c r="N311" i="2" s="1"/>
  <c r="T280" i="2" l="1"/>
  <c r="U280" i="2" s="1"/>
  <c r="V280" i="2" s="1"/>
  <c r="X280" i="2" s="1"/>
  <c r="O119" i="9"/>
  <c r="P119" i="9" s="1"/>
  <c r="T119" i="9" s="1"/>
  <c r="U119" i="9" s="1"/>
  <c r="V119" i="9" s="1"/>
  <c r="X119" i="9" s="1"/>
  <c r="O121" i="9"/>
  <c r="P121" i="9" s="1"/>
  <c r="T121" i="9" s="1"/>
  <c r="U121" i="9" s="1"/>
  <c r="V121" i="9" s="1"/>
  <c r="X121" i="9" s="1"/>
  <c r="M118" i="9"/>
  <c r="N118" i="9" s="1"/>
  <c r="T118" i="9" s="1"/>
  <c r="U118" i="9" s="1"/>
  <c r="V118" i="9" s="1"/>
  <c r="X118" i="9" s="1"/>
  <c r="M321" i="2"/>
  <c r="N321" i="2" s="1"/>
  <c r="K306" i="2"/>
  <c r="L306" i="2" s="1"/>
  <c r="K324" i="2"/>
  <c r="L324" i="2" s="1"/>
  <c r="M318" i="2"/>
  <c r="N318" i="2" s="1"/>
  <c r="K327" i="2"/>
  <c r="L327" i="2" s="1"/>
  <c r="T327" i="2" s="1"/>
  <c r="U327" i="2" s="1"/>
  <c r="V327" i="2" s="1"/>
  <c r="X327" i="2" s="1"/>
  <c r="K328" i="2"/>
  <c r="L328" i="2" s="1"/>
  <c r="T328" i="2" s="1"/>
  <c r="U328" i="2" s="1"/>
  <c r="V328" i="2" s="1"/>
  <c r="X328" i="2" s="1"/>
  <c r="K311" i="2"/>
  <c r="L311" i="2" s="1"/>
  <c r="T311" i="2" s="1"/>
  <c r="U311" i="2" s="1"/>
  <c r="V311" i="2" s="1"/>
  <c r="X311" i="2" s="1"/>
  <c r="M129" i="9"/>
  <c r="N129" i="9" s="1"/>
  <c r="K305" i="2"/>
  <c r="L305" i="2" s="1"/>
  <c r="K315" i="2"/>
  <c r="L315" i="2" s="1"/>
  <c r="T330" i="2"/>
  <c r="U330" i="2" s="1"/>
  <c r="V330" i="2" s="1"/>
  <c r="X330" i="2" s="1"/>
  <c r="K326" i="2"/>
  <c r="L326" i="2" s="1"/>
  <c r="T326" i="2" s="1"/>
  <c r="U326" i="2" s="1"/>
  <c r="V326" i="2" s="1"/>
  <c r="X326" i="2" s="1"/>
  <c r="M306" i="2"/>
  <c r="N306" i="2" s="1"/>
  <c r="O305" i="2"/>
  <c r="P305" i="2" s="1"/>
  <c r="O315" i="2"/>
  <c r="P315" i="2" s="1"/>
  <c r="O298" i="2"/>
  <c r="P298" i="2" s="1"/>
  <c r="M125" i="9"/>
  <c r="N125" i="9" s="1"/>
  <c r="O116" i="9"/>
  <c r="P116" i="9" s="1"/>
  <c r="M124" i="9"/>
  <c r="N124" i="9" s="1"/>
  <c r="K288" i="2"/>
  <c r="L288" i="2" s="1"/>
  <c r="T288" i="2" s="1"/>
  <c r="U288" i="2" s="1"/>
  <c r="V288" i="2" s="1"/>
  <c r="X288" i="2" s="1"/>
  <c r="M317" i="2"/>
  <c r="N317" i="2" s="1"/>
  <c r="T317" i="2" s="1"/>
  <c r="U317" i="2" s="1"/>
  <c r="V317" i="2" s="1"/>
  <c r="X317" i="2" s="1"/>
  <c r="M45" i="1" s="1"/>
  <c r="T318" i="2"/>
  <c r="U318" i="2" s="1"/>
  <c r="V318" i="2" s="1"/>
  <c r="X318" i="2" s="1"/>
  <c r="M266" i="2"/>
  <c r="N266" i="2" s="1"/>
  <c r="M114" i="9"/>
  <c r="N114" i="9" s="1"/>
  <c r="T321" i="2"/>
  <c r="U321" i="2" s="1"/>
  <c r="V321" i="2" s="1"/>
  <c r="X321" i="2" s="1"/>
  <c r="W33" i="1" s="1"/>
  <c r="K314" i="2"/>
  <c r="L314" i="2" s="1"/>
  <c r="T314" i="2" s="1"/>
  <c r="U314" i="2" s="1"/>
  <c r="V314" i="2" s="1"/>
  <c r="X314" i="2" s="1"/>
  <c r="K309" i="2"/>
  <c r="L309" i="2" s="1"/>
  <c r="K312" i="2"/>
  <c r="L312" i="2" s="1"/>
  <c r="T312" i="2" s="1"/>
  <c r="U312" i="2" s="1"/>
  <c r="V312" i="2" s="1"/>
  <c r="X312" i="2" s="1"/>
  <c r="K319" i="2"/>
  <c r="L319" i="2" s="1"/>
  <c r="T319" i="2" s="1"/>
  <c r="U319" i="2" s="1"/>
  <c r="V319" i="2" s="1"/>
  <c r="X319" i="2" s="1"/>
  <c r="O125" i="9"/>
  <c r="P125" i="9" s="1"/>
  <c r="O124" i="9"/>
  <c r="P124" i="9" s="1"/>
  <c r="M116" i="9"/>
  <c r="N116" i="9" s="1"/>
  <c r="K313" i="2"/>
  <c r="L313" i="2" s="1"/>
  <c r="T313" i="2" s="1"/>
  <c r="U313" i="2" s="1"/>
  <c r="V313" i="2" s="1"/>
  <c r="X313" i="2" s="1"/>
  <c r="K325" i="2"/>
  <c r="L325" i="2" s="1"/>
  <c r="T325" i="2" s="1"/>
  <c r="U325" i="2" s="1"/>
  <c r="V325" i="2" s="1"/>
  <c r="X325" i="2" s="1"/>
  <c r="K304" i="2"/>
  <c r="L304" i="2" s="1"/>
  <c r="M123" i="9"/>
  <c r="N123" i="9" s="1"/>
  <c r="Q309" i="2"/>
  <c r="R309" i="2" s="1"/>
  <c r="O324" i="2"/>
  <c r="P324" i="2" s="1"/>
  <c r="O309" i="2"/>
  <c r="P309" i="2" s="1"/>
  <c r="O323" i="2"/>
  <c r="P323" i="2" s="1"/>
  <c r="M310" i="2"/>
  <c r="N310" i="2" s="1"/>
  <c r="T310" i="2" s="1"/>
  <c r="U310" i="2" s="1"/>
  <c r="V310" i="2" s="1"/>
  <c r="X310" i="2" s="1"/>
  <c r="M300" i="2"/>
  <c r="N300" i="2" s="1"/>
  <c r="M305" i="2"/>
  <c r="N305" i="2" s="1"/>
  <c r="M309" i="2"/>
  <c r="N309" i="2" s="1"/>
  <c r="M315" i="2"/>
  <c r="N315" i="2" s="1"/>
  <c r="M323" i="2"/>
  <c r="N323" i="2" s="1"/>
  <c r="T323" i="2" s="1"/>
  <c r="U323" i="2" s="1"/>
  <c r="V323" i="2" s="1"/>
  <c r="X323" i="2" s="1"/>
  <c r="K45" i="5"/>
  <c r="M265" i="2"/>
  <c r="N265" i="2" s="1"/>
  <c r="M304" i="2"/>
  <c r="N304" i="2" s="1"/>
  <c r="K303" i="2"/>
  <c r="L303" i="2" s="1"/>
  <c r="K291" i="2"/>
  <c r="L291" i="2" s="1"/>
  <c r="K290" i="2"/>
  <c r="L290" i="2" s="1"/>
  <c r="K293" i="2"/>
  <c r="L293" i="2" s="1"/>
  <c r="T293" i="2" s="1"/>
  <c r="U293" i="2" s="1"/>
  <c r="V293" i="2" s="1"/>
  <c r="X293" i="2" s="1"/>
  <c r="K294" i="2"/>
  <c r="L294" i="2" s="1"/>
  <c r="K283" i="2"/>
  <c r="L283" i="2" s="1"/>
  <c r="K285" i="2"/>
  <c r="L285" i="2" s="1"/>
  <c r="O272" i="2"/>
  <c r="P272" i="2" s="1"/>
  <c r="O278" i="2"/>
  <c r="P278" i="2" s="1"/>
  <c r="T278" i="2" s="1"/>
  <c r="U278" i="2" s="1"/>
  <c r="V278" i="2" s="1"/>
  <c r="X278" i="2" s="1"/>
  <c r="O291" i="2"/>
  <c r="P291" i="2" s="1"/>
  <c r="M286" i="2"/>
  <c r="N286" i="2" s="1"/>
  <c r="M292" i="2"/>
  <c r="N292" i="2" s="1"/>
  <c r="M256" i="2"/>
  <c r="M301" i="2"/>
  <c r="N301" i="2" s="1"/>
  <c r="K297" i="2"/>
  <c r="L297" i="2" s="1"/>
  <c r="T297" i="2" s="1"/>
  <c r="U297" i="2" s="1"/>
  <c r="V297" i="2" s="1"/>
  <c r="X297" i="2" s="1"/>
  <c r="W65" i="1" s="1"/>
  <c r="M263" i="2"/>
  <c r="N263" i="2" s="1"/>
  <c r="O279" i="2"/>
  <c r="P279" i="2" s="1"/>
  <c r="O290" i="2"/>
  <c r="P290" i="2" s="1"/>
  <c r="M272" i="2"/>
  <c r="N272" i="2" s="1"/>
  <c r="K270" i="2"/>
  <c r="O294" i="2"/>
  <c r="P294" i="2" s="1"/>
  <c r="M269" i="2"/>
  <c r="N269" i="2" s="1"/>
  <c r="M275" i="2"/>
  <c r="N275" i="2" s="1"/>
  <c r="M285" i="2"/>
  <c r="N285" i="2" s="1"/>
  <c r="O273" i="2"/>
  <c r="P273" i="2" s="1"/>
  <c r="O283" i="2"/>
  <c r="P283" i="2" s="1"/>
  <c r="K302" i="2"/>
  <c r="L302" i="2" s="1"/>
  <c r="T302" i="2" s="1"/>
  <c r="U302" i="2" s="1"/>
  <c r="V302" i="2" s="1"/>
  <c r="X302" i="2" s="1"/>
  <c r="W80" i="1" s="1"/>
  <c r="M262" i="2"/>
  <c r="N262" i="2" s="1"/>
  <c r="K287" i="2"/>
  <c r="L287" i="2" s="1"/>
  <c r="K298" i="2"/>
  <c r="L298" i="2" s="1"/>
  <c r="K300" i="2"/>
  <c r="L300" i="2" s="1"/>
  <c r="K272" i="2"/>
  <c r="L272" i="2" s="1"/>
  <c r="K295" i="2"/>
  <c r="L295" i="2" s="1"/>
  <c r="T295" i="2" s="1"/>
  <c r="U295" i="2" s="1"/>
  <c r="V295" i="2" s="1"/>
  <c r="X295" i="2" s="1"/>
  <c r="T304" i="2"/>
  <c r="U304" i="2" s="1"/>
  <c r="V304" i="2" s="1"/>
  <c r="X304" i="2" s="1"/>
  <c r="W82" i="1" s="1"/>
  <c r="Q291" i="2"/>
  <c r="R291" i="2" s="1"/>
  <c r="K292" i="2"/>
  <c r="L292" i="2" s="1"/>
  <c r="T292" i="2" s="1"/>
  <c r="U292" i="2" s="1"/>
  <c r="V292" i="2" s="1"/>
  <c r="X292" i="2" s="1"/>
  <c r="M279" i="2"/>
  <c r="N279" i="2" s="1"/>
  <c r="T279" i="2" s="1"/>
  <c r="U279" i="2" s="1"/>
  <c r="V279" i="2" s="1"/>
  <c r="X279" i="2" s="1"/>
  <c r="M274" i="2"/>
  <c r="N274" i="2" s="1"/>
  <c r="T274" i="2" s="1"/>
  <c r="U274" i="2" s="1"/>
  <c r="V274" i="2" s="1"/>
  <c r="X274" i="2" s="1"/>
  <c r="O301" i="2"/>
  <c r="P301" i="2" s="1"/>
  <c r="O275" i="2"/>
  <c r="P275" i="2" s="1"/>
  <c r="O281" i="2"/>
  <c r="P281" i="2" s="1"/>
  <c r="T281" i="2" s="1"/>
  <c r="U281" i="2" s="1"/>
  <c r="V281" i="2" s="1"/>
  <c r="X281" i="2" s="1"/>
  <c r="O287" i="2"/>
  <c r="P287" i="2" s="1"/>
  <c r="Q298" i="2"/>
  <c r="R298" i="2" s="1"/>
  <c r="Q275" i="2"/>
  <c r="R275" i="2" s="1"/>
  <c r="O300" i="2"/>
  <c r="P300" i="2" s="1"/>
  <c r="Q273" i="2"/>
  <c r="R273" i="2" s="1"/>
  <c r="M294" i="2"/>
  <c r="N294" i="2" s="1"/>
  <c r="M303" i="2"/>
  <c r="N303" i="2" s="1"/>
  <c r="K286" i="2"/>
  <c r="L286" i="2" s="1"/>
  <c r="T286" i="2" s="1"/>
  <c r="U286" i="2" s="1"/>
  <c r="V286" i="2" s="1"/>
  <c r="X286" i="2" s="1"/>
  <c r="S237" i="2"/>
  <c r="S234" i="2"/>
  <c r="M59" i="1" l="1"/>
  <c r="T273" i="2"/>
  <c r="U273" i="2" s="1"/>
  <c r="V273" i="2" s="1"/>
  <c r="X273" i="2" s="1"/>
  <c r="T272" i="2"/>
  <c r="U272" i="2" s="1"/>
  <c r="V272" i="2" s="1"/>
  <c r="X272" i="2" s="1"/>
  <c r="T305" i="2"/>
  <c r="U305" i="2" s="1"/>
  <c r="V305" i="2" s="1"/>
  <c r="X305" i="2" s="1"/>
  <c r="T324" i="2"/>
  <c r="U324" i="2" s="1"/>
  <c r="V324" i="2" s="1"/>
  <c r="X324" i="2" s="1"/>
  <c r="T309" i="2"/>
  <c r="U309" i="2" s="1"/>
  <c r="V309" i="2" s="1"/>
  <c r="X309" i="2" s="1"/>
  <c r="T315" i="2"/>
  <c r="U315" i="2" s="1"/>
  <c r="V315" i="2" s="1"/>
  <c r="X315" i="2" s="1"/>
  <c r="T306" i="2"/>
  <c r="U306" i="2" s="1"/>
  <c r="V306" i="2" s="1"/>
  <c r="X306" i="2" s="1"/>
  <c r="T275" i="2"/>
  <c r="U275" i="2" s="1"/>
  <c r="V275" i="2" s="1"/>
  <c r="X275" i="2" s="1"/>
  <c r="T287" i="2"/>
  <c r="U287" i="2" s="1"/>
  <c r="V287" i="2" s="1"/>
  <c r="X287" i="2" s="1"/>
  <c r="M7" i="1" s="1"/>
  <c r="T301" i="2"/>
  <c r="U301" i="2" s="1"/>
  <c r="V301" i="2" s="1"/>
  <c r="X301" i="2" s="1"/>
  <c r="M21" i="1"/>
  <c r="T300" i="2"/>
  <c r="U300" i="2" s="1"/>
  <c r="V300" i="2" s="1"/>
  <c r="X300" i="2" s="1"/>
  <c r="T298" i="2"/>
  <c r="U298" i="2" s="1"/>
  <c r="V298" i="2" s="1"/>
  <c r="X298" i="2" s="1"/>
  <c r="T283" i="2"/>
  <c r="U283" i="2" s="1"/>
  <c r="V283" i="2" s="1"/>
  <c r="X283" i="2" s="1"/>
  <c r="T291" i="2"/>
  <c r="U291" i="2" s="1"/>
  <c r="V291" i="2" s="1"/>
  <c r="X291" i="2" s="1"/>
  <c r="W63" i="1"/>
  <c r="T285" i="2"/>
  <c r="U285" i="2" s="1"/>
  <c r="V285" i="2" s="1"/>
  <c r="X285" i="2" s="1"/>
  <c r="W17" i="1" s="1"/>
  <c r="T294" i="2"/>
  <c r="U294" i="2" s="1"/>
  <c r="V294" i="2" s="1"/>
  <c r="X294" i="2" s="1"/>
  <c r="T290" i="2"/>
  <c r="U290" i="2" s="1"/>
  <c r="V290" i="2" s="1"/>
  <c r="X290" i="2" s="1"/>
  <c r="T303" i="2"/>
  <c r="U303" i="2" s="1"/>
  <c r="V303" i="2" s="1"/>
  <c r="X303" i="2" s="1"/>
  <c r="W78" i="1" s="1"/>
  <c r="S106" i="9"/>
  <c r="S101" i="9"/>
  <c r="S100" i="9"/>
  <c r="S120" i="6"/>
  <c r="S119" i="6"/>
  <c r="S118" i="6"/>
  <c r="S117" i="6"/>
  <c r="S116" i="6"/>
  <c r="S113" i="6" l="1"/>
  <c r="S111" i="6" l="1"/>
  <c r="W42" i="5"/>
  <c r="W43" i="5"/>
  <c r="W44" i="5"/>
  <c r="S44" i="5"/>
  <c r="S50" i="5"/>
  <c r="S213" i="5"/>
  <c r="S219" i="2"/>
  <c r="S221" i="2"/>
  <c r="S106" i="6"/>
  <c r="S104" i="6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S218" i="2"/>
  <c r="S220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5" i="2"/>
  <c r="S236" i="2"/>
  <c r="S238" i="2"/>
  <c r="S240" i="2"/>
  <c r="Q216" i="2"/>
  <c r="R216" i="2" s="1"/>
  <c r="Q217" i="2"/>
  <c r="R217" i="2" s="1"/>
  <c r="Q218" i="2"/>
  <c r="R218" i="2" s="1"/>
  <c r="Q219" i="2"/>
  <c r="R219" i="2" s="1"/>
  <c r="Q220" i="2"/>
  <c r="R220" i="2" s="1"/>
  <c r="Q221" i="2"/>
  <c r="R221" i="2" s="1"/>
  <c r="Q222" i="2"/>
  <c r="R222" i="2" s="1"/>
  <c r="Q223" i="2"/>
  <c r="R223" i="2" s="1"/>
  <c r="Q224" i="2"/>
  <c r="R224" i="2" s="1"/>
  <c r="Q225" i="2"/>
  <c r="R225" i="2" s="1"/>
  <c r="Q226" i="2"/>
  <c r="R226" i="2" s="1"/>
  <c r="Q227" i="2"/>
  <c r="R227" i="2" s="1"/>
  <c r="Q228" i="2"/>
  <c r="R228" i="2" s="1"/>
  <c r="Q229" i="2"/>
  <c r="R229" i="2" s="1"/>
  <c r="Q230" i="2"/>
  <c r="R230" i="2" s="1"/>
  <c r="Q231" i="2"/>
  <c r="R231" i="2" s="1"/>
  <c r="Q232" i="2"/>
  <c r="R232" i="2" s="1"/>
  <c r="Q233" i="2"/>
  <c r="R233" i="2" s="1"/>
  <c r="Q234" i="2"/>
  <c r="R234" i="2" s="1"/>
  <c r="Q235" i="2"/>
  <c r="R235" i="2" s="1"/>
  <c r="Q236" i="2"/>
  <c r="R236" i="2" s="1"/>
  <c r="Q237" i="2"/>
  <c r="R237" i="2" s="1"/>
  <c r="Q238" i="2"/>
  <c r="R238" i="2" s="1"/>
  <c r="Q239" i="2"/>
  <c r="R239" i="2" s="1"/>
  <c r="Q240" i="2"/>
  <c r="R240" i="2" s="1"/>
  <c r="Q241" i="2"/>
  <c r="R241" i="2" s="1"/>
  <c r="Q242" i="2"/>
  <c r="R242" i="2" s="1"/>
  <c r="Q243" i="2"/>
  <c r="R243" i="2" s="1"/>
  <c r="Q244" i="2"/>
  <c r="R244" i="2" s="1"/>
  <c r="Q245" i="2"/>
  <c r="R245" i="2" s="1"/>
  <c r="Q246" i="2"/>
  <c r="R246" i="2" s="1"/>
  <c r="O216" i="2"/>
  <c r="P216" i="2" s="1"/>
  <c r="O217" i="2"/>
  <c r="P217" i="2" s="1"/>
  <c r="O218" i="2"/>
  <c r="P218" i="2" s="1"/>
  <c r="O219" i="2"/>
  <c r="P219" i="2" s="1"/>
  <c r="O220" i="2"/>
  <c r="P220" i="2" s="1"/>
  <c r="O221" i="2"/>
  <c r="P221" i="2" s="1"/>
  <c r="O222" i="2"/>
  <c r="P222" i="2" s="1"/>
  <c r="O223" i="2"/>
  <c r="P223" i="2" s="1"/>
  <c r="O224" i="2"/>
  <c r="P224" i="2" s="1"/>
  <c r="O225" i="2"/>
  <c r="P225" i="2" s="1"/>
  <c r="O226" i="2"/>
  <c r="P226" i="2" s="1"/>
  <c r="O227" i="2"/>
  <c r="P227" i="2" s="1"/>
  <c r="O228" i="2"/>
  <c r="P228" i="2" s="1"/>
  <c r="O229" i="2"/>
  <c r="P229" i="2" s="1"/>
  <c r="O230" i="2"/>
  <c r="P230" i="2" s="1"/>
  <c r="O231" i="2"/>
  <c r="P231" i="2" s="1"/>
  <c r="O232" i="2"/>
  <c r="P232" i="2" s="1"/>
  <c r="O233" i="2"/>
  <c r="P233" i="2" s="1"/>
  <c r="O234" i="2"/>
  <c r="P234" i="2" s="1"/>
  <c r="O235" i="2"/>
  <c r="P235" i="2" s="1"/>
  <c r="O236" i="2"/>
  <c r="P236" i="2" s="1"/>
  <c r="O237" i="2"/>
  <c r="P237" i="2" s="1"/>
  <c r="O238" i="2"/>
  <c r="P238" i="2" s="1"/>
  <c r="O239" i="2"/>
  <c r="P239" i="2" s="1"/>
  <c r="O240" i="2"/>
  <c r="P240" i="2" s="1"/>
  <c r="O241" i="2"/>
  <c r="P241" i="2" s="1"/>
  <c r="O242" i="2"/>
  <c r="P242" i="2" s="1"/>
  <c r="O243" i="2"/>
  <c r="P243" i="2" s="1"/>
  <c r="O244" i="2"/>
  <c r="O245" i="2"/>
  <c r="M216" i="2"/>
  <c r="N216" i="2" s="1"/>
  <c r="M217" i="2"/>
  <c r="N217" i="2" s="1"/>
  <c r="M218" i="2"/>
  <c r="N218" i="2" s="1"/>
  <c r="M219" i="2"/>
  <c r="N219" i="2" s="1"/>
  <c r="M220" i="2"/>
  <c r="N220" i="2" s="1"/>
  <c r="M221" i="2"/>
  <c r="N221" i="2" s="1"/>
  <c r="M222" i="2"/>
  <c r="N222" i="2" s="1"/>
  <c r="M223" i="2"/>
  <c r="N223" i="2" s="1"/>
  <c r="M224" i="2"/>
  <c r="N224" i="2" s="1"/>
  <c r="M225" i="2"/>
  <c r="N225" i="2" s="1"/>
  <c r="M226" i="2"/>
  <c r="N226" i="2" s="1"/>
  <c r="M227" i="2"/>
  <c r="N227" i="2" s="1"/>
  <c r="M228" i="2"/>
  <c r="N228" i="2" s="1"/>
  <c r="M229" i="2"/>
  <c r="N229" i="2" s="1"/>
  <c r="M230" i="2"/>
  <c r="N230" i="2" s="1"/>
  <c r="M231" i="2"/>
  <c r="N231" i="2" s="1"/>
  <c r="M232" i="2"/>
  <c r="N232" i="2" s="1"/>
  <c r="M233" i="2"/>
  <c r="N233" i="2" s="1"/>
  <c r="M234" i="2"/>
  <c r="N234" i="2" s="1"/>
  <c r="M235" i="2"/>
  <c r="N235" i="2" s="1"/>
  <c r="M236" i="2"/>
  <c r="N236" i="2" s="1"/>
  <c r="M237" i="2"/>
  <c r="N237" i="2" s="1"/>
  <c r="M238" i="2"/>
  <c r="N238" i="2" s="1"/>
  <c r="M239" i="2"/>
  <c r="N239" i="2" s="1"/>
  <c r="M240" i="2"/>
  <c r="N240" i="2" s="1"/>
  <c r="M241" i="2"/>
  <c r="N241" i="2" s="1"/>
  <c r="M242" i="2"/>
  <c r="N242" i="2" s="1"/>
  <c r="K228" i="2"/>
  <c r="L228" i="2" s="1"/>
  <c r="K229" i="2"/>
  <c r="L229" i="2" s="1"/>
  <c r="K230" i="2"/>
  <c r="L230" i="2" s="1"/>
  <c r="K231" i="2"/>
  <c r="L231" i="2" s="1"/>
  <c r="K232" i="2"/>
  <c r="L232" i="2" s="1"/>
  <c r="K233" i="2"/>
  <c r="L233" i="2" s="1"/>
  <c r="K234" i="2"/>
  <c r="L234" i="2" s="1"/>
  <c r="K235" i="2"/>
  <c r="L235" i="2" s="1"/>
  <c r="K236" i="2"/>
  <c r="L236" i="2" s="1"/>
  <c r="K237" i="2"/>
  <c r="L237" i="2" s="1"/>
  <c r="K238" i="2"/>
  <c r="L238" i="2" s="1"/>
  <c r="K239" i="2"/>
  <c r="L239" i="2" s="1"/>
  <c r="K240" i="2"/>
  <c r="L240" i="2" s="1"/>
  <c r="K241" i="2"/>
  <c r="L241" i="2" s="1"/>
  <c r="K242" i="2"/>
  <c r="L242" i="2" s="1"/>
  <c r="K243" i="2"/>
  <c r="L243" i="2" s="1"/>
  <c r="K244" i="2"/>
  <c r="L244" i="2" s="1"/>
  <c r="K217" i="2"/>
  <c r="L217" i="2" s="1"/>
  <c r="K218" i="2"/>
  <c r="L218" i="2" s="1"/>
  <c r="K219" i="2"/>
  <c r="L219" i="2" s="1"/>
  <c r="K220" i="2"/>
  <c r="L220" i="2" s="1"/>
  <c r="K221" i="2"/>
  <c r="L221" i="2" s="1"/>
  <c r="K222" i="2"/>
  <c r="L222" i="2" s="1"/>
  <c r="K223" i="2"/>
  <c r="L223" i="2" s="1"/>
  <c r="K224" i="2"/>
  <c r="L224" i="2" s="1"/>
  <c r="K225" i="2"/>
  <c r="L225" i="2" s="1"/>
  <c r="K226" i="2"/>
  <c r="L226" i="2" s="1"/>
  <c r="K227" i="2"/>
  <c r="L227" i="2" s="1"/>
  <c r="S217" i="2"/>
  <c r="S209" i="5"/>
  <c r="S207" i="5"/>
  <c r="S205" i="5"/>
  <c r="S110" i="2"/>
  <c r="T227" i="2" l="1"/>
  <c r="U227" i="2" s="1"/>
  <c r="V227" i="2" s="1"/>
  <c r="X227" i="2" s="1"/>
  <c r="T225" i="2"/>
  <c r="U225" i="2" s="1"/>
  <c r="V225" i="2" s="1"/>
  <c r="X225" i="2" s="1"/>
  <c r="T223" i="2"/>
  <c r="U223" i="2" s="1"/>
  <c r="V223" i="2" s="1"/>
  <c r="X223" i="2" s="1"/>
  <c r="T221" i="2"/>
  <c r="U221" i="2" s="1"/>
  <c r="V221" i="2" s="1"/>
  <c r="X221" i="2" s="1"/>
  <c r="T219" i="2"/>
  <c r="U219" i="2" s="1"/>
  <c r="V219" i="2" s="1"/>
  <c r="X219" i="2" s="1"/>
  <c r="T239" i="2"/>
  <c r="U239" i="2" s="1"/>
  <c r="V239" i="2" s="1"/>
  <c r="X239" i="2" s="1"/>
  <c r="T237" i="2"/>
  <c r="U237" i="2" s="1"/>
  <c r="V237" i="2" s="1"/>
  <c r="X237" i="2" s="1"/>
  <c r="W20" i="1" s="1"/>
  <c r="T235" i="2"/>
  <c r="U235" i="2" s="1"/>
  <c r="V235" i="2" s="1"/>
  <c r="X235" i="2" s="1"/>
  <c r="T233" i="2"/>
  <c r="U233" i="2" s="1"/>
  <c r="V233" i="2" s="1"/>
  <c r="X233" i="2" s="1"/>
  <c r="T231" i="2"/>
  <c r="U231" i="2" s="1"/>
  <c r="V231" i="2" s="1"/>
  <c r="X231" i="2" s="1"/>
  <c r="T229" i="2"/>
  <c r="U229" i="2" s="1"/>
  <c r="V229" i="2" s="1"/>
  <c r="X229" i="2" s="1"/>
  <c r="T226" i="2"/>
  <c r="U226" i="2" s="1"/>
  <c r="V226" i="2" s="1"/>
  <c r="X226" i="2" s="1"/>
  <c r="T224" i="2"/>
  <c r="U224" i="2" s="1"/>
  <c r="V224" i="2" s="1"/>
  <c r="X224" i="2" s="1"/>
  <c r="T222" i="2"/>
  <c r="U222" i="2" s="1"/>
  <c r="V222" i="2" s="1"/>
  <c r="X222" i="2" s="1"/>
  <c r="T220" i="2"/>
  <c r="U220" i="2" s="1"/>
  <c r="V220" i="2" s="1"/>
  <c r="X220" i="2" s="1"/>
  <c r="T218" i="2"/>
  <c r="U218" i="2" s="1"/>
  <c r="V218" i="2" s="1"/>
  <c r="X218" i="2" s="1"/>
  <c r="T240" i="2"/>
  <c r="U240" i="2" s="1"/>
  <c r="V240" i="2" s="1"/>
  <c r="X240" i="2" s="1"/>
  <c r="T238" i="2"/>
  <c r="U238" i="2" s="1"/>
  <c r="V238" i="2" s="1"/>
  <c r="X238" i="2" s="1"/>
  <c r="T236" i="2"/>
  <c r="U236" i="2" s="1"/>
  <c r="V236" i="2" s="1"/>
  <c r="X236" i="2" s="1"/>
  <c r="T234" i="2"/>
  <c r="U234" i="2" s="1"/>
  <c r="V234" i="2" s="1"/>
  <c r="X234" i="2" s="1"/>
  <c r="T232" i="2"/>
  <c r="U232" i="2" s="1"/>
  <c r="V232" i="2" s="1"/>
  <c r="X232" i="2" s="1"/>
  <c r="T230" i="2"/>
  <c r="U230" i="2" s="1"/>
  <c r="V230" i="2" s="1"/>
  <c r="X230" i="2" s="1"/>
  <c r="T228" i="2"/>
  <c r="U228" i="2" s="1"/>
  <c r="V228" i="2" s="1"/>
  <c r="X228" i="2" s="1"/>
  <c r="T217" i="2"/>
  <c r="U217" i="2" s="1"/>
  <c r="V217" i="2" s="1"/>
  <c r="X217" i="2" s="1"/>
  <c r="W67" i="1" l="1"/>
  <c r="M66" i="1"/>
  <c r="E86" i="1"/>
  <c r="E3" i="1"/>
  <c r="S241" i="2" l="1"/>
  <c r="T241" i="2" s="1"/>
  <c r="U241" i="2" s="1"/>
  <c r="V241" i="2" s="1"/>
  <c r="X241" i="2" s="1"/>
  <c r="M64" i="1" s="1"/>
  <c r="S251" i="2"/>
  <c r="S91" i="6" l="1"/>
  <c r="O87" i="6"/>
  <c r="O88" i="6"/>
  <c r="O89" i="6"/>
  <c r="O90" i="6"/>
  <c r="P89" i="6"/>
  <c r="S86" i="6"/>
  <c r="Q86" i="6"/>
  <c r="R86" i="6" s="1"/>
  <c r="Q87" i="6"/>
  <c r="R87" i="6" s="1"/>
  <c r="Q88" i="6"/>
  <c r="R88" i="6" s="1"/>
  <c r="Q89" i="6"/>
  <c r="R89" i="6" s="1"/>
  <c r="Q90" i="6"/>
  <c r="R90" i="6" s="1"/>
  <c r="Q91" i="6"/>
  <c r="Q92" i="6"/>
  <c r="S84" i="6"/>
  <c r="S78" i="6"/>
  <c r="S83" i="6"/>
  <c r="S85" i="6"/>
  <c r="S87" i="6"/>
  <c r="S88" i="6"/>
  <c r="S89" i="6"/>
  <c r="S90" i="6"/>
  <c r="S93" i="6"/>
  <c r="S94" i="6"/>
  <c r="S95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S77" i="6"/>
  <c r="S79" i="6"/>
  <c r="S80" i="6"/>
  <c r="S81" i="6"/>
  <c r="S82" i="6"/>
  <c r="Q77" i="6"/>
  <c r="Q78" i="6"/>
  <c r="Q79" i="6"/>
  <c r="Q80" i="6"/>
  <c r="Q81" i="6"/>
  <c r="Q82" i="6"/>
  <c r="Q83" i="6"/>
  <c r="Q84" i="6"/>
  <c r="Q85" i="6"/>
  <c r="O77" i="6"/>
  <c r="O78" i="6"/>
  <c r="O79" i="6"/>
  <c r="O80" i="6"/>
  <c r="O81" i="6"/>
  <c r="O82" i="6"/>
  <c r="O83" i="6"/>
  <c r="O84" i="6"/>
  <c r="O85" i="6"/>
  <c r="O86" i="6"/>
  <c r="M77" i="6"/>
  <c r="M78" i="6"/>
  <c r="M79" i="6"/>
  <c r="M80" i="6"/>
  <c r="N80" i="6" s="1"/>
  <c r="M81" i="6"/>
  <c r="N81" i="6" s="1"/>
  <c r="M82" i="6"/>
  <c r="N82" i="6" s="1"/>
  <c r="M83" i="6"/>
  <c r="N83" i="6" s="1"/>
  <c r="M84" i="6"/>
  <c r="N84" i="6" s="1"/>
  <c r="M85" i="6"/>
  <c r="N85" i="6" s="1"/>
  <c r="M86" i="6"/>
  <c r="N86" i="6" s="1"/>
  <c r="M87" i="6"/>
  <c r="N87" i="6" s="1"/>
  <c r="M88" i="6"/>
  <c r="N88" i="6" s="1"/>
  <c r="M89" i="6"/>
  <c r="N89" i="6" s="1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S76" i="6"/>
  <c r="M76" i="6"/>
  <c r="N76" i="6" s="1"/>
  <c r="S261" i="2"/>
  <c r="S260" i="2"/>
  <c r="S259" i="2"/>
  <c r="S258" i="2"/>
  <c r="S248" i="2"/>
  <c r="S249" i="2"/>
  <c r="S250" i="2"/>
  <c r="S252" i="2"/>
  <c r="S253" i="2"/>
  <c r="S254" i="2"/>
  <c r="S255" i="2"/>
  <c r="S256" i="2"/>
  <c r="S257" i="2"/>
  <c r="S246" i="2"/>
  <c r="S247" i="2"/>
  <c r="S245" i="2"/>
  <c r="S244" i="2"/>
  <c r="S215" i="2"/>
  <c r="S216" i="2"/>
  <c r="S242" i="2"/>
  <c r="T242" i="2" s="1"/>
  <c r="U242" i="2" s="1"/>
  <c r="V242" i="2" s="1"/>
  <c r="X242" i="2" s="1"/>
  <c r="S243" i="2"/>
  <c r="W216" i="2"/>
  <c r="W256" i="2"/>
  <c r="W257" i="2"/>
  <c r="W258" i="2"/>
  <c r="W259" i="2"/>
  <c r="W260" i="2"/>
  <c r="W261" i="2"/>
  <c r="W262" i="2"/>
  <c r="Q213" i="2"/>
  <c r="R213" i="2" s="1"/>
  <c r="Q214" i="2"/>
  <c r="R214" i="2" s="1"/>
  <c r="Q215" i="2"/>
  <c r="R215" i="2" s="1"/>
  <c r="Q247" i="2"/>
  <c r="R247" i="2" s="1"/>
  <c r="Q248" i="2"/>
  <c r="R248" i="2" s="1"/>
  <c r="Q249" i="2"/>
  <c r="R249" i="2" s="1"/>
  <c r="Q250" i="2"/>
  <c r="R250" i="2" s="1"/>
  <c r="Q251" i="2"/>
  <c r="R251" i="2" s="1"/>
  <c r="Q252" i="2"/>
  <c r="R252" i="2" s="1"/>
  <c r="Q253" i="2"/>
  <c r="R253" i="2" s="1"/>
  <c r="Q254" i="2"/>
  <c r="R254" i="2" s="1"/>
  <c r="Q255" i="2"/>
  <c r="R255" i="2" s="1"/>
  <c r="Q256" i="2"/>
  <c r="R256" i="2" s="1"/>
  <c r="O213" i="2"/>
  <c r="P213" i="2" s="1"/>
  <c r="O214" i="2"/>
  <c r="P214" i="2" s="1"/>
  <c r="O215" i="2"/>
  <c r="P215" i="2" s="1"/>
  <c r="P244" i="2"/>
  <c r="P245" i="2"/>
  <c r="O246" i="2"/>
  <c r="P246" i="2" s="1"/>
  <c r="O247" i="2"/>
  <c r="P247" i="2" s="1"/>
  <c r="O248" i="2"/>
  <c r="P248" i="2" s="1"/>
  <c r="O249" i="2"/>
  <c r="P249" i="2" s="1"/>
  <c r="O250" i="2"/>
  <c r="P250" i="2" s="1"/>
  <c r="O251" i="2"/>
  <c r="P251" i="2" s="1"/>
  <c r="O252" i="2"/>
  <c r="P252" i="2" s="1"/>
  <c r="O253" i="2"/>
  <c r="P253" i="2" s="1"/>
  <c r="O254" i="2"/>
  <c r="P254" i="2" s="1"/>
  <c r="O255" i="2"/>
  <c r="P255" i="2" s="1"/>
  <c r="O256" i="2"/>
  <c r="P256" i="2" s="1"/>
  <c r="M214" i="2"/>
  <c r="N214" i="2" s="1"/>
  <c r="M215" i="2"/>
  <c r="N215" i="2" s="1"/>
  <c r="M243" i="2"/>
  <c r="N243" i="2" s="1"/>
  <c r="T243" i="2" s="1"/>
  <c r="U243" i="2" s="1"/>
  <c r="V243" i="2" s="1"/>
  <c r="X243" i="2" s="1"/>
  <c r="W57" i="1" s="1"/>
  <c r="M244" i="2"/>
  <c r="N244" i="2" s="1"/>
  <c r="T244" i="2" s="1"/>
  <c r="U244" i="2" s="1"/>
  <c r="V244" i="2" s="1"/>
  <c r="X244" i="2" s="1"/>
  <c r="M245" i="2"/>
  <c r="N245" i="2" s="1"/>
  <c r="M246" i="2"/>
  <c r="N246" i="2" s="1"/>
  <c r="M247" i="2"/>
  <c r="N247" i="2" s="1"/>
  <c r="M248" i="2"/>
  <c r="N248" i="2" s="1"/>
  <c r="M249" i="2"/>
  <c r="N249" i="2" s="1"/>
  <c r="M250" i="2"/>
  <c r="N250" i="2" s="1"/>
  <c r="M251" i="2"/>
  <c r="N251" i="2" s="1"/>
  <c r="M252" i="2"/>
  <c r="N252" i="2" s="1"/>
  <c r="M253" i="2"/>
  <c r="N253" i="2" s="1"/>
  <c r="M254" i="2"/>
  <c r="N254" i="2" s="1"/>
  <c r="M255" i="2"/>
  <c r="N255" i="2" s="1"/>
  <c r="N256" i="2"/>
  <c r="K246" i="2"/>
  <c r="L246" i="2" s="1"/>
  <c r="K247" i="2"/>
  <c r="L247" i="2" s="1"/>
  <c r="K248" i="2"/>
  <c r="L248" i="2" s="1"/>
  <c r="K249" i="2"/>
  <c r="L249" i="2" s="1"/>
  <c r="K250" i="2"/>
  <c r="L250" i="2" s="1"/>
  <c r="K251" i="2"/>
  <c r="L251" i="2" s="1"/>
  <c r="K252" i="2"/>
  <c r="K253" i="2"/>
  <c r="L253" i="2" s="1"/>
  <c r="K254" i="2"/>
  <c r="L254" i="2" s="1"/>
  <c r="K255" i="2"/>
  <c r="L255" i="2" s="1"/>
  <c r="K256" i="2"/>
  <c r="L256" i="2" s="1"/>
  <c r="K257" i="2"/>
  <c r="L257" i="2" s="1"/>
  <c r="K258" i="2"/>
  <c r="L258" i="2" s="1"/>
  <c r="K259" i="2"/>
  <c r="L259" i="2" s="1"/>
  <c r="K260" i="2"/>
  <c r="L260" i="2" s="1"/>
  <c r="K261" i="2"/>
  <c r="L261" i="2" s="1"/>
  <c r="K262" i="2"/>
  <c r="L262" i="2" s="1"/>
  <c r="K263" i="2"/>
  <c r="L263" i="2" s="1"/>
  <c r="K215" i="2"/>
  <c r="L215" i="2" s="1"/>
  <c r="K216" i="2"/>
  <c r="L216" i="2" s="1"/>
  <c r="K245" i="2"/>
  <c r="L245" i="2" s="1"/>
  <c r="T245" i="2" s="1"/>
  <c r="U245" i="2" s="1"/>
  <c r="V245" i="2" s="1"/>
  <c r="X245" i="2" s="1"/>
  <c r="W215" i="2"/>
  <c r="S202" i="5"/>
  <c r="S212" i="2"/>
  <c r="S210" i="2"/>
  <c r="S209" i="2"/>
  <c r="Q183" i="2"/>
  <c r="R183" i="2" s="1"/>
  <c r="Q184" i="2"/>
  <c r="R184" i="2" s="1"/>
  <c r="Q185" i="2"/>
  <c r="R185" i="2" s="1"/>
  <c r="Q186" i="2"/>
  <c r="R186" i="2" s="1"/>
  <c r="Q187" i="2"/>
  <c r="R187" i="2" s="1"/>
  <c r="Q188" i="2"/>
  <c r="R188" i="2" s="1"/>
  <c r="Q189" i="2"/>
  <c r="R189" i="2" s="1"/>
  <c r="Q190" i="2"/>
  <c r="R190" i="2" s="1"/>
  <c r="Q191" i="2"/>
  <c r="R191" i="2" s="1"/>
  <c r="Q192" i="2"/>
  <c r="R192" i="2" s="1"/>
  <c r="Q193" i="2"/>
  <c r="R193" i="2" s="1"/>
  <c r="Q194" i="2"/>
  <c r="R194" i="2" s="1"/>
  <c r="Q195" i="2"/>
  <c r="R195" i="2" s="1"/>
  <c r="Q196" i="2"/>
  <c r="R196" i="2" s="1"/>
  <c r="Q197" i="2"/>
  <c r="R197" i="2" s="1"/>
  <c r="Q198" i="2"/>
  <c r="R198" i="2" s="1"/>
  <c r="Q199" i="2"/>
  <c r="R199" i="2" s="1"/>
  <c r="Q200" i="2"/>
  <c r="R200" i="2" s="1"/>
  <c r="Q201" i="2"/>
  <c r="R201" i="2" s="1"/>
  <c r="Q202" i="2"/>
  <c r="R202" i="2" s="1"/>
  <c r="Q203" i="2"/>
  <c r="R203" i="2" s="1"/>
  <c r="Q204" i="2"/>
  <c r="R204" i="2" s="1"/>
  <c r="Q205" i="2"/>
  <c r="R205" i="2" s="1"/>
  <c r="Q206" i="2"/>
  <c r="R206" i="2" s="1"/>
  <c r="Q207" i="2"/>
  <c r="R207" i="2" s="1"/>
  <c r="Q208" i="2"/>
  <c r="R208" i="2" s="1"/>
  <c r="Q209" i="2"/>
  <c r="R209" i="2" s="1"/>
  <c r="Q210" i="2"/>
  <c r="R210" i="2" s="1"/>
  <c r="Q211" i="2"/>
  <c r="R211" i="2" s="1"/>
  <c r="Q212" i="2"/>
  <c r="R212" i="2" s="1"/>
  <c r="Q178" i="2"/>
  <c r="R178" i="2" s="1"/>
  <c r="Q179" i="2"/>
  <c r="R179" i="2" s="1"/>
  <c r="Q180" i="2"/>
  <c r="R180" i="2" s="1"/>
  <c r="Q181" i="2"/>
  <c r="R181" i="2" s="1"/>
  <c r="Q182" i="2"/>
  <c r="R182" i="2" s="1"/>
  <c r="O203" i="2"/>
  <c r="P203" i="2" s="1"/>
  <c r="O204" i="2"/>
  <c r="P204" i="2" s="1"/>
  <c r="O205" i="2"/>
  <c r="P205" i="2" s="1"/>
  <c r="O206" i="2"/>
  <c r="P206" i="2" s="1"/>
  <c r="O207" i="2"/>
  <c r="P207" i="2" s="1"/>
  <c r="O208" i="2"/>
  <c r="P208" i="2" s="1"/>
  <c r="O209" i="2"/>
  <c r="P209" i="2" s="1"/>
  <c r="S207" i="2"/>
  <c r="S208" i="2"/>
  <c r="S204" i="2"/>
  <c r="S200" i="2"/>
  <c r="S199" i="2"/>
  <c r="S201" i="2"/>
  <c r="S202" i="2"/>
  <c r="S203" i="2"/>
  <c r="S205" i="2"/>
  <c r="S206" i="2"/>
  <c r="S211" i="2"/>
  <c r="S213" i="2"/>
  <c r="S214" i="2"/>
  <c r="S262" i="2"/>
  <c r="O181" i="2"/>
  <c r="P181" i="2" s="1"/>
  <c r="O182" i="2"/>
  <c r="P182" i="2" s="1"/>
  <c r="O183" i="2"/>
  <c r="P183" i="2" s="1"/>
  <c r="O184" i="2"/>
  <c r="P184" i="2" s="1"/>
  <c r="O185" i="2"/>
  <c r="P185" i="2" s="1"/>
  <c r="O186" i="2"/>
  <c r="P186" i="2" s="1"/>
  <c r="O187" i="2"/>
  <c r="P187" i="2" s="1"/>
  <c r="O188" i="2"/>
  <c r="P188" i="2" s="1"/>
  <c r="O189" i="2"/>
  <c r="P189" i="2" s="1"/>
  <c r="O190" i="2"/>
  <c r="P190" i="2" s="1"/>
  <c r="O191" i="2"/>
  <c r="P191" i="2" s="1"/>
  <c r="O192" i="2"/>
  <c r="P192" i="2" s="1"/>
  <c r="O193" i="2"/>
  <c r="P193" i="2" s="1"/>
  <c r="O194" i="2"/>
  <c r="P194" i="2" s="1"/>
  <c r="O195" i="2"/>
  <c r="P195" i="2" s="1"/>
  <c r="O196" i="2"/>
  <c r="P196" i="2" s="1"/>
  <c r="O197" i="2"/>
  <c r="P197" i="2" s="1"/>
  <c r="O198" i="2"/>
  <c r="P198" i="2" s="1"/>
  <c r="O199" i="2"/>
  <c r="P199" i="2" s="1"/>
  <c r="O200" i="2"/>
  <c r="P200" i="2" s="1"/>
  <c r="O201" i="2"/>
  <c r="P201" i="2" s="1"/>
  <c r="O202" i="2"/>
  <c r="P202" i="2" s="1"/>
  <c r="O180" i="2"/>
  <c r="P180" i="2" s="1"/>
  <c r="S197" i="2"/>
  <c r="S198" i="2"/>
  <c r="S196" i="2"/>
  <c r="S195" i="2"/>
  <c r="S194" i="2"/>
  <c r="S193" i="2"/>
  <c r="S192" i="2"/>
  <c r="S191" i="2"/>
  <c r="S190" i="2"/>
  <c r="S189" i="2"/>
  <c r="S188" i="2"/>
  <c r="S187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186" i="2"/>
  <c r="M186" i="2"/>
  <c r="N186" i="2" s="1"/>
  <c r="M187" i="2"/>
  <c r="N187" i="2" s="1"/>
  <c r="M188" i="2"/>
  <c r="N188" i="2" s="1"/>
  <c r="M189" i="2"/>
  <c r="N189" i="2" s="1"/>
  <c r="M190" i="2"/>
  <c r="N190" i="2" s="1"/>
  <c r="M191" i="2"/>
  <c r="N191" i="2" s="1"/>
  <c r="M192" i="2"/>
  <c r="N192" i="2" s="1"/>
  <c r="M193" i="2"/>
  <c r="N193" i="2" s="1"/>
  <c r="M194" i="2"/>
  <c r="N194" i="2" s="1"/>
  <c r="M195" i="2"/>
  <c r="N195" i="2" s="1"/>
  <c r="M196" i="2"/>
  <c r="N196" i="2" s="1"/>
  <c r="M197" i="2"/>
  <c r="N197" i="2" s="1"/>
  <c r="M198" i="2"/>
  <c r="N198" i="2" s="1"/>
  <c r="M199" i="2"/>
  <c r="N199" i="2" s="1"/>
  <c r="M200" i="2"/>
  <c r="N200" i="2" s="1"/>
  <c r="M201" i="2"/>
  <c r="N201" i="2" s="1"/>
  <c r="M202" i="2"/>
  <c r="N202" i="2" s="1"/>
  <c r="M203" i="2"/>
  <c r="N203" i="2" s="1"/>
  <c r="M204" i="2"/>
  <c r="N204" i="2" s="1"/>
  <c r="M205" i="2"/>
  <c r="N205" i="2" s="1"/>
  <c r="M206" i="2"/>
  <c r="N206" i="2" s="1"/>
  <c r="M207" i="2"/>
  <c r="N207" i="2" s="1"/>
  <c r="M208" i="2"/>
  <c r="N208" i="2" s="1"/>
  <c r="M209" i="2"/>
  <c r="N209" i="2" s="1"/>
  <c r="M210" i="2"/>
  <c r="N210" i="2" s="1"/>
  <c r="M211" i="2"/>
  <c r="N211" i="2" s="1"/>
  <c r="M212" i="2"/>
  <c r="N212" i="2" s="1"/>
  <c r="M213" i="2"/>
  <c r="N213" i="2" s="1"/>
  <c r="K186" i="2"/>
  <c r="L186" i="2" s="1"/>
  <c r="K187" i="2"/>
  <c r="L187" i="2" s="1"/>
  <c r="K188" i="2"/>
  <c r="L188" i="2" s="1"/>
  <c r="K189" i="2"/>
  <c r="L189" i="2" s="1"/>
  <c r="K190" i="2"/>
  <c r="L190" i="2" s="1"/>
  <c r="K191" i="2"/>
  <c r="L191" i="2" s="1"/>
  <c r="K192" i="2"/>
  <c r="L192" i="2" s="1"/>
  <c r="K193" i="2"/>
  <c r="L193" i="2" s="1"/>
  <c r="K194" i="2"/>
  <c r="L194" i="2" s="1"/>
  <c r="K195" i="2"/>
  <c r="L195" i="2" s="1"/>
  <c r="K196" i="2"/>
  <c r="L196" i="2" s="1"/>
  <c r="K197" i="2"/>
  <c r="L197" i="2" s="1"/>
  <c r="K198" i="2"/>
  <c r="L198" i="2" s="1"/>
  <c r="K199" i="2"/>
  <c r="L199" i="2" s="1"/>
  <c r="K200" i="2"/>
  <c r="L200" i="2" s="1"/>
  <c r="K201" i="2"/>
  <c r="L201" i="2" s="1"/>
  <c r="K202" i="2"/>
  <c r="L202" i="2" s="1"/>
  <c r="K203" i="2"/>
  <c r="L203" i="2" s="1"/>
  <c r="K204" i="2"/>
  <c r="L204" i="2" s="1"/>
  <c r="K205" i="2"/>
  <c r="L205" i="2" s="1"/>
  <c r="K206" i="2"/>
  <c r="L206" i="2" s="1"/>
  <c r="K207" i="2"/>
  <c r="L207" i="2" s="1"/>
  <c r="K208" i="2"/>
  <c r="L208" i="2" s="1"/>
  <c r="K209" i="2"/>
  <c r="L209" i="2" s="1"/>
  <c r="K210" i="2"/>
  <c r="L210" i="2" s="1"/>
  <c r="K211" i="2"/>
  <c r="L211" i="2" s="1"/>
  <c r="K212" i="2"/>
  <c r="L212" i="2" s="1"/>
  <c r="K213" i="2"/>
  <c r="L213" i="2" s="1"/>
  <c r="K214" i="2"/>
  <c r="L214" i="2" s="1"/>
  <c r="K264" i="2"/>
  <c r="L264" i="2" s="1"/>
  <c r="K265" i="2"/>
  <c r="K266" i="2"/>
  <c r="K267" i="2"/>
  <c r="K268" i="2"/>
  <c r="S186" i="2"/>
  <c r="S195" i="5"/>
  <c r="S194" i="5"/>
  <c r="S188" i="5"/>
  <c r="S189" i="5"/>
  <c r="S190" i="5"/>
  <c r="S191" i="5"/>
  <c r="S192" i="5"/>
  <c r="S193" i="5"/>
  <c r="S173" i="5"/>
  <c r="S174" i="5"/>
  <c r="S170" i="5"/>
  <c r="S154" i="5"/>
  <c r="T259" i="2" l="1"/>
  <c r="U259" i="2" s="1"/>
  <c r="V259" i="2" s="1"/>
  <c r="X259" i="2" s="1"/>
  <c r="T215" i="2"/>
  <c r="U215" i="2" s="1"/>
  <c r="V215" i="2" s="1"/>
  <c r="X215" i="2" s="1"/>
  <c r="M76" i="1" s="1"/>
  <c r="T260" i="2"/>
  <c r="U260" i="2" s="1"/>
  <c r="V260" i="2" s="1"/>
  <c r="X260" i="2" s="1"/>
  <c r="M78" i="1" s="1"/>
  <c r="T247" i="2"/>
  <c r="U247" i="2" s="1"/>
  <c r="V247" i="2" s="1"/>
  <c r="X247" i="2" s="1"/>
  <c r="T248" i="2"/>
  <c r="U248" i="2" s="1"/>
  <c r="V248" i="2" s="1"/>
  <c r="X248" i="2" s="1"/>
  <c r="T257" i="2"/>
  <c r="U257" i="2" s="1"/>
  <c r="V257" i="2" s="1"/>
  <c r="X257" i="2" s="1"/>
  <c r="W3" i="1" s="1"/>
  <c r="L252" i="2"/>
  <c r="T252" i="2" s="1"/>
  <c r="T246" i="2"/>
  <c r="U246" i="2" s="1"/>
  <c r="V246" i="2" s="1"/>
  <c r="X246" i="2" s="1"/>
  <c r="T255" i="2"/>
  <c r="U255" i="2" s="1"/>
  <c r="T262" i="2"/>
  <c r="U262" i="2" s="1"/>
  <c r="V262" i="2" s="1"/>
  <c r="X262" i="2" s="1"/>
  <c r="T261" i="2"/>
  <c r="U261" i="2" s="1"/>
  <c r="V261" i="2" s="1"/>
  <c r="X261" i="2" s="1"/>
  <c r="T258" i="2"/>
  <c r="U258" i="2" s="1"/>
  <c r="V258" i="2" s="1"/>
  <c r="X258" i="2" s="1"/>
  <c r="M8" i="1" s="1"/>
  <c r="T256" i="2"/>
  <c r="U256" i="2" s="1"/>
  <c r="T254" i="2"/>
  <c r="U254" i="2" s="1"/>
  <c r="T253" i="2"/>
  <c r="U253" i="2" s="1"/>
  <c r="T202" i="2"/>
  <c r="U202" i="2" s="1"/>
  <c r="V202" i="2" s="1"/>
  <c r="X202" i="2" s="1"/>
  <c r="T216" i="2"/>
  <c r="U216" i="2" s="1"/>
  <c r="V216" i="2" s="1"/>
  <c r="X216" i="2" s="1"/>
  <c r="T251" i="2"/>
  <c r="T250" i="2"/>
  <c r="T249" i="2"/>
  <c r="T201" i="2"/>
  <c r="U201" i="2" s="1"/>
  <c r="V201" i="2" s="1"/>
  <c r="X201" i="2" s="1"/>
  <c r="T206" i="2"/>
  <c r="U206" i="2" s="1"/>
  <c r="V206" i="2" s="1"/>
  <c r="X206" i="2" s="1"/>
  <c r="T204" i="2"/>
  <c r="U204" i="2" s="1"/>
  <c r="V204" i="2" s="1"/>
  <c r="X204" i="2" s="1"/>
  <c r="T209" i="2"/>
  <c r="U209" i="2" s="1"/>
  <c r="V209" i="2" s="1"/>
  <c r="X209" i="2" s="1"/>
  <c r="T208" i="2"/>
  <c r="U208" i="2" s="1"/>
  <c r="V208" i="2" s="1"/>
  <c r="X208" i="2" s="1"/>
  <c r="T207" i="2"/>
  <c r="U207" i="2" s="1"/>
  <c r="V207" i="2" s="1"/>
  <c r="X207" i="2" s="1"/>
  <c r="T205" i="2"/>
  <c r="U205" i="2" s="1"/>
  <c r="V205" i="2" s="1"/>
  <c r="X205" i="2" s="1"/>
  <c r="T203" i="2"/>
  <c r="U203" i="2" s="1"/>
  <c r="V203" i="2" s="1"/>
  <c r="X203" i="2" s="1"/>
  <c r="M9" i="1" s="1"/>
  <c r="T186" i="2"/>
  <c r="U186" i="2" s="1"/>
  <c r="V186" i="2" s="1"/>
  <c r="X186" i="2" s="1"/>
  <c r="M41" i="1" s="1"/>
  <c r="T199" i="2"/>
  <c r="U199" i="2" s="1"/>
  <c r="V199" i="2" s="1"/>
  <c r="X199" i="2" s="1"/>
  <c r="T200" i="2"/>
  <c r="U200" i="2" s="1"/>
  <c r="V200" i="2" s="1"/>
  <c r="X200" i="2" s="1"/>
  <c r="T198" i="2"/>
  <c r="U198" i="2" s="1"/>
  <c r="V198" i="2" s="1"/>
  <c r="X198" i="2" s="1"/>
  <c r="T196" i="2"/>
  <c r="U196" i="2" s="1"/>
  <c r="V196" i="2" s="1"/>
  <c r="X196" i="2" s="1"/>
  <c r="T195" i="2"/>
  <c r="U195" i="2" s="1"/>
  <c r="V195" i="2" s="1"/>
  <c r="X195" i="2" s="1"/>
  <c r="T194" i="2"/>
  <c r="U194" i="2" s="1"/>
  <c r="V194" i="2" s="1"/>
  <c r="X194" i="2" s="1"/>
  <c r="T197" i="2"/>
  <c r="U197" i="2" s="1"/>
  <c r="V197" i="2" s="1"/>
  <c r="X197" i="2" s="1"/>
  <c r="T187" i="2"/>
  <c r="U187" i="2" s="1"/>
  <c r="V187" i="2" s="1"/>
  <c r="X187" i="2" s="1"/>
  <c r="T190" i="2"/>
  <c r="U190" i="2" s="1"/>
  <c r="V190" i="2" s="1"/>
  <c r="X190" i="2" s="1"/>
  <c r="T193" i="2"/>
  <c r="U193" i="2" s="1"/>
  <c r="V193" i="2" s="1"/>
  <c r="X193" i="2" s="1"/>
  <c r="T192" i="2"/>
  <c r="U192" i="2" s="1"/>
  <c r="V192" i="2" s="1"/>
  <c r="X192" i="2" s="1"/>
  <c r="T191" i="2"/>
  <c r="U191" i="2" s="1"/>
  <c r="V191" i="2" s="1"/>
  <c r="X191" i="2" s="1"/>
  <c r="T189" i="2"/>
  <c r="U189" i="2" s="1"/>
  <c r="V189" i="2" s="1"/>
  <c r="X189" i="2" s="1"/>
  <c r="T188" i="2"/>
  <c r="U188" i="2" s="1"/>
  <c r="V188" i="2" s="1"/>
  <c r="X188" i="2" s="1"/>
  <c r="S19" i="9"/>
  <c r="K19" i="9"/>
  <c r="L19" i="9" s="1"/>
  <c r="M19" i="9"/>
  <c r="N19" i="9" s="1"/>
  <c r="O19" i="9"/>
  <c r="P19" i="9" s="1"/>
  <c r="Q19" i="9"/>
  <c r="R19" i="9" s="1"/>
  <c r="W19" i="9"/>
  <c r="S93" i="9"/>
  <c r="M53" i="1" l="1"/>
  <c r="M55" i="1"/>
  <c r="M51" i="1"/>
  <c r="W75" i="1"/>
  <c r="M19" i="1"/>
  <c r="U249" i="2"/>
  <c r="V249" i="2" s="1"/>
  <c r="X249" i="2" s="1"/>
  <c r="U251" i="2"/>
  <c r="V251" i="2" s="1"/>
  <c r="X251" i="2" s="1"/>
  <c r="V254" i="2"/>
  <c r="X254" i="2" s="1"/>
  <c r="M67" i="1" s="1"/>
  <c r="U252" i="2"/>
  <c r="V252" i="2" s="1"/>
  <c r="X252" i="2" s="1"/>
  <c r="U250" i="2"/>
  <c r="V250" i="2" s="1"/>
  <c r="X250" i="2" s="1"/>
  <c r="V253" i="2"/>
  <c r="X253" i="2" s="1"/>
  <c r="V256" i="2"/>
  <c r="X256" i="2" s="1"/>
  <c r="V255" i="2"/>
  <c r="X255" i="2" s="1"/>
  <c r="T19" i="9"/>
  <c r="U19" i="9" s="1"/>
  <c r="V19" i="9" s="1"/>
  <c r="X19" i="9" s="1"/>
  <c r="S5" i="9"/>
  <c r="C28" i="1" l="1"/>
  <c r="C40" i="1"/>
  <c r="C76" i="1"/>
  <c r="C15" i="1"/>
  <c r="C52" i="1"/>
  <c r="S143" i="5"/>
  <c r="W81" i="9"/>
  <c r="K82" i="9"/>
  <c r="L82" i="9" s="1"/>
  <c r="M82" i="9"/>
  <c r="N82" i="9" s="1"/>
  <c r="O82" i="9"/>
  <c r="P82" i="9" s="1"/>
  <c r="Q82" i="9"/>
  <c r="R82" i="9" s="1"/>
  <c r="S82" i="9"/>
  <c r="W82" i="9"/>
  <c r="M81" i="9"/>
  <c r="N81" i="9" s="1"/>
  <c r="S83" i="9"/>
  <c r="S137" i="5"/>
  <c r="K137" i="5"/>
  <c r="S136" i="5"/>
  <c r="S135" i="5"/>
  <c r="S134" i="5"/>
  <c r="S48" i="6"/>
  <c r="S73" i="6"/>
  <c r="S72" i="6"/>
  <c r="S74" i="6"/>
  <c r="S75" i="6"/>
  <c r="S34" i="6"/>
  <c r="S29" i="6"/>
  <c r="S37" i="6"/>
  <c r="W69" i="6"/>
  <c r="W70" i="6"/>
  <c r="W71" i="6"/>
  <c r="W72" i="6"/>
  <c r="W73" i="6"/>
  <c r="W74" i="6"/>
  <c r="W75" i="6"/>
  <c r="W76" i="6"/>
  <c r="W77" i="6"/>
  <c r="S128" i="5"/>
  <c r="S127" i="5"/>
  <c r="S122" i="5"/>
  <c r="S118" i="5"/>
  <c r="S103" i="5"/>
  <c r="S110" i="5"/>
  <c r="M109" i="5"/>
  <c r="M110" i="5"/>
  <c r="W210" i="2"/>
  <c r="W211" i="2"/>
  <c r="W212" i="2"/>
  <c r="W213" i="2"/>
  <c r="W214" i="2"/>
  <c r="S185" i="2"/>
  <c r="O210" i="2"/>
  <c r="P210" i="2" s="1"/>
  <c r="O211" i="2"/>
  <c r="P211" i="2" s="1"/>
  <c r="O212" i="2"/>
  <c r="P212" i="2" s="1"/>
  <c r="M185" i="2"/>
  <c r="N185" i="2" s="1"/>
  <c r="W185" i="2"/>
  <c r="K185" i="2"/>
  <c r="L185" i="2" s="1"/>
  <c r="T82" i="9" l="1"/>
  <c r="U82" i="9" s="1"/>
  <c r="V82" i="9" s="1"/>
  <c r="X82" i="9" s="1"/>
  <c r="T185" i="2"/>
  <c r="U185" i="2" s="1"/>
  <c r="V185" i="2" s="1"/>
  <c r="X185" i="2" s="1"/>
  <c r="T213" i="2"/>
  <c r="U213" i="2" s="1"/>
  <c r="T211" i="2"/>
  <c r="U211" i="2" s="1"/>
  <c r="T214" i="2"/>
  <c r="U214" i="2" s="1"/>
  <c r="T210" i="2"/>
  <c r="U210" i="2" s="1"/>
  <c r="T212" i="2"/>
  <c r="U212" i="2" s="1"/>
  <c r="S71" i="9"/>
  <c r="S72" i="9"/>
  <c r="S42" i="9"/>
  <c r="S50" i="9"/>
  <c r="V212" i="2" l="1"/>
  <c r="X212" i="2" s="1"/>
  <c r="V214" i="2"/>
  <c r="X214" i="2" s="1"/>
  <c r="V213" i="2"/>
  <c r="X213" i="2" s="1"/>
  <c r="V210" i="2"/>
  <c r="X210" i="2" s="1"/>
  <c r="V211" i="2"/>
  <c r="X211" i="2" s="1"/>
  <c r="S71" i="6"/>
  <c r="S68" i="6"/>
  <c r="S64" i="6"/>
  <c r="S69" i="6"/>
  <c r="S70" i="6"/>
  <c r="S65" i="6"/>
  <c r="S66" i="6"/>
  <c r="S67" i="6"/>
  <c r="S63" i="6"/>
  <c r="S27" i="6"/>
  <c r="S26" i="6"/>
  <c r="S25" i="6"/>
  <c r="S23" i="6"/>
  <c r="S20" i="6"/>
  <c r="S14" i="6"/>
  <c r="S17" i="6"/>
  <c r="S16" i="6"/>
  <c r="S15" i="6"/>
  <c r="S60" i="6"/>
  <c r="S59" i="6"/>
  <c r="S18" i="6"/>
  <c r="S9" i="6"/>
  <c r="W60" i="6"/>
  <c r="W61" i="6"/>
  <c r="W62" i="6"/>
  <c r="W63" i="6"/>
  <c r="W64" i="6"/>
  <c r="W65" i="6"/>
  <c r="W66" i="6"/>
  <c r="W67" i="6"/>
  <c r="W68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S28" i="6"/>
  <c r="S30" i="6"/>
  <c r="S31" i="6"/>
  <c r="S32" i="6"/>
  <c r="S33" i="6"/>
  <c r="S35" i="6"/>
  <c r="S36" i="6"/>
  <c r="S38" i="6"/>
  <c r="S39" i="6"/>
  <c r="S40" i="6"/>
  <c r="S41" i="6"/>
  <c r="S42" i="6"/>
  <c r="S43" i="6"/>
  <c r="S44" i="6"/>
  <c r="S45" i="6"/>
  <c r="S49" i="6"/>
  <c r="S50" i="6"/>
  <c r="S53" i="6"/>
  <c r="S54" i="6"/>
  <c r="S55" i="6"/>
  <c r="S56" i="6"/>
  <c r="S57" i="6"/>
  <c r="S58" i="6"/>
  <c r="S61" i="6"/>
  <c r="S62" i="6"/>
  <c r="Q26" i="6"/>
  <c r="R26" i="6" s="1"/>
  <c r="Q27" i="6"/>
  <c r="R27" i="6" s="1"/>
  <c r="Q28" i="6"/>
  <c r="R28" i="6" s="1"/>
  <c r="Q29" i="6"/>
  <c r="R29" i="6" s="1"/>
  <c r="Q30" i="6"/>
  <c r="R30" i="6" s="1"/>
  <c r="Q31" i="6"/>
  <c r="R31" i="6" s="1"/>
  <c r="Q32" i="6"/>
  <c r="R32" i="6" s="1"/>
  <c r="Q33" i="6"/>
  <c r="R33" i="6" s="1"/>
  <c r="Q34" i="6"/>
  <c r="R34" i="6" s="1"/>
  <c r="Q35" i="6"/>
  <c r="R35" i="6" s="1"/>
  <c r="Q36" i="6"/>
  <c r="R36" i="6" s="1"/>
  <c r="Q37" i="6"/>
  <c r="R37" i="6" s="1"/>
  <c r="Q38" i="6"/>
  <c r="R38" i="6" s="1"/>
  <c r="Q39" i="6"/>
  <c r="R39" i="6" s="1"/>
  <c r="Q40" i="6"/>
  <c r="R40" i="6" s="1"/>
  <c r="Q41" i="6"/>
  <c r="R41" i="6" s="1"/>
  <c r="Q42" i="6"/>
  <c r="R42" i="6" s="1"/>
  <c r="Q43" i="6"/>
  <c r="R43" i="6" s="1"/>
  <c r="Q44" i="6"/>
  <c r="R44" i="6" s="1"/>
  <c r="Q45" i="6"/>
  <c r="R45" i="6" s="1"/>
  <c r="Q46" i="6"/>
  <c r="R46" i="6" s="1"/>
  <c r="Q47" i="6"/>
  <c r="R47" i="6" s="1"/>
  <c r="Q48" i="6"/>
  <c r="R48" i="6" s="1"/>
  <c r="Q49" i="6"/>
  <c r="R49" i="6" s="1"/>
  <c r="Q50" i="6"/>
  <c r="R50" i="6" s="1"/>
  <c r="Q51" i="6"/>
  <c r="R51" i="6" s="1"/>
  <c r="Q52" i="6"/>
  <c r="R52" i="6" s="1"/>
  <c r="Q53" i="6"/>
  <c r="R53" i="6" s="1"/>
  <c r="Q54" i="6"/>
  <c r="R54" i="6" s="1"/>
  <c r="Q55" i="6"/>
  <c r="R55" i="6" s="1"/>
  <c r="Q56" i="6"/>
  <c r="R56" i="6" s="1"/>
  <c r="Q57" i="6"/>
  <c r="R57" i="6" s="1"/>
  <c r="Q58" i="6"/>
  <c r="R58" i="6" s="1"/>
  <c r="Q59" i="6"/>
  <c r="R59" i="6" s="1"/>
  <c r="Q60" i="6"/>
  <c r="R60" i="6" s="1"/>
  <c r="Q61" i="6"/>
  <c r="R61" i="6" s="1"/>
  <c r="Q62" i="6"/>
  <c r="R62" i="6" s="1"/>
  <c r="Q63" i="6"/>
  <c r="R63" i="6" s="1"/>
  <c r="Q64" i="6"/>
  <c r="R64" i="6" s="1"/>
  <c r="Q65" i="6"/>
  <c r="R65" i="6" s="1"/>
  <c r="Q66" i="6"/>
  <c r="R66" i="6" s="1"/>
  <c r="Q67" i="6"/>
  <c r="R67" i="6" s="1"/>
  <c r="Q68" i="6"/>
  <c r="R68" i="6" s="1"/>
  <c r="Q69" i="6"/>
  <c r="R69" i="6" s="1"/>
  <c r="Q70" i="6"/>
  <c r="R70" i="6" s="1"/>
  <c r="Q71" i="6"/>
  <c r="R71" i="6" s="1"/>
  <c r="Q72" i="6"/>
  <c r="Q73" i="6"/>
  <c r="Q74" i="6"/>
  <c r="Q75" i="6"/>
  <c r="Q76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O26" i="6"/>
  <c r="P26" i="6" s="1"/>
  <c r="O27" i="6"/>
  <c r="P27" i="6" s="1"/>
  <c r="O28" i="6"/>
  <c r="P28" i="6" s="1"/>
  <c r="O29" i="6"/>
  <c r="P29" i="6" s="1"/>
  <c r="O30" i="6"/>
  <c r="P30" i="6" s="1"/>
  <c r="O31" i="6"/>
  <c r="P31" i="6" s="1"/>
  <c r="O32" i="6"/>
  <c r="P32" i="6" s="1"/>
  <c r="O33" i="6"/>
  <c r="P33" i="6" s="1"/>
  <c r="O34" i="6"/>
  <c r="P34" i="6" s="1"/>
  <c r="O35" i="6"/>
  <c r="P35" i="6" s="1"/>
  <c r="O36" i="6"/>
  <c r="P36" i="6" s="1"/>
  <c r="O37" i="6"/>
  <c r="P37" i="6" s="1"/>
  <c r="O38" i="6"/>
  <c r="P38" i="6" s="1"/>
  <c r="O39" i="6"/>
  <c r="P39" i="6" s="1"/>
  <c r="O40" i="6"/>
  <c r="P40" i="6" s="1"/>
  <c r="O41" i="6"/>
  <c r="P41" i="6" s="1"/>
  <c r="O42" i="6"/>
  <c r="P42" i="6" s="1"/>
  <c r="O43" i="6"/>
  <c r="P43" i="6" s="1"/>
  <c r="O44" i="6"/>
  <c r="P44" i="6" s="1"/>
  <c r="O45" i="6"/>
  <c r="P45" i="6" s="1"/>
  <c r="O46" i="6"/>
  <c r="P46" i="6" s="1"/>
  <c r="O47" i="6"/>
  <c r="P47" i="6" s="1"/>
  <c r="O48" i="6"/>
  <c r="P48" i="6" s="1"/>
  <c r="O49" i="6"/>
  <c r="P49" i="6" s="1"/>
  <c r="O50" i="6"/>
  <c r="P50" i="6" s="1"/>
  <c r="O51" i="6"/>
  <c r="P51" i="6" s="1"/>
  <c r="O52" i="6"/>
  <c r="P52" i="6" s="1"/>
  <c r="O53" i="6"/>
  <c r="P53" i="6" s="1"/>
  <c r="O54" i="6"/>
  <c r="P54" i="6" s="1"/>
  <c r="O55" i="6"/>
  <c r="P55" i="6" s="1"/>
  <c r="O56" i="6"/>
  <c r="P56" i="6" s="1"/>
  <c r="O57" i="6"/>
  <c r="P57" i="6" s="1"/>
  <c r="O58" i="6"/>
  <c r="P58" i="6" s="1"/>
  <c r="O59" i="6"/>
  <c r="P59" i="6" s="1"/>
  <c r="O60" i="6"/>
  <c r="P60" i="6" s="1"/>
  <c r="O61" i="6"/>
  <c r="P61" i="6" s="1"/>
  <c r="O62" i="6"/>
  <c r="P62" i="6" s="1"/>
  <c r="O63" i="6"/>
  <c r="P63" i="6" s="1"/>
  <c r="O64" i="6"/>
  <c r="P64" i="6" s="1"/>
  <c r="O65" i="6"/>
  <c r="P65" i="6" s="1"/>
  <c r="O66" i="6"/>
  <c r="P66" i="6" s="1"/>
  <c r="O67" i="6"/>
  <c r="P67" i="6" s="1"/>
  <c r="O68" i="6"/>
  <c r="P68" i="6" s="1"/>
  <c r="O69" i="6"/>
  <c r="P69" i="6" s="1"/>
  <c r="O70" i="6"/>
  <c r="P70" i="6" s="1"/>
  <c r="O71" i="6"/>
  <c r="P71" i="6" s="1"/>
  <c r="O72" i="6"/>
  <c r="P72" i="6" s="1"/>
  <c r="O73" i="6"/>
  <c r="P73" i="6" s="1"/>
  <c r="M26" i="6"/>
  <c r="N26" i="6" s="1"/>
  <c r="M27" i="6"/>
  <c r="N27" i="6" s="1"/>
  <c r="M28" i="6"/>
  <c r="N28" i="6" s="1"/>
  <c r="M29" i="6"/>
  <c r="N29" i="6" s="1"/>
  <c r="M30" i="6"/>
  <c r="N30" i="6" s="1"/>
  <c r="M31" i="6"/>
  <c r="N31" i="6" s="1"/>
  <c r="M32" i="6"/>
  <c r="N32" i="6" s="1"/>
  <c r="M33" i="6"/>
  <c r="N33" i="6" s="1"/>
  <c r="M34" i="6"/>
  <c r="N34" i="6" s="1"/>
  <c r="M35" i="6"/>
  <c r="N35" i="6" s="1"/>
  <c r="M36" i="6"/>
  <c r="N36" i="6" s="1"/>
  <c r="M37" i="6"/>
  <c r="N37" i="6" s="1"/>
  <c r="M38" i="6"/>
  <c r="N38" i="6" s="1"/>
  <c r="M39" i="6"/>
  <c r="N39" i="6" s="1"/>
  <c r="M40" i="6"/>
  <c r="N40" i="6" s="1"/>
  <c r="M41" i="6"/>
  <c r="N41" i="6" s="1"/>
  <c r="M42" i="6"/>
  <c r="N42" i="6" s="1"/>
  <c r="M43" i="6"/>
  <c r="N43" i="6" s="1"/>
  <c r="M44" i="6"/>
  <c r="N44" i="6" s="1"/>
  <c r="M45" i="6"/>
  <c r="N45" i="6" s="1"/>
  <c r="M46" i="6"/>
  <c r="N46" i="6" s="1"/>
  <c r="M47" i="6"/>
  <c r="N47" i="6" s="1"/>
  <c r="M48" i="6"/>
  <c r="N48" i="6" s="1"/>
  <c r="M49" i="6"/>
  <c r="N49" i="6" s="1"/>
  <c r="M50" i="6"/>
  <c r="N50" i="6" s="1"/>
  <c r="M51" i="6"/>
  <c r="N51" i="6" s="1"/>
  <c r="M52" i="6"/>
  <c r="N52" i="6" s="1"/>
  <c r="M53" i="6"/>
  <c r="N53" i="6" s="1"/>
  <c r="M54" i="6"/>
  <c r="N54" i="6" s="1"/>
  <c r="M55" i="6"/>
  <c r="N55" i="6" s="1"/>
  <c r="M56" i="6"/>
  <c r="N56" i="6" s="1"/>
  <c r="M57" i="6"/>
  <c r="N57" i="6" s="1"/>
  <c r="M58" i="6"/>
  <c r="N58" i="6" s="1"/>
  <c r="M59" i="6"/>
  <c r="N59" i="6" s="1"/>
  <c r="M60" i="6"/>
  <c r="N60" i="6" s="1"/>
  <c r="M61" i="6"/>
  <c r="N61" i="6" s="1"/>
  <c r="M62" i="6"/>
  <c r="N62" i="6" s="1"/>
  <c r="M63" i="6"/>
  <c r="N63" i="6" s="1"/>
  <c r="M64" i="6"/>
  <c r="N64" i="6" s="1"/>
  <c r="M65" i="6"/>
  <c r="N65" i="6" s="1"/>
  <c r="M66" i="6"/>
  <c r="N66" i="6" s="1"/>
  <c r="M67" i="6"/>
  <c r="N67" i="6" s="1"/>
  <c r="M68" i="6"/>
  <c r="N68" i="6" s="1"/>
  <c r="M69" i="6"/>
  <c r="N69" i="6" s="1"/>
  <c r="M70" i="6"/>
  <c r="N70" i="6" s="1"/>
  <c r="M71" i="6"/>
  <c r="N71" i="6" s="1"/>
  <c r="M72" i="6"/>
  <c r="N72" i="6" s="1"/>
  <c r="M73" i="6"/>
  <c r="N73" i="6" s="1"/>
  <c r="M74" i="6"/>
  <c r="M75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L16" i="6" s="1"/>
  <c r="K17" i="6"/>
  <c r="L17" i="6" s="1"/>
  <c r="K18" i="6"/>
  <c r="L18" i="6" s="1"/>
  <c r="K19" i="6"/>
  <c r="L19" i="6" s="1"/>
  <c r="K20" i="6"/>
  <c r="L20" i="6" s="1"/>
  <c r="K21" i="6"/>
  <c r="L21" i="6" s="1"/>
  <c r="K22" i="6"/>
  <c r="L22" i="6" s="1"/>
  <c r="K23" i="6"/>
  <c r="L23" i="6" s="1"/>
  <c r="K24" i="6"/>
  <c r="L24" i="6" s="1"/>
  <c r="K25" i="6"/>
  <c r="L25" i="6" s="1"/>
  <c r="K26" i="6"/>
  <c r="L26" i="6" s="1"/>
  <c r="T26" i="6" s="1"/>
  <c r="U26" i="6" s="1"/>
  <c r="V26" i="6" s="1"/>
  <c r="X26" i="6" s="1"/>
  <c r="K27" i="6"/>
  <c r="L27" i="6" s="1"/>
  <c r="K28" i="6"/>
  <c r="L28" i="6" s="1"/>
  <c r="T28" i="6" s="1"/>
  <c r="U28" i="6" s="1"/>
  <c r="V28" i="6" s="1"/>
  <c r="X28" i="6" s="1"/>
  <c r="K29" i="6"/>
  <c r="L29" i="6" s="1"/>
  <c r="K30" i="6"/>
  <c r="L30" i="6" s="1"/>
  <c r="T30" i="6" s="1"/>
  <c r="U30" i="6" s="1"/>
  <c r="V30" i="6" s="1"/>
  <c r="X30" i="6" s="1"/>
  <c r="K31" i="6"/>
  <c r="L31" i="6" s="1"/>
  <c r="K32" i="6"/>
  <c r="L32" i="6" s="1"/>
  <c r="T32" i="6" s="1"/>
  <c r="U32" i="6" s="1"/>
  <c r="V32" i="6" s="1"/>
  <c r="X32" i="6" s="1"/>
  <c r="K33" i="6"/>
  <c r="L33" i="6" s="1"/>
  <c r="T33" i="6" s="1"/>
  <c r="U33" i="6" s="1"/>
  <c r="V33" i="6" s="1"/>
  <c r="X33" i="6" s="1"/>
  <c r="K34" i="6"/>
  <c r="L34" i="6" s="1"/>
  <c r="T34" i="6" s="1"/>
  <c r="U34" i="6" s="1"/>
  <c r="V34" i="6" s="1"/>
  <c r="X34" i="6" s="1"/>
  <c r="K35" i="6"/>
  <c r="L35" i="6" s="1"/>
  <c r="T35" i="6" s="1"/>
  <c r="U35" i="6" s="1"/>
  <c r="V35" i="6" s="1"/>
  <c r="X35" i="6" s="1"/>
  <c r="K36" i="6"/>
  <c r="L36" i="6" s="1"/>
  <c r="T36" i="6" s="1"/>
  <c r="U36" i="6" s="1"/>
  <c r="V36" i="6" s="1"/>
  <c r="X36" i="6" s="1"/>
  <c r="K37" i="6"/>
  <c r="L37" i="6" s="1"/>
  <c r="T37" i="6" s="1"/>
  <c r="U37" i="6" s="1"/>
  <c r="V37" i="6" s="1"/>
  <c r="X37" i="6" s="1"/>
  <c r="O53" i="1" s="1"/>
  <c r="K38" i="6"/>
  <c r="L38" i="6" s="1"/>
  <c r="T38" i="6" s="1"/>
  <c r="U38" i="6" s="1"/>
  <c r="V38" i="6" s="1"/>
  <c r="X38" i="6" s="1"/>
  <c r="K39" i="6"/>
  <c r="L39" i="6" s="1"/>
  <c r="T39" i="6" s="1"/>
  <c r="U39" i="6" s="1"/>
  <c r="V39" i="6" s="1"/>
  <c r="X39" i="6" s="1"/>
  <c r="K40" i="6"/>
  <c r="L40" i="6" s="1"/>
  <c r="T40" i="6" s="1"/>
  <c r="U40" i="6" s="1"/>
  <c r="V40" i="6" s="1"/>
  <c r="X40" i="6" s="1"/>
  <c r="K41" i="6"/>
  <c r="L41" i="6" s="1"/>
  <c r="T41" i="6" s="1"/>
  <c r="U41" i="6" s="1"/>
  <c r="V41" i="6" s="1"/>
  <c r="X41" i="6" s="1"/>
  <c r="K42" i="6"/>
  <c r="L42" i="6" s="1"/>
  <c r="T42" i="6" s="1"/>
  <c r="U42" i="6" s="1"/>
  <c r="V42" i="6" s="1"/>
  <c r="X42" i="6" s="1"/>
  <c r="K43" i="6"/>
  <c r="L43" i="6" s="1"/>
  <c r="T43" i="6" s="1"/>
  <c r="U43" i="6" s="1"/>
  <c r="V43" i="6" s="1"/>
  <c r="X43" i="6" s="1"/>
  <c r="K44" i="6"/>
  <c r="L44" i="6" s="1"/>
  <c r="T44" i="6" s="1"/>
  <c r="U44" i="6" s="1"/>
  <c r="V44" i="6" s="1"/>
  <c r="X44" i="6" s="1"/>
  <c r="K45" i="6"/>
  <c r="L45" i="6" s="1"/>
  <c r="T45" i="6" s="1"/>
  <c r="U45" i="6" s="1"/>
  <c r="V45" i="6" s="1"/>
  <c r="X45" i="6" s="1"/>
  <c r="K46" i="6"/>
  <c r="L46" i="6" s="1"/>
  <c r="T46" i="6" s="1"/>
  <c r="U46" i="6" s="1"/>
  <c r="V46" i="6" s="1"/>
  <c r="X46" i="6" s="1"/>
  <c r="K47" i="6"/>
  <c r="L47" i="6" s="1"/>
  <c r="T47" i="6" s="1"/>
  <c r="U47" i="6" s="1"/>
  <c r="V47" i="6" s="1"/>
  <c r="X47" i="6" s="1"/>
  <c r="K48" i="6"/>
  <c r="L48" i="6" s="1"/>
  <c r="K49" i="6"/>
  <c r="L49" i="6" s="1"/>
  <c r="T49" i="6" s="1"/>
  <c r="U49" i="6" s="1"/>
  <c r="V49" i="6" s="1"/>
  <c r="X49" i="6" s="1"/>
  <c r="K50" i="6"/>
  <c r="L50" i="6" s="1"/>
  <c r="T50" i="6" s="1"/>
  <c r="U50" i="6" s="1"/>
  <c r="V50" i="6" s="1"/>
  <c r="X50" i="6" s="1"/>
  <c r="K51" i="6"/>
  <c r="L51" i="6" s="1"/>
  <c r="T51" i="6" s="1"/>
  <c r="U51" i="6" s="1"/>
  <c r="V51" i="6" s="1"/>
  <c r="X51" i="6" s="1"/>
  <c r="K52" i="6"/>
  <c r="L52" i="6" s="1"/>
  <c r="T52" i="6" s="1"/>
  <c r="U52" i="6" s="1"/>
  <c r="V52" i="6" s="1"/>
  <c r="X52" i="6" s="1"/>
  <c r="K53" i="6"/>
  <c r="L53" i="6" s="1"/>
  <c r="T53" i="6" s="1"/>
  <c r="U53" i="6" s="1"/>
  <c r="V53" i="6" s="1"/>
  <c r="X53" i="6" s="1"/>
  <c r="K54" i="6"/>
  <c r="L54" i="6" s="1"/>
  <c r="T54" i="6" s="1"/>
  <c r="U54" i="6" s="1"/>
  <c r="V54" i="6" s="1"/>
  <c r="X54" i="6" s="1"/>
  <c r="K55" i="6"/>
  <c r="L55" i="6" s="1"/>
  <c r="T55" i="6" s="1"/>
  <c r="U55" i="6" s="1"/>
  <c r="V55" i="6" s="1"/>
  <c r="X55" i="6" s="1"/>
  <c r="K56" i="6"/>
  <c r="L56" i="6" s="1"/>
  <c r="T56" i="6" s="1"/>
  <c r="U56" i="6" s="1"/>
  <c r="V56" i="6" s="1"/>
  <c r="X56" i="6" s="1"/>
  <c r="K57" i="6"/>
  <c r="L57" i="6" s="1"/>
  <c r="T57" i="6" s="1"/>
  <c r="U57" i="6" s="1"/>
  <c r="V57" i="6" s="1"/>
  <c r="X57" i="6" s="1"/>
  <c r="K58" i="6"/>
  <c r="L58" i="6" s="1"/>
  <c r="T58" i="6" s="1"/>
  <c r="U58" i="6" s="1"/>
  <c r="V58" i="6" s="1"/>
  <c r="X58" i="6" s="1"/>
  <c r="K59" i="6"/>
  <c r="L59" i="6" s="1"/>
  <c r="T59" i="6" s="1"/>
  <c r="U59" i="6" s="1"/>
  <c r="V59" i="6" s="1"/>
  <c r="X59" i="6" s="1"/>
  <c r="K60" i="6"/>
  <c r="L60" i="6" s="1"/>
  <c r="T60" i="6" s="1"/>
  <c r="U60" i="6" s="1"/>
  <c r="V60" i="6" s="1"/>
  <c r="X60" i="6" s="1"/>
  <c r="K61" i="6"/>
  <c r="L61" i="6" s="1"/>
  <c r="T61" i="6" s="1"/>
  <c r="U61" i="6" s="1"/>
  <c r="V61" i="6" s="1"/>
  <c r="X61" i="6" s="1"/>
  <c r="K62" i="6"/>
  <c r="L62" i="6" s="1"/>
  <c r="T62" i="6" s="1"/>
  <c r="U62" i="6" s="1"/>
  <c r="V62" i="6" s="1"/>
  <c r="X62" i="6" s="1"/>
  <c r="K63" i="6"/>
  <c r="L63" i="6" s="1"/>
  <c r="T63" i="6" s="1"/>
  <c r="U63" i="6" s="1"/>
  <c r="V63" i="6" s="1"/>
  <c r="X63" i="6" s="1"/>
  <c r="K64" i="6"/>
  <c r="L64" i="6" s="1"/>
  <c r="T64" i="6" s="1"/>
  <c r="U64" i="6" s="1"/>
  <c r="V64" i="6" s="1"/>
  <c r="X64" i="6" s="1"/>
  <c r="K65" i="6"/>
  <c r="L65" i="6" s="1"/>
  <c r="K66" i="6"/>
  <c r="L66" i="6" s="1"/>
  <c r="K67" i="6"/>
  <c r="L67" i="6" s="1"/>
  <c r="T67" i="6" s="1"/>
  <c r="U67" i="6" s="1"/>
  <c r="V67" i="6" s="1"/>
  <c r="X67" i="6" s="1"/>
  <c r="K68" i="6"/>
  <c r="L68" i="6" s="1"/>
  <c r="T68" i="6" s="1"/>
  <c r="U68" i="6" s="1"/>
  <c r="V68" i="6" s="1"/>
  <c r="X68" i="6" s="1"/>
  <c r="K69" i="6"/>
  <c r="L69" i="6" s="1"/>
  <c r="K70" i="6"/>
  <c r="L70" i="6" s="1"/>
  <c r="K71" i="6"/>
  <c r="L71" i="6" s="1"/>
  <c r="K72" i="6"/>
  <c r="L72" i="6" s="1"/>
  <c r="K73" i="6"/>
  <c r="L73" i="6" s="1"/>
  <c r="K74" i="6"/>
  <c r="L74" i="6" s="1"/>
  <c r="K75" i="6"/>
  <c r="L75" i="6" s="1"/>
  <c r="K76" i="6"/>
  <c r="L76" i="6" s="1"/>
  <c r="K77" i="6"/>
  <c r="L77" i="6" s="1"/>
  <c r="K78" i="6"/>
  <c r="L78" i="6" s="1"/>
  <c r="K79" i="6"/>
  <c r="L79" i="6" s="1"/>
  <c r="K80" i="6"/>
  <c r="L80" i="6" s="1"/>
  <c r="K81" i="6"/>
  <c r="L81" i="6" s="1"/>
  <c r="K82" i="6"/>
  <c r="L82" i="6" s="1"/>
  <c r="K83" i="6"/>
  <c r="L83" i="6" s="1"/>
  <c r="K84" i="6"/>
  <c r="L84" i="6" s="1"/>
  <c r="K85" i="6"/>
  <c r="L85" i="6" s="1"/>
  <c r="K86" i="6"/>
  <c r="L86" i="6" s="1"/>
  <c r="K87" i="6"/>
  <c r="L87" i="6" s="1"/>
  <c r="K88" i="6"/>
  <c r="L88" i="6" s="1"/>
  <c r="K89" i="6"/>
  <c r="L89" i="6" s="1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P77" i="6"/>
  <c r="P78" i="6"/>
  <c r="P79" i="6"/>
  <c r="P80" i="6"/>
  <c r="P81" i="6"/>
  <c r="P82" i="6"/>
  <c r="P83" i="6"/>
  <c r="P84" i="6"/>
  <c r="P85" i="6"/>
  <c r="P86" i="6"/>
  <c r="P87" i="6"/>
  <c r="P88" i="6"/>
  <c r="O74" i="6"/>
  <c r="P74" i="6" s="1"/>
  <c r="O75" i="6"/>
  <c r="P75" i="6" s="1"/>
  <c r="O76" i="6"/>
  <c r="P76" i="6" s="1"/>
  <c r="N74" i="6"/>
  <c r="N75" i="6"/>
  <c r="N77" i="6"/>
  <c r="N78" i="6"/>
  <c r="N79" i="6"/>
  <c r="S22" i="6"/>
  <c r="S21" i="6"/>
  <c r="S19" i="6"/>
  <c r="O17" i="6"/>
  <c r="P17" i="6" s="1"/>
  <c r="S13" i="6"/>
  <c r="S12" i="6"/>
  <c r="S8" i="6"/>
  <c r="S6" i="6"/>
  <c r="U77" i="1" l="1"/>
  <c r="O16" i="1"/>
  <c r="U29" i="1"/>
  <c r="O51" i="1"/>
  <c r="U64" i="1"/>
  <c r="U17" i="1"/>
  <c r="U4" i="1"/>
  <c r="T48" i="6"/>
  <c r="U48" i="6" s="1"/>
  <c r="V48" i="6" s="1"/>
  <c r="X48" i="6" s="1"/>
  <c r="T66" i="6"/>
  <c r="U66" i="6" s="1"/>
  <c r="V66" i="6" s="1"/>
  <c r="X66" i="6" s="1"/>
  <c r="T65" i="6"/>
  <c r="U65" i="6" s="1"/>
  <c r="V65" i="6" s="1"/>
  <c r="X65" i="6" s="1"/>
  <c r="T29" i="6"/>
  <c r="U29" i="6" s="1"/>
  <c r="V29" i="6" s="1"/>
  <c r="X29" i="6" s="1"/>
  <c r="T31" i="6"/>
  <c r="U31" i="6" s="1"/>
  <c r="V31" i="6" s="1"/>
  <c r="X31" i="6" s="1"/>
  <c r="T27" i="6"/>
  <c r="U27" i="6" s="1"/>
  <c r="V27" i="6" s="1"/>
  <c r="X27" i="6" s="1"/>
  <c r="T71" i="6"/>
  <c r="U71" i="6" s="1"/>
  <c r="V71" i="6" s="1"/>
  <c r="T70" i="6"/>
  <c r="U70" i="6" s="1"/>
  <c r="V70" i="6" s="1"/>
  <c r="T69" i="6"/>
  <c r="U69" i="6" s="1"/>
  <c r="V69" i="6" s="1"/>
  <c r="S73" i="9"/>
  <c r="S51" i="5"/>
  <c r="K50" i="5"/>
  <c r="S102" i="5"/>
  <c r="S98" i="5"/>
  <c r="S17" i="5" l="1"/>
  <c r="S5" i="5"/>
  <c r="X71" i="6" l="1"/>
  <c r="R72" i="6"/>
  <c r="T72" i="6" s="1"/>
  <c r="U72" i="6" s="1"/>
  <c r="V72" i="6" s="1"/>
  <c r="X72" i="6" s="1"/>
  <c r="O39" i="1" s="1"/>
  <c r="R73" i="6"/>
  <c r="T73" i="6" s="1"/>
  <c r="U73" i="6" s="1"/>
  <c r="V73" i="6" s="1"/>
  <c r="X73" i="6" s="1"/>
  <c r="R74" i="6"/>
  <c r="T74" i="6" s="1"/>
  <c r="U74" i="6" s="1"/>
  <c r="V74" i="6" s="1"/>
  <c r="X74" i="6" s="1"/>
  <c r="R75" i="6"/>
  <c r="R76" i="6"/>
  <c r="R77" i="6"/>
  <c r="R78" i="6"/>
  <c r="R79" i="6"/>
  <c r="R80" i="6"/>
  <c r="R81" i="6"/>
  <c r="R82" i="6"/>
  <c r="R83" i="6"/>
  <c r="R84" i="6"/>
  <c r="R85" i="6"/>
  <c r="X70" i="6" l="1"/>
  <c r="X69" i="6"/>
  <c r="S179" i="2"/>
  <c r="S132" i="2"/>
  <c r="K59" i="2"/>
  <c r="L59" i="2" s="1"/>
  <c r="M37" i="2"/>
  <c r="M38" i="2"/>
  <c r="S56" i="5"/>
  <c r="S94" i="5"/>
  <c r="S53" i="2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S90" i="5"/>
  <c r="S89" i="5"/>
  <c r="S88" i="5"/>
  <c r="S68" i="9"/>
  <c r="K67" i="9"/>
  <c r="K68" i="9"/>
  <c r="K69" i="9"/>
  <c r="K70" i="9"/>
  <c r="K71" i="9"/>
  <c r="K72" i="9"/>
  <c r="K73" i="9"/>
  <c r="K74" i="9"/>
  <c r="S268" i="2" l="1"/>
  <c r="L268" i="2" l="1"/>
  <c r="T268" i="2" s="1"/>
  <c r="U268" i="2" s="1"/>
  <c r="V268" i="2" s="1"/>
  <c r="X268" i="2" s="1"/>
  <c r="S80" i="5" l="1"/>
  <c r="S78" i="5"/>
  <c r="S79" i="5"/>
  <c r="S64" i="9"/>
  <c r="K5" i="5" l="1"/>
  <c r="L5" i="5" s="1"/>
  <c r="M5" i="5"/>
  <c r="N5" i="5" s="1"/>
  <c r="O5" i="5"/>
  <c r="P5" i="5" s="1"/>
  <c r="Q5" i="5"/>
  <c r="R5" i="5" s="1"/>
  <c r="W5" i="5"/>
  <c r="K6" i="5"/>
  <c r="L6" i="5" s="1"/>
  <c r="M6" i="5"/>
  <c r="N6" i="5" s="1"/>
  <c r="O6" i="5"/>
  <c r="P6" i="5" s="1"/>
  <c r="Q6" i="5"/>
  <c r="R6" i="5" s="1"/>
  <c r="S6" i="5"/>
  <c r="W6" i="5"/>
  <c r="K7" i="5"/>
  <c r="L7" i="5" s="1"/>
  <c r="M7" i="5"/>
  <c r="N7" i="5" s="1"/>
  <c r="O7" i="5"/>
  <c r="P7" i="5" s="1"/>
  <c r="Q7" i="5"/>
  <c r="R7" i="5" s="1"/>
  <c r="S7" i="5"/>
  <c r="W7" i="5"/>
  <c r="K8" i="5"/>
  <c r="L8" i="5" s="1"/>
  <c r="M8" i="5"/>
  <c r="N8" i="5" s="1"/>
  <c r="O8" i="5"/>
  <c r="P8" i="5" s="1"/>
  <c r="Q8" i="5"/>
  <c r="R8" i="5" s="1"/>
  <c r="S8" i="5"/>
  <c r="W8" i="5"/>
  <c r="K9" i="5"/>
  <c r="L9" i="5" s="1"/>
  <c r="M9" i="5"/>
  <c r="N9" i="5" s="1"/>
  <c r="O9" i="5"/>
  <c r="P9" i="5" s="1"/>
  <c r="Q9" i="5"/>
  <c r="R9" i="5" s="1"/>
  <c r="S9" i="5"/>
  <c r="W9" i="5"/>
  <c r="K11" i="5"/>
  <c r="L11" i="5" s="1"/>
  <c r="M11" i="5"/>
  <c r="N11" i="5" s="1"/>
  <c r="O11" i="5"/>
  <c r="P11" i="5" s="1"/>
  <c r="Q11" i="5"/>
  <c r="R11" i="5" s="1"/>
  <c r="S11" i="5"/>
  <c r="W11" i="5"/>
  <c r="K12" i="5"/>
  <c r="L12" i="5" s="1"/>
  <c r="M12" i="5"/>
  <c r="N12" i="5" s="1"/>
  <c r="O12" i="5"/>
  <c r="P12" i="5" s="1"/>
  <c r="Q12" i="5"/>
  <c r="R12" i="5" s="1"/>
  <c r="S12" i="5"/>
  <c r="W12" i="5"/>
  <c r="K13" i="5"/>
  <c r="L13" i="5" s="1"/>
  <c r="M13" i="5"/>
  <c r="N13" i="5" s="1"/>
  <c r="O13" i="5"/>
  <c r="P13" i="5" s="1"/>
  <c r="Q13" i="5"/>
  <c r="R13" i="5" s="1"/>
  <c r="S13" i="5"/>
  <c r="W13" i="5"/>
  <c r="K14" i="5"/>
  <c r="L14" i="5" s="1"/>
  <c r="M14" i="5"/>
  <c r="N14" i="5" s="1"/>
  <c r="O14" i="5"/>
  <c r="P14" i="5" s="1"/>
  <c r="Q14" i="5"/>
  <c r="R14" i="5" s="1"/>
  <c r="S14" i="5"/>
  <c r="W14" i="5"/>
  <c r="K15" i="5"/>
  <c r="L15" i="5" s="1"/>
  <c r="M15" i="5"/>
  <c r="N15" i="5" s="1"/>
  <c r="O15" i="5"/>
  <c r="P15" i="5" s="1"/>
  <c r="Q15" i="5"/>
  <c r="R15" i="5" s="1"/>
  <c r="S15" i="5"/>
  <c r="W15" i="5"/>
  <c r="K17" i="5"/>
  <c r="L17" i="5" s="1"/>
  <c r="M17" i="5"/>
  <c r="N17" i="5" s="1"/>
  <c r="O17" i="5"/>
  <c r="P17" i="5" s="1"/>
  <c r="Q17" i="5"/>
  <c r="R17" i="5" s="1"/>
  <c r="W17" i="5"/>
  <c r="K18" i="5"/>
  <c r="L18" i="5" s="1"/>
  <c r="M18" i="5"/>
  <c r="N18" i="5" s="1"/>
  <c r="O18" i="5"/>
  <c r="P18" i="5" s="1"/>
  <c r="Q18" i="5"/>
  <c r="R18" i="5" s="1"/>
  <c r="S18" i="5"/>
  <c r="W18" i="5"/>
  <c r="K19" i="5"/>
  <c r="L19" i="5" s="1"/>
  <c r="M19" i="5"/>
  <c r="N19" i="5" s="1"/>
  <c r="O19" i="5"/>
  <c r="P19" i="5" s="1"/>
  <c r="Q19" i="5"/>
  <c r="R19" i="5" s="1"/>
  <c r="S19" i="5"/>
  <c r="W19" i="5"/>
  <c r="K20" i="5"/>
  <c r="L20" i="5" s="1"/>
  <c r="M20" i="5"/>
  <c r="N20" i="5" s="1"/>
  <c r="O20" i="5"/>
  <c r="P20" i="5" s="1"/>
  <c r="Q20" i="5"/>
  <c r="R20" i="5" s="1"/>
  <c r="S20" i="5"/>
  <c r="W20" i="5"/>
  <c r="K21" i="5"/>
  <c r="L21" i="5" s="1"/>
  <c r="M21" i="5"/>
  <c r="N21" i="5" s="1"/>
  <c r="O21" i="5"/>
  <c r="P21" i="5" s="1"/>
  <c r="Q21" i="5"/>
  <c r="R21" i="5" s="1"/>
  <c r="S21" i="5"/>
  <c r="W21" i="5"/>
  <c r="K22" i="5"/>
  <c r="L22" i="5" s="1"/>
  <c r="M22" i="5"/>
  <c r="N22" i="5" s="1"/>
  <c r="O22" i="5"/>
  <c r="P22" i="5" s="1"/>
  <c r="Q22" i="5"/>
  <c r="R22" i="5" s="1"/>
  <c r="W22" i="5"/>
  <c r="K23" i="5"/>
  <c r="L23" i="5" s="1"/>
  <c r="M23" i="5"/>
  <c r="N23" i="5" s="1"/>
  <c r="O23" i="5"/>
  <c r="P23" i="5" s="1"/>
  <c r="Q23" i="5"/>
  <c r="R23" i="5" s="1"/>
  <c r="S23" i="5"/>
  <c r="W23" i="5"/>
  <c r="K24" i="5"/>
  <c r="L24" i="5" s="1"/>
  <c r="M24" i="5"/>
  <c r="N24" i="5" s="1"/>
  <c r="O24" i="5"/>
  <c r="P24" i="5" s="1"/>
  <c r="Q24" i="5"/>
  <c r="R24" i="5" s="1"/>
  <c r="S24" i="5"/>
  <c r="W24" i="5"/>
  <c r="K25" i="5"/>
  <c r="L25" i="5" s="1"/>
  <c r="M25" i="5"/>
  <c r="N25" i="5" s="1"/>
  <c r="O25" i="5"/>
  <c r="P25" i="5" s="1"/>
  <c r="Q25" i="5"/>
  <c r="R25" i="5" s="1"/>
  <c r="S25" i="5"/>
  <c r="W25" i="5"/>
  <c r="K26" i="5"/>
  <c r="L26" i="5" s="1"/>
  <c r="M26" i="5"/>
  <c r="N26" i="5" s="1"/>
  <c r="O26" i="5"/>
  <c r="P26" i="5" s="1"/>
  <c r="Q26" i="5"/>
  <c r="R26" i="5" s="1"/>
  <c r="S26" i="5"/>
  <c r="W26" i="5"/>
  <c r="K27" i="5"/>
  <c r="L27" i="5" s="1"/>
  <c r="M27" i="5"/>
  <c r="N27" i="5" s="1"/>
  <c r="O27" i="5"/>
  <c r="P27" i="5" s="1"/>
  <c r="Q27" i="5"/>
  <c r="R27" i="5" s="1"/>
  <c r="S27" i="5"/>
  <c r="K28" i="5"/>
  <c r="L28" i="5" s="1"/>
  <c r="M28" i="5"/>
  <c r="N28" i="5" s="1"/>
  <c r="O28" i="5"/>
  <c r="P28" i="5" s="1"/>
  <c r="Q28" i="5"/>
  <c r="R28" i="5" s="1"/>
  <c r="S28" i="5"/>
  <c r="K29" i="5"/>
  <c r="L29" i="5" s="1"/>
  <c r="M29" i="5"/>
  <c r="N29" i="5" s="1"/>
  <c r="O29" i="5"/>
  <c r="P29" i="5" s="1"/>
  <c r="Q29" i="5"/>
  <c r="R29" i="5" s="1"/>
  <c r="S29" i="5"/>
  <c r="W29" i="5"/>
  <c r="K30" i="5"/>
  <c r="L30" i="5" s="1"/>
  <c r="M30" i="5"/>
  <c r="N30" i="5" s="1"/>
  <c r="O30" i="5"/>
  <c r="P30" i="5" s="1"/>
  <c r="Q30" i="5"/>
  <c r="R30" i="5" s="1"/>
  <c r="S30" i="5"/>
  <c r="W30" i="5"/>
  <c r="K31" i="5"/>
  <c r="L31" i="5" s="1"/>
  <c r="M31" i="5"/>
  <c r="N31" i="5" s="1"/>
  <c r="O31" i="5"/>
  <c r="P31" i="5" s="1"/>
  <c r="Q31" i="5"/>
  <c r="R31" i="5" s="1"/>
  <c r="S31" i="5"/>
  <c r="W31" i="5"/>
  <c r="K32" i="5"/>
  <c r="L32" i="5" s="1"/>
  <c r="M32" i="5"/>
  <c r="N32" i="5" s="1"/>
  <c r="O32" i="5"/>
  <c r="P32" i="5" s="1"/>
  <c r="Q32" i="5"/>
  <c r="R32" i="5" s="1"/>
  <c r="S32" i="5"/>
  <c r="W32" i="5"/>
  <c r="K33" i="5"/>
  <c r="L33" i="5" s="1"/>
  <c r="M33" i="5"/>
  <c r="N33" i="5" s="1"/>
  <c r="O33" i="5"/>
  <c r="P33" i="5" s="1"/>
  <c r="Q33" i="5"/>
  <c r="R33" i="5" s="1"/>
  <c r="S33" i="5"/>
  <c r="W33" i="5"/>
  <c r="K34" i="5"/>
  <c r="L34" i="5" s="1"/>
  <c r="M34" i="5"/>
  <c r="N34" i="5" s="1"/>
  <c r="O34" i="5"/>
  <c r="P34" i="5" s="1"/>
  <c r="Q34" i="5"/>
  <c r="R34" i="5" s="1"/>
  <c r="S34" i="5"/>
  <c r="W34" i="5"/>
  <c r="K35" i="5"/>
  <c r="L35" i="5" s="1"/>
  <c r="M35" i="5"/>
  <c r="N35" i="5" s="1"/>
  <c r="O35" i="5"/>
  <c r="P35" i="5" s="1"/>
  <c r="Q35" i="5"/>
  <c r="R35" i="5" s="1"/>
  <c r="S35" i="5"/>
  <c r="W35" i="5"/>
  <c r="K36" i="5"/>
  <c r="L36" i="5" s="1"/>
  <c r="M36" i="5"/>
  <c r="N36" i="5" s="1"/>
  <c r="O36" i="5"/>
  <c r="P36" i="5" s="1"/>
  <c r="Q36" i="5"/>
  <c r="R36" i="5" s="1"/>
  <c r="S36" i="5"/>
  <c r="W36" i="5"/>
  <c r="K37" i="5"/>
  <c r="L37" i="5" s="1"/>
  <c r="M37" i="5"/>
  <c r="N37" i="5" s="1"/>
  <c r="O37" i="5"/>
  <c r="P37" i="5" s="1"/>
  <c r="Q37" i="5"/>
  <c r="R37" i="5" s="1"/>
  <c r="S37" i="5"/>
  <c r="W37" i="5"/>
  <c r="K38" i="5"/>
  <c r="L38" i="5" s="1"/>
  <c r="M38" i="5"/>
  <c r="N38" i="5" s="1"/>
  <c r="O38" i="5"/>
  <c r="P38" i="5" s="1"/>
  <c r="Q38" i="5"/>
  <c r="R38" i="5" s="1"/>
  <c r="S38" i="5"/>
  <c r="K39" i="5"/>
  <c r="L39" i="5" s="1"/>
  <c r="M39" i="5"/>
  <c r="N39" i="5" s="1"/>
  <c r="O39" i="5"/>
  <c r="P39" i="5" s="1"/>
  <c r="Q39" i="5"/>
  <c r="R39" i="5" s="1"/>
  <c r="S39" i="5"/>
  <c r="W39" i="5"/>
  <c r="K40" i="5"/>
  <c r="L40" i="5" s="1"/>
  <c r="M40" i="5"/>
  <c r="N40" i="5" s="1"/>
  <c r="O40" i="5"/>
  <c r="P40" i="5" s="1"/>
  <c r="Q40" i="5"/>
  <c r="R40" i="5" s="1"/>
  <c r="S40" i="5"/>
  <c r="W40" i="5"/>
  <c r="K41" i="5"/>
  <c r="L41" i="5" s="1"/>
  <c r="M41" i="5"/>
  <c r="N41" i="5" s="1"/>
  <c r="O41" i="5"/>
  <c r="P41" i="5" s="1"/>
  <c r="Q41" i="5"/>
  <c r="R41" i="5" s="1"/>
  <c r="S41" i="5"/>
  <c r="W41" i="5"/>
  <c r="K42" i="5"/>
  <c r="L42" i="5" s="1"/>
  <c r="N42" i="5"/>
  <c r="O42" i="5"/>
  <c r="P42" i="5" s="1"/>
  <c r="Q42" i="5"/>
  <c r="R42" i="5" s="1"/>
  <c r="S42" i="5"/>
  <c r="K43" i="5"/>
  <c r="L43" i="5" s="1"/>
  <c r="M43" i="5"/>
  <c r="N43" i="5" s="1"/>
  <c r="O43" i="5"/>
  <c r="P43" i="5" s="1"/>
  <c r="Q43" i="5"/>
  <c r="R43" i="5" s="1"/>
  <c r="S43" i="5"/>
  <c r="K44" i="5"/>
  <c r="L44" i="5" s="1"/>
  <c r="M44" i="5"/>
  <c r="N44" i="5" s="1"/>
  <c r="O44" i="5"/>
  <c r="P44" i="5" s="1"/>
  <c r="Q44" i="5"/>
  <c r="R44" i="5" s="1"/>
  <c r="L45" i="5"/>
  <c r="M45" i="5"/>
  <c r="N45" i="5" s="1"/>
  <c r="O45" i="5"/>
  <c r="P45" i="5" s="1"/>
  <c r="Q45" i="5"/>
  <c r="R45" i="5" s="1"/>
  <c r="S45" i="5"/>
  <c r="W45" i="5"/>
  <c r="L46" i="5"/>
  <c r="M46" i="5"/>
  <c r="N46" i="5" s="1"/>
  <c r="O46" i="5"/>
  <c r="P46" i="5" s="1"/>
  <c r="Q46" i="5"/>
  <c r="R46" i="5" s="1"/>
  <c r="S46" i="5"/>
  <c r="W46" i="5"/>
  <c r="L47" i="5"/>
  <c r="M47" i="5"/>
  <c r="N47" i="5" s="1"/>
  <c r="O47" i="5"/>
  <c r="P47" i="5" s="1"/>
  <c r="Q47" i="5"/>
  <c r="R47" i="5" s="1"/>
  <c r="S47" i="5"/>
  <c r="W47" i="5"/>
  <c r="L48" i="5"/>
  <c r="M48" i="5"/>
  <c r="N48" i="5" s="1"/>
  <c r="O48" i="5"/>
  <c r="P48" i="5" s="1"/>
  <c r="Q48" i="5"/>
  <c r="R48" i="5" s="1"/>
  <c r="S48" i="5"/>
  <c r="W48" i="5"/>
  <c r="K49" i="5"/>
  <c r="L49" i="5" s="1"/>
  <c r="M49" i="5"/>
  <c r="N49" i="5" s="1"/>
  <c r="O49" i="5"/>
  <c r="P49" i="5" s="1"/>
  <c r="Q49" i="5"/>
  <c r="R49" i="5" s="1"/>
  <c r="S49" i="5"/>
  <c r="W49" i="5"/>
  <c r="L50" i="5"/>
  <c r="M50" i="5"/>
  <c r="N50" i="5" s="1"/>
  <c r="O50" i="5"/>
  <c r="P50" i="5" s="1"/>
  <c r="Q50" i="5"/>
  <c r="R50" i="5" s="1"/>
  <c r="W50" i="5"/>
  <c r="K51" i="5"/>
  <c r="L51" i="5" s="1"/>
  <c r="M51" i="5"/>
  <c r="N51" i="5" s="1"/>
  <c r="O51" i="5"/>
  <c r="P51" i="5" s="1"/>
  <c r="Q51" i="5"/>
  <c r="R51" i="5" s="1"/>
  <c r="W51" i="5"/>
  <c r="K52" i="5"/>
  <c r="L52" i="5" s="1"/>
  <c r="M52" i="5"/>
  <c r="N52" i="5" s="1"/>
  <c r="O52" i="5"/>
  <c r="P52" i="5" s="1"/>
  <c r="Q52" i="5"/>
  <c r="R52" i="5" s="1"/>
  <c r="S52" i="5"/>
  <c r="W52" i="5"/>
  <c r="K53" i="5"/>
  <c r="L53" i="5" s="1"/>
  <c r="M53" i="5"/>
  <c r="N53" i="5" s="1"/>
  <c r="O53" i="5"/>
  <c r="P53" i="5" s="1"/>
  <c r="Q53" i="5"/>
  <c r="R53" i="5" s="1"/>
  <c r="S53" i="5"/>
  <c r="W53" i="5"/>
  <c r="K54" i="5"/>
  <c r="L54" i="5" s="1"/>
  <c r="M54" i="5"/>
  <c r="N54" i="5" s="1"/>
  <c r="O54" i="5"/>
  <c r="P54" i="5" s="1"/>
  <c r="Q54" i="5"/>
  <c r="R54" i="5" s="1"/>
  <c r="S54" i="5"/>
  <c r="W54" i="5"/>
  <c r="K55" i="5"/>
  <c r="L55" i="5" s="1"/>
  <c r="M55" i="5"/>
  <c r="N55" i="5" s="1"/>
  <c r="O55" i="5"/>
  <c r="P55" i="5" s="1"/>
  <c r="Q55" i="5"/>
  <c r="R55" i="5" s="1"/>
  <c r="S55" i="5"/>
  <c r="W55" i="5"/>
  <c r="K56" i="5"/>
  <c r="L56" i="5" s="1"/>
  <c r="M56" i="5"/>
  <c r="N56" i="5" s="1"/>
  <c r="O56" i="5"/>
  <c r="P56" i="5" s="1"/>
  <c r="Q56" i="5"/>
  <c r="R56" i="5" s="1"/>
  <c r="W56" i="5"/>
  <c r="K61" i="5"/>
  <c r="L61" i="5" s="1"/>
  <c r="M61" i="5"/>
  <c r="N61" i="5" s="1"/>
  <c r="O61" i="5"/>
  <c r="P61" i="5" s="1"/>
  <c r="Q61" i="5"/>
  <c r="R61" i="5" s="1"/>
  <c r="S61" i="5"/>
  <c r="W61" i="5"/>
  <c r="K62" i="5"/>
  <c r="L62" i="5" s="1"/>
  <c r="M62" i="5"/>
  <c r="N62" i="5" s="1"/>
  <c r="O62" i="5"/>
  <c r="P62" i="5" s="1"/>
  <c r="Q62" i="5"/>
  <c r="R62" i="5" s="1"/>
  <c r="S62" i="5"/>
  <c r="W62" i="5"/>
  <c r="K63" i="5"/>
  <c r="L63" i="5" s="1"/>
  <c r="M63" i="5"/>
  <c r="N63" i="5" s="1"/>
  <c r="O63" i="5"/>
  <c r="P63" i="5" s="1"/>
  <c r="Q63" i="5"/>
  <c r="R63" i="5" s="1"/>
  <c r="S63" i="5"/>
  <c r="W63" i="5"/>
  <c r="K64" i="5"/>
  <c r="L64" i="5" s="1"/>
  <c r="M64" i="5"/>
  <c r="N64" i="5" s="1"/>
  <c r="O64" i="5"/>
  <c r="P64" i="5" s="1"/>
  <c r="Q64" i="5"/>
  <c r="R64" i="5" s="1"/>
  <c r="S64" i="5"/>
  <c r="W64" i="5"/>
  <c r="K65" i="5"/>
  <c r="L65" i="5" s="1"/>
  <c r="M65" i="5"/>
  <c r="N65" i="5" s="1"/>
  <c r="O65" i="5"/>
  <c r="P65" i="5" s="1"/>
  <c r="Q65" i="5"/>
  <c r="R65" i="5" s="1"/>
  <c r="S65" i="5"/>
  <c r="W65" i="5"/>
  <c r="K66" i="5"/>
  <c r="L66" i="5" s="1"/>
  <c r="M66" i="5"/>
  <c r="N66" i="5" s="1"/>
  <c r="O66" i="5"/>
  <c r="P66" i="5" s="1"/>
  <c r="Q66" i="5"/>
  <c r="R66" i="5" s="1"/>
  <c r="S66" i="5"/>
  <c r="W66" i="5"/>
  <c r="K67" i="5"/>
  <c r="L67" i="5" s="1"/>
  <c r="M67" i="5"/>
  <c r="N67" i="5" s="1"/>
  <c r="O67" i="5"/>
  <c r="P67" i="5" s="1"/>
  <c r="Q67" i="5"/>
  <c r="R67" i="5" s="1"/>
  <c r="S67" i="5"/>
  <c r="W67" i="5"/>
  <c r="K68" i="5"/>
  <c r="L68" i="5" s="1"/>
  <c r="M68" i="5"/>
  <c r="N68" i="5" s="1"/>
  <c r="O68" i="5"/>
  <c r="P68" i="5" s="1"/>
  <c r="Q68" i="5"/>
  <c r="R68" i="5" s="1"/>
  <c r="S68" i="5"/>
  <c r="W68" i="5"/>
  <c r="K69" i="5"/>
  <c r="L69" i="5" s="1"/>
  <c r="M69" i="5"/>
  <c r="N69" i="5" s="1"/>
  <c r="O69" i="5"/>
  <c r="P69" i="5" s="1"/>
  <c r="Q69" i="5"/>
  <c r="R69" i="5" s="1"/>
  <c r="S69" i="5"/>
  <c r="W69" i="5"/>
  <c r="K70" i="5"/>
  <c r="L70" i="5" s="1"/>
  <c r="M70" i="5"/>
  <c r="N70" i="5" s="1"/>
  <c r="O70" i="5"/>
  <c r="P70" i="5" s="1"/>
  <c r="Q70" i="5"/>
  <c r="R70" i="5" s="1"/>
  <c r="S70" i="5"/>
  <c r="W70" i="5"/>
  <c r="K71" i="5"/>
  <c r="L71" i="5" s="1"/>
  <c r="M71" i="5"/>
  <c r="N71" i="5" s="1"/>
  <c r="O71" i="5"/>
  <c r="P71" i="5" s="1"/>
  <c r="Q71" i="5"/>
  <c r="R71" i="5" s="1"/>
  <c r="S71" i="5"/>
  <c r="W71" i="5"/>
  <c r="K72" i="5"/>
  <c r="L72" i="5" s="1"/>
  <c r="M72" i="5"/>
  <c r="N72" i="5" s="1"/>
  <c r="O72" i="5"/>
  <c r="P72" i="5" s="1"/>
  <c r="Q72" i="5"/>
  <c r="R72" i="5" s="1"/>
  <c r="S72" i="5"/>
  <c r="W72" i="5"/>
  <c r="S85" i="2"/>
  <c r="S30" i="9"/>
  <c r="T36" i="5" l="1"/>
  <c r="U36" i="5" s="1"/>
  <c r="V36" i="5" s="1"/>
  <c r="X36" i="5" s="1"/>
  <c r="T72" i="5"/>
  <c r="U72" i="5" s="1"/>
  <c r="V72" i="5" s="1"/>
  <c r="X72" i="5" s="1"/>
  <c r="T71" i="5"/>
  <c r="U71" i="5" s="1"/>
  <c r="V71" i="5" s="1"/>
  <c r="X71" i="5" s="1"/>
  <c r="T70" i="5"/>
  <c r="U70" i="5" s="1"/>
  <c r="V70" i="5" s="1"/>
  <c r="X70" i="5" s="1"/>
  <c r="T69" i="5"/>
  <c r="U69" i="5" s="1"/>
  <c r="V69" i="5" s="1"/>
  <c r="X69" i="5" s="1"/>
  <c r="T68" i="5"/>
  <c r="U68" i="5" s="1"/>
  <c r="V68" i="5" s="1"/>
  <c r="X68" i="5" s="1"/>
  <c r="T67" i="5"/>
  <c r="U67" i="5" s="1"/>
  <c r="V67" i="5" s="1"/>
  <c r="X67" i="5" s="1"/>
  <c r="T66" i="5"/>
  <c r="U66" i="5" s="1"/>
  <c r="V66" i="5" s="1"/>
  <c r="X66" i="5" s="1"/>
  <c r="T65" i="5"/>
  <c r="U65" i="5" s="1"/>
  <c r="V65" i="5" s="1"/>
  <c r="X65" i="5" s="1"/>
  <c r="T64" i="5"/>
  <c r="U64" i="5" s="1"/>
  <c r="V64" i="5" s="1"/>
  <c r="X64" i="5" s="1"/>
  <c r="T63" i="5"/>
  <c r="U63" i="5" s="1"/>
  <c r="V63" i="5" s="1"/>
  <c r="X63" i="5" s="1"/>
  <c r="T62" i="5"/>
  <c r="U62" i="5" s="1"/>
  <c r="V62" i="5" s="1"/>
  <c r="X62" i="5" s="1"/>
  <c r="T61" i="5"/>
  <c r="U61" i="5" s="1"/>
  <c r="V61" i="5" s="1"/>
  <c r="X61" i="5" s="1"/>
  <c r="T56" i="5"/>
  <c r="U56" i="5" s="1"/>
  <c r="V56" i="5" s="1"/>
  <c r="X56" i="5" s="1"/>
  <c r="T55" i="5"/>
  <c r="U55" i="5" s="1"/>
  <c r="V55" i="5" s="1"/>
  <c r="X55" i="5" s="1"/>
  <c r="T54" i="5"/>
  <c r="U54" i="5" s="1"/>
  <c r="V54" i="5" s="1"/>
  <c r="X54" i="5" s="1"/>
  <c r="T53" i="5"/>
  <c r="U53" i="5" s="1"/>
  <c r="V53" i="5" s="1"/>
  <c r="X53" i="5" s="1"/>
  <c r="T52" i="5"/>
  <c r="U52" i="5" s="1"/>
  <c r="V52" i="5" s="1"/>
  <c r="X52" i="5" s="1"/>
  <c r="K7" i="1" s="1"/>
  <c r="T51" i="5"/>
  <c r="U51" i="5" s="1"/>
  <c r="V51" i="5" s="1"/>
  <c r="X51" i="5" s="1"/>
  <c r="T50" i="5"/>
  <c r="U50" i="5" s="1"/>
  <c r="T49" i="5"/>
  <c r="U49" i="5" s="1"/>
  <c r="V49" i="5" s="1"/>
  <c r="X49" i="5" s="1"/>
  <c r="S45" i="1" s="1"/>
  <c r="T48" i="5"/>
  <c r="U48" i="5" s="1"/>
  <c r="V48" i="5" s="1"/>
  <c r="X48" i="5" s="1"/>
  <c r="T47" i="5"/>
  <c r="U47" i="5" s="1"/>
  <c r="V47" i="5" s="1"/>
  <c r="X47" i="5" s="1"/>
  <c r="T46" i="5"/>
  <c r="U46" i="5" s="1"/>
  <c r="V46" i="5" s="1"/>
  <c r="X46" i="5" s="1"/>
  <c r="T45" i="5"/>
  <c r="U45" i="5" s="1"/>
  <c r="V45" i="5" s="1"/>
  <c r="X45" i="5" s="1"/>
  <c r="T44" i="5"/>
  <c r="U44" i="5" s="1"/>
  <c r="V44" i="5" s="1"/>
  <c r="X44" i="5" s="1"/>
  <c r="T43" i="5"/>
  <c r="U43" i="5" s="1"/>
  <c r="V43" i="5" s="1"/>
  <c r="X43" i="5" s="1"/>
  <c r="T42" i="5"/>
  <c r="U42" i="5" s="1"/>
  <c r="V42" i="5" s="1"/>
  <c r="X42" i="5" s="1"/>
  <c r="T41" i="5"/>
  <c r="U41" i="5" s="1"/>
  <c r="V41" i="5" s="1"/>
  <c r="X41" i="5" s="1"/>
  <c r="T40" i="5"/>
  <c r="U40" i="5" s="1"/>
  <c r="V40" i="5" s="1"/>
  <c r="X40" i="5" s="1"/>
  <c r="T39" i="5"/>
  <c r="U39" i="5" s="1"/>
  <c r="V39" i="5" s="1"/>
  <c r="X39" i="5" s="1"/>
  <c r="T38" i="5"/>
  <c r="U38" i="5" s="1"/>
  <c r="V38" i="5" s="1"/>
  <c r="X38" i="5" s="1"/>
  <c r="T37" i="5"/>
  <c r="U37" i="5" s="1"/>
  <c r="V37" i="5" s="1"/>
  <c r="X37" i="5" s="1"/>
  <c r="T35" i="5"/>
  <c r="U35" i="5" s="1"/>
  <c r="V35" i="5" s="1"/>
  <c r="X35" i="5" s="1"/>
  <c r="T32" i="5"/>
  <c r="U32" i="5" s="1"/>
  <c r="V32" i="5" s="1"/>
  <c r="X32" i="5" s="1"/>
  <c r="T30" i="5"/>
  <c r="U30" i="5" s="1"/>
  <c r="V30" i="5" s="1"/>
  <c r="X30" i="5" s="1"/>
  <c r="T28" i="5"/>
  <c r="U28" i="5" s="1"/>
  <c r="V28" i="5" s="1"/>
  <c r="X28" i="5" s="1"/>
  <c r="T27" i="5"/>
  <c r="U27" i="5" s="1"/>
  <c r="V27" i="5" s="1"/>
  <c r="X27" i="5" s="1"/>
  <c r="T26" i="5"/>
  <c r="U26" i="5" s="1"/>
  <c r="V26" i="5" s="1"/>
  <c r="X26" i="5" s="1"/>
  <c r="T24" i="5"/>
  <c r="U24" i="5" s="1"/>
  <c r="V24" i="5" s="1"/>
  <c r="X24" i="5" s="1"/>
  <c r="T22" i="5"/>
  <c r="U22" i="5" s="1"/>
  <c r="V22" i="5" s="1"/>
  <c r="X22" i="5" s="1"/>
  <c r="T21" i="5"/>
  <c r="U21" i="5" s="1"/>
  <c r="V21" i="5" s="1"/>
  <c r="X21" i="5" s="1"/>
  <c r="T19" i="5"/>
  <c r="U19" i="5" s="1"/>
  <c r="V19" i="5" s="1"/>
  <c r="X19" i="5" s="1"/>
  <c r="T17" i="5"/>
  <c r="U17" i="5" s="1"/>
  <c r="V17" i="5" s="1"/>
  <c r="X17" i="5" s="1"/>
  <c r="T14" i="5"/>
  <c r="U14" i="5" s="1"/>
  <c r="V14" i="5" s="1"/>
  <c r="X14" i="5" s="1"/>
  <c r="T12" i="5"/>
  <c r="U12" i="5" s="1"/>
  <c r="V12" i="5" s="1"/>
  <c r="X12" i="5" s="1"/>
  <c r="T9" i="5"/>
  <c r="U9" i="5" s="1"/>
  <c r="V9" i="5" s="1"/>
  <c r="X9" i="5" s="1"/>
  <c r="T7" i="5"/>
  <c r="U7" i="5" s="1"/>
  <c r="V7" i="5" s="1"/>
  <c r="X7" i="5" s="1"/>
  <c r="S77" i="1" s="1"/>
  <c r="T5" i="5"/>
  <c r="U5" i="5" s="1"/>
  <c r="V5" i="5" s="1"/>
  <c r="X5" i="5" s="1"/>
  <c r="T34" i="5"/>
  <c r="U34" i="5" s="1"/>
  <c r="V34" i="5" s="1"/>
  <c r="X34" i="5" s="1"/>
  <c r="T33" i="5"/>
  <c r="U33" i="5" s="1"/>
  <c r="V33" i="5" s="1"/>
  <c r="X33" i="5" s="1"/>
  <c r="T31" i="5"/>
  <c r="U31" i="5" s="1"/>
  <c r="V31" i="5" s="1"/>
  <c r="X31" i="5" s="1"/>
  <c r="T29" i="5"/>
  <c r="U29" i="5" s="1"/>
  <c r="V29" i="5" s="1"/>
  <c r="X29" i="5" s="1"/>
  <c r="T25" i="5"/>
  <c r="U25" i="5" s="1"/>
  <c r="V25" i="5" s="1"/>
  <c r="X25" i="5" s="1"/>
  <c r="T23" i="5"/>
  <c r="U23" i="5" s="1"/>
  <c r="V23" i="5" s="1"/>
  <c r="X23" i="5" s="1"/>
  <c r="T20" i="5"/>
  <c r="U20" i="5" s="1"/>
  <c r="V20" i="5" s="1"/>
  <c r="X20" i="5" s="1"/>
  <c r="T18" i="5"/>
  <c r="U18" i="5" s="1"/>
  <c r="V18" i="5" s="1"/>
  <c r="X18" i="5" s="1"/>
  <c r="T15" i="5"/>
  <c r="U15" i="5" s="1"/>
  <c r="V15" i="5" s="1"/>
  <c r="X15" i="5" s="1"/>
  <c r="T13" i="5"/>
  <c r="U13" i="5" s="1"/>
  <c r="V13" i="5" s="1"/>
  <c r="X13" i="5" s="1"/>
  <c r="T11" i="5"/>
  <c r="U11" i="5" s="1"/>
  <c r="V11" i="5" s="1"/>
  <c r="X11" i="5" s="1"/>
  <c r="T8" i="5"/>
  <c r="U8" i="5" s="1"/>
  <c r="V8" i="5" s="1"/>
  <c r="X8" i="5" s="1"/>
  <c r="T6" i="5"/>
  <c r="U6" i="5" s="1"/>
  <c r="V6" i="5" s="1"/>
  <c r="X6" i="5" s="1"/>
  <c r="S79" i="1" l="1"/>
  <c r="K18" i="1"/>
  <c r="K41" i="1"/>
  <c r="K66" i="1"/>
  <c r="K19" i="1"/>
  <c r="K67" i="1"/>
  <c r="K32" i="1"/>
  <c r="K78" i="1"/>
  <c r="S29" i="1"/>
  <c r="S67" i="1"/>
  <c r="G5" i="1"/>
  <c r="G30" i="1"/>
  <c r="S17" i="1"/>
  <c r="S55" i="1"/>
  <c r="S72" i="1"/>
  <c r="K43" i="1"/>
  <c r="S31" i="1"/>
  <c r="K20" i="1"/>
  <c r="K68" i="1"/>
  <c r="S5" i="1"/>
  <c r="K77" i="1"/>
  <c r="S44" i="1"/>
  <c r="K17" i="1"/>
  <c r="K65" i="1"/>
  <c r="G8" i="1"/>
  <c r="G32" i="1"/>
  <c r="V50" i="5"/>
  <c r="X50" i="5" s="1"/>
  <c r="S15" i="9" l="1"/>
  <c r="S53" i="9"/>
  <c r="S75" i="2"/>
  <c r="S77" i="2"/>
  <c r="S52" i="9"/>
  <c r="S57" i="9"/>
  <c r="S55" i="9"/>
  <c r="D45" i="10"/>
  <c r="F11" i="10"/>
  <c r="G11" i="10"/>
  <c r="H11" i="10"/>
  <c r="I11" i="10"/>
  <c r="E12" i="10"/>
  <c r="F12" i="10"/>
  <c r="G12" i="10"/>
  <c r="H12" i="10"/>
  <c r="I12" i="10"/>
  <c r="H14" i="10"/>
  <c r="I14" i="10"/>
  <c r="F15" i="10"/>
  <c r="E16" i="10"/>
  <c r="F16" i="10"/>
  <c r="G16" i="10"/>
  <c r="H16" i="10"/>
  <c r="I16" i="10"/>
  <c r="D11" i="10"/>
  <c r="S16" i="5" l="1"/>
  <c r="K16" i="5"/>
  <c r="L16" i="5" s="1"/>
  <c r="M16" i="5"/>
  <c r="N16" i="5" s="1"/>
  <c r="O16" i="5"/>
  <c r="P16" i="5" s="1"/>
  <c r="Q16" i="5"/>
  <c r="R16" i="5" s="1"/>
  <c r="W16" i="5"/>
  <c r="S11" i="6"/>
  <c r="K24" i="9"/>
  <c r="L24" i="9" s="1"/>
  <c r="M24" i="9"/>
  <c r="N24" i="9" s="1"/>
  <c r="O24" i="9"/>
  <c r="P24" i="9" s="1"/>
  <c r="Q24" i="9"/>
  <c r="R24" i="9" s="1"/>
  <c r="S24" i="9"/>
  <c r="W24" i="9"/>
  <c r="S73" i="5"/>
  <c r="S74" i="5"/>
  <c r="S75" i="5"/>
  <c r="S76" i="5"/>
  <c r="S77" i="5"/>
  <c r="S82" i="5"/>
  <c r="S83" i="5"/>
  <c r="S86" i="5"/>
  <c r="S87" i="5"/>
  <c r="S91" i="5"/>
  <c r="S92" i="5"/>
  <c r="S93" i="5"/>
  <c r="S95" i="5"/>
  <c r="S96" i="5"/>
  <c r="S97" i="5"/>
  <c r="S99" i="5"/>
  <c r="S100" i="5"/>
  <c r="S101" i="5"/>
  <c r="S104" i="5"/>
  <c r="S105" i="5"/>
  <c r="S106" i="5"/>
  <c r="S107" i="5"/>
  <c r="S108" i="5"/>
  <c r="S109" i="5"/>
  <c r="S111" i="5"/>
  <c r="S112" i="5"/>
  <c r="S113" i="5"/>
  <c r="S114" i="5"/>
  <c r="S115" i="5"/>
  <c r="S116" i="5"/>
  <c r="S117" i="5"/>
  <c r="S119" i="5"/>
  <c r="S120" i="5"/>
  <c r="S121" i="5"/>
  <c r="S123" i="5"/>
  <c r="S124" i="5"/>
  <c r="S125" i="5"/>
  <c r="S126" i="5"/>
  <c r="S129" i="5"/>
  <c r="S130" i="5"/>
  <c r="S131" i="5"/>
  <c r="S132" i="5"/>
  <c r="S133" i="5"/>
  <c r="S138" i="5"/>
  <c r="S139" i="5"/>
  <c r="S140" i="5"/>
  <c r="S141" i="5"/>
  <c r="S142" i="5"/>
  <c r="S144" i="5"/>
  <c r="S145" i="5"/>
  <c r="S146" i="5"/>
  <c r="S147" i="5"/>
  <c r="S148" i="5"/>
  <c r="S149" i="5"/>
  <c r="S150" i="5"/>
  <c r="S151" i="5"/>
  <c r="S152" i="5"/>
  <c r="S153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1" i="5"/>
  <c r="S172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96" i="5"/>
  <c r="S197" i="5"/>
  <c r="S198" i="5"/>
  <c r="S199" i="5"/>
  <c r="S200" i="5"/>
  <c r="S201" i="5"/>
  <c r="S203" i="5"/>
  <c r="S204" i="5"/>
  <c r="S206" i="5"/>
  <c r="S208" i="5"/>
  <c r="S210" i="5"/>
  <c r="S211" i="5"/>
  <c r="S212" i="5"/>
  <c r="S214" i="5"/>
  <c r="S215" i="5"/>
  <c r="S216" i="5"/>
  <c r="S217" i="5"/>
  <c r="S218" i="5"/>
  <c r="S219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2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3" i="5"/>
  <c r="S4" i="5"/>
  <c r="S10" i="5"/>
  <c r="S57" i="5"/>
  <c r="S59" i="5"/>
  <c r="S60" i="5"/>
  <c r="S32" i="2"/>
  <c r="K45" i="9"/>
  <c r="L45" i="9" s="1"/>
  <c r="M45" i="9"/>
  <c r="N45" i="9" s="1"/>
  <c r="O45" i="9"/>
  <c r="P45" i="9" s="1"/>
  <c r="Q45" i="9"/>
  <c r="R45" i="9" s="1"/>
  <c r="S45" i="9"/>
  <c r="W45" i="9"/>
  <c r="T16" i="5" l="1"/>
  <c r="U16" i="5" s="1"/>
  <c r="V16" i="5" s="1"/>
  <c r="X16" i="5" s="1"/>
  <c r="T24" i="9"/>
  <c r="U24" i="9" s="1"/>
  <c r="V24" i="9" s="1"/>
  <c r="X24" i="9" s="1"/>
  <c r="T45" i="9"/>
  <c r="U45" i="9" s="1"/>
  <c r="V45" i="9" s="1"/>
  <c r="X45" i="9" s="1"/>
  <c r="Q8" i="1" l="1"/>
  <c r="C73" i="1"/>
  <c r="Q11" i="1"/>
  <c r="Q32" i="1"/>
  <c r="I68" i="1"/>
  <c r="K51" i="11"/>
  <c r="J51" i="11"/>
  <c r="I51" i="11"/>
  <c r="H51" i="11"/>
  <c r="G51" i="11"/>
  <c r="F51" i="11"/>
  <c r="E51" i="11"/>
  <c r="D51" i="11"/>
  <c r="K48" i="11"/>
  <c r="J48" i="11"/>
  <c r="I48" i="11"/>
  <c r="H48" i="11"/>
  <c r="G48" i="11"/>
  <c r="F48" i="11"/>
  <c r="E48" i="11"/>
  <c r="D48" i="11"/>
  <c r="K46" i="11"/>
  <c r="J46" i="11"/>
  <c r="I46" i="11"/>
  <c r="H46" i="11"/>
  <c r="K45" i="11"/>
  <c r="J45" i="11"/>
  <c r="K43" i="11"/>
  <c r="J43" i="11"/>
  <c r="I43" i="11"/>
  <c r="H43" i="11"/>
  <c r="G43" i="11"/>
  <c r="F43" i="11"/>
  <c r="E43" i="11"/>
  <c r="D43" i="11"/>
  <c r="K39" i="11"/>
  <c r="J39" i="11"/>
  <c r="I39" i="11"/>
  <c r="H39" i="11"/>
  <c r="G39" i="11"/>
  <c r="F39" i="11"/>
  <c r="E39" i="11"/>
  <c r="D39" i="11"/>
  <c r="K37" i="11"/>
  <c r="K36" i="11"/>
  <c r="J36" i="11"/>
  <c r="K33" i="11"/>
  <c r="J33" i="11"/>
  <c r="I33" i="11"/>
  <c r="H33" i="11"/>
  <c r="G33" i="11"/>
  <c r="F33" i="11"/>
  <c r="E33" i="11"/>
  <c r="D33" i="11"/>
  <c r="K32" i="11"/>
  <c r="J32" i="11"/>
  <c r="K30" i="11"/>
  <c r="K29" i="11"/>
  <c r="J29" i="11"/>
  <c r="I29" i="11"/>
  <c r="H29" i="11"/>
  <c r="G29" i="11"/>
  <c r="F29" i="11"/>
  <c r="E29" i="11"/>
  <c r="D29" i="11"/>
  <c r="K27" i="11"/>
  <c r="J27" i="11"/>
  <c r="K24" i="11"/>
  <c r="K22" i="11"/>
  <c r="J22" i="11"/>
  <c r="I22" i="11"/>
  <c r="H22" i="11"/>
  <c r="G22" i="11"/>
  <c r="F22" i="11"/>
  <c r="E22" i="11"/>
  <c r="D22" i="11"/>
  <c r="K20" i="11"/>
  <c r="J20" i="11"/>
  <c r="K18" i="11"/>
  <c r="J18" i="11"/>
  <c r="I18" i="11"/>
  <c r="H18" i="11"/>
  <c r="G18" i="11"/>
  <c r="F18" i="11"/>
  <c r="E18" i="11"/>
  <c r="D18" i="11"/>
  <c r="K17" i="11"/>
  <c r="J17" i="11"/>
  <c r="K15" i="11"/>
  <c r="J15" i="11"/>
  <c r="K13" i="11"/>
  <c r="J13" i="11"/>
  <c r="I13" i="11"/>
  <c r="H13" i="11"/>
  <c r="G13" i="11"/>
  <c r="F13" i="11"/>
  <c r="E13" i="11"/>
  <c r="D13" i="11"/>
  <c r="K10" i="11"/>
  <c r="J10" i="11"/>
  <c r="I10" i="11"/>
  <c r="H10" i="11"/>
  <c r="G10" i="11"/>
  <c r="F10" i="11"/>
  <c r="E10" i="11"/>
  <c r="D10" i="11"/>
  <c r="K9" i="11"/>
  <c r="J9" i="11"/>
  <c r="I9" i="11"/>
  <c r="H9" i="11"/>
  <c r="G9" i="11"/>
  <c r="F9" i="11"/>
  <c r="E9" i="11"/>
  <c r="D9" i="11"/>
  <c r="K7" i="11"/>
  <c r="J7" i="11"/>
  <c r="H7" i="11"/>
  <c r="D7" i="11"/>
  <c r="K5" i="11"/>
  <c r="J5" i="11"/>
  <c r="I5" i="11"/>
  <c r="H5" i="11"/>
  <c r="G5" i="11"/>
  <c r="F5" i="11"/>
  <c r="D5" i="11"/>
  <c r="K53" i="10"/>
  <c r="J53" i="10"/>
  <c r="I53" i="10"/>
  <c r="H53" i="10"/>
  <c r="K52" i="10"/>
  <c r="J52" i="10"/>
  <c r="I52" i="10"/>
  <c r="H52" i="10"/>
  <c r="K51" i="10"/>
  <c r="J51" i="10"/>
  <c r="I51" i="10"/>
  <c r="H51" i="10"/>
  <c r="K50" i="10"/>
  <c r="J50" i="10"/>
  <c r="I50" i="10"/>
  <c r="H50" i="10"/>
  <c r="G50" i="10"/>
  <c r="F50" i="10"/>
  <c r="E50" i="10"/>
  <c r="D50" i="10"/>
  <c r="K49" i="10"/>
  <c r="J49" i="10"/>
  <c r="K48" i="10"/>
  <c r="J48" i="10"/>
  <c r="I48" i="10"/>
  <c r="H48" i="10"/>
  <c r="K47" i="10"/>
  <c r="J47" i="10"/>
  <c r="K46" i="10"/>
  <c r="J46" i="10"/>
  <c r="I46" i="10"/>
  <c r="H46" i="10"/>
  <c r="G46" i="10"/>
  <c r="F46" i="10"/>
  <c r="E46" i="10"/>
  <c r="D46" i="10"/>
  <c r="K45" i="10"/>
  <c r="J45" i="10"/>
  <c r="I45" i="10"/>
  <c r="H45" i="10"/>
  <c r="G45" i="10"/>
  <c r="F45" i="10"/>
  <c r="K44" i="10"/>
  <c r="J44" i="10"/>
  <c r="I44" i="10"/>
  <c r="H44" i="10"/>
  <c r="G44" i="10"/>
  <c r="F44" i="10"/>
  <c r="E44" i="10"/>
  <c r="D44" i="10"/>
  <c r="K43" i="10"/>
  <c r="J43" i="10"/>
  <c r="I43" i="10"/>
  <c r="H43" i="10"/>
  <c r="G43" i="10"/>
  <c r="F43" i="10"/>
  <c r="K42" i="10"/>
  <c r="J42" i="10"/>
  <c r="I42" i="10"/>
  <c r="H42" i="10"/>
  <c r="K41" i="10"/>
  <c r="J41" i="10"/>
  <c r="I41" i="10"/>
  <c r="H41" i="10"/>
  <c r="F41" i="10"/>
  <c r="E41" i="10"/>
  <c r="D41" i="10"/>
  <c r="K40" i="10"/>
  <c r="J40" i="10"/>
  <c r="K39" i="10"/>
  <c r="J39" i="10"/>
  <c r="I39" i="10"/>
  <c r="H39" i="10"/>
  <c r="G39" i="10"/>
  <c r="F39" i="10"/>
  <c r="E39" i="10"/>
  <c r="D39" i="10"/>
  <c r="K38" i="10"/>
  <c r="J38" i="10"/>
  <c r="I38" i="10"/>
  <c r="H38" i="10"/>
  <c r="G38" i="10"/>
  <c r="F38" i="10"/>
  <c r="K37" i="10"/>
  <c r="J37" i="10"/>
  <c r="I37" i="10"/>
  <c r="H37" i="10"/>
  <c r="K36" i="10"/>
  <c r="J36" i="10"/>
  <c r="I36" i="10"/>
  <c r="H36" i="10"/>
  <c r="K35" i="10"/>
  <c r="J35" i="10"/>
  <c r="I35" i="10"/>
  <c r="H35" i="10"/>
  <c r="D35" i="10"/>
  <c r="K33" i="10"/>
  <c r="J33" i="10"/>
  <c r="I33" i="10"/>
  <c r="H33" i="10"/>
  <c r="G33" i="10"/>
  <c r="F33" i="10"/>
  <c r="E33" i="10"/>
  <c r="D33" i="10"/>
  <c r="K32" i="10"/>
  <c r="J32" i="10"/>
  <c r="I32" i="10"/>
  <c r="H32" i="10"/>
  <c r="K31" i="10"/>
  <c r="J31" i="10"/>
  <c r="I31" i="10"/>
  <c r="H31" i="10"/>
  <c r="G31" i="10"/>
  <c r="F31" i="10"/>
  <c r="E31" i="10"/>
  <c r="D31" i="10"/>
  <c r="K30" i="10"/>
  <c r="J30" i="10"/>
  <c r="I30" i="10"/>
  <c r="H30" i="10"/>
  <c r="K29" i="10"/>
  <c r="J29" i="10"/>
  <c r="I29" i="10"/>
  <c r="H29" i="10"/>
  <c r="G29" i="10"/>
  <c r="F29" i="10"/>
  <c r="K28" i="10"/>
  <c r="J28" i="10"/>
  <c r="I28" i="10"/>
  <c r="H28" i="10"/>
  <c r="G28" i="10"/>
  <c r="F28" i="10"/>
  <c r="E28" i="10"/>
  <c r="D28" i="10"/>
  <c r="K27" i="10"/>
  <c r="J27" i="10"/>
  <c r="K26" i="10"/>
  <c r="J26" i="10"/>
  <c r="I26" i="10"/>
  <c r="H26" i="10"/>
  <c r="F26" i="10"/>
  <c r="D26" i="10"/>
  <c r="K25" i="10"/>
  <c r="J25" i="10"/>
  <c r="I25" i="10"/>
  <c r="H25" i="10"/>
  <c r="K24" i="10"/>
  <c r="J24" i="10"/>
  <c r="I24" i="10"/>
  <c r="H24" i="10"/>
  <c r="G24" i="10"/>
  <c r="F24" i="10"/>
  <c r="K23" i="10"/>
  <c r="J23" i="10"/>
  <c r="K22" i="10"/>
  <c r="J22" i="10"/>
  <c r="I22" i="10"/>
  <c r="H22" i="10"/>
  <c r="G22" i="10"/>
  <c r="F22" i="10"/>
  <c r="E22" i="10"/>
  <c r="D22" i="10"/>
  <c r="K21" i="10"/>
  <c r="J21" i="10"/>
  <c r="I21" i="10"/>
  <c r="H21" i="10"/>
  <c r="K20" i="10"/>
  <c r="J20" i="10"/>
  <c r="F20" i="10"/>
  <c r="D20" i="10"/>
  <c r="K19" i="10"/>
  <c r="J19" i="10"/>
  <c r="I19" i="10"/>
  <c r="H19" i="10"/>
  <c r="F19" i="10"/>
  <c r="D19" i="10"/>
  <c r="K18" i="10"/>
  <c r="J18" i="10"/>
  <c r="K17" i="10"/>
  <c r="J17" i="10"/>
  <c r="K16" i="10"/>
  <c r="J16" i="10"/>
  <c r="D16" i="10"/>
  <c r="K15" i="10"/>
  <c r="J15" i="10"/>
  <c r="D15" i="10"/>
  <c r="K14" i="10"/>
  <c r="J14" i="10"/>
  <c r="D14" i="10"/>
  <c r="K13" i="10"/>
  <c r="J13" i="10"/>
  <c r="K12" i="10"/>
  <c r="J12" i="10"/>
  <c r="D12" i="10"/>
  <c r="K11" i="10"/>
  <c r="J11" i="10"/>
  <c r="K10" i="10"/>
  <c r="J10" i="10"/>
  <c r="I10" i="10"/>
  <c r="H10" i="10"/>
  <c r="G10" i="10"/>
  <c r="F10" i="10"/>
  <c r="E10" i="10"/>
  <c r="D10" i="10"/>
  <c r="K9" i="10"/>
  <c r="J9" i="10"/>
  <c r="I9" i="10"/>
  <c r="H9" i="10"/>
  <c r="G9" i="10"/>
  <c r="F9" i="10"/>
  <c r="E9" i="10"/>
  <c r="D9" i="10"/>
  <c r="K8" i="10"/>
  <c r="J8" i="10"/>
  <c r="I8" i="10"/>
  <c r="H8" i="10"/>
  <c r="G8" i="10"/>
  <c r="F8" i="10"/>
  <c r="E8" i="10"/>
  <c r="D8" i="10"/>
  <c r="K7" i="10"/>
  <c r="J7" i="10"/>
  <c r="I7" i="10"/>
  <c r="H7" i="10"/>
  <c r="G7" i="10"/>
  <c r="F7" i="10"/>
  <c r="E7" i="10"/>
  <c r="D7" i="10"/>
  <c r="K6" i="10"/>
  <c r="J6" i="10"/>
  <c r="I6" i="10"/>
  <c r="H6" i="10"/>
  <c r="G6" i="10"/>
  <c r="F6" i="10"/>
  <c r="E6" i="10"/>
  <c r="D6" i="10"/>
  <c r="K5" i="10"/>
  <c r="J5" i="10"/>
  <c r="I5" i="10"/>
  <c r="H5" i="10"/>
  <c r="G5" i="10"/>
  <c r="F5" i="10"/>
  <c r="E5" i="10"/>
  <c r="D5" i="10"/>
  <c r="S24" i="2"/>
  <c r="S6" i="9"/>
  <c r="S51" i="9"/>
  <c r="S3" i="6"/>
  <c r="S4" i="6"/>
  <c r="S7" i="6" l="1"/>
  <c r="S8" i="9"/>
  <c r="S9" i="9"/>
  <c r="S10" i="9"/>
  <c r="S11" i="9"/>
  <c r="S12" i="9"/>
  <c r="S13" i="9"/>
  <c r="S14" i="9"/>
  <c r="S16" i="9"/>
  <c r="S17" i="9"/>
  <c r="S18" i="9"/>
  <c r="S21" i="9"/>
  <c r="S22" i="9"/>
  <c r="S23" i="9"/>
  <c r="S25" i="9"/>
  <c r="S26" i="9"/>
  <c r="S27" i="9"/>
  <c r="S28" i="9"/>
  <c r="S29" i="9"/>
  <c r="S31" i="9"/>
  <c r="S32" i="9"/>
  <c r="S33" i="9"/>
  <c r="S34" i="9"/>
  <c r="S35" i="9"/>
  <c r="S36" i="9"/>
  <c r="S37" i="9"/>
  <c r="S38" i="9"/>
  <c r="S39" i="9"/>
  <c r="S40" i="9"/>
  <c r="S41" i="9"/>
  <c r="S43" i="9"/>
  <c r="S44" i="9"/>
  <c r="S46" i="9"/>
  <c r="S47" i="9"/>
  <c r="S48" i="9"/>
  <c r="S49" i="9"/>
  <c r="S54" i="9"/>
  <c r="S56" i="9"/>
  <c r="S58" i="9"/>
  <c r="S59" i="9"/>
  <c r="S60" i="9"/>
  <c r="S61" i="9"/>
  <c r="S62" i="9"/>
  <c r="S63" i="9"/>
  <c r="S65" i="9"/>
  <c r="S66" i="9"/>
  <c r="S67" i="9"/>
  <c r="S69" i="9"/>
  <c r="S70" i="9"/>
  <c r="S74" i="9"/>
  <c r="S75" i="9"/>
  <c r="S76" i="9"/>
  <c r="S77" i="9"/>
  <c r="S78" i="9"/>
  <c r="S79" i="9"/>
  <c r="S80" i="9"/>
  <c r="S81" i="9"/>
  <c r="S84" i="9"/>
  <c r="S85" i="9"/>
  <c r="S86" i="9"/>
  <c r="S87" i="9"/>
  <c r="S88" i="9"/>
  <c r="S89" i="9"/>
  <c r="S90" i="9"/>
  <c r="S91" i="9"/>
  <c r="S92" i="9"/>
  <c r="S94" i="9"/>
  <c r="S95" i="9"/>
  <c r="S96" i="9"/>
  <c r="S97" i="9"/>
  <c r="S98" i="9"/>
  <c r="S99" i="9"/>
  <c r="S102" i="9"/>
  <c r="S103" i="9"/>
  <c r="S104" i="9"/>
  <c r="S105" i="9"/>
  <c r="S107" i="9"/>
  <c r="S108" i="9"/>
  <c r="S109" i="9"/>
  <c r="S111" i="9"/>
  <c r="S112" i="9"/>
  <c r="S113" i="9"/>
  <c r="S114" i="9"/>
  <c r="S126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187" i="9"/>
  <c r="S188" i="9"/>
  <c r="S189" i="9"/>
  <c r="S190" i="9"/>
  <c r="S191" i="9"/>
  <c r="S192" i="9"/>
  <c r="S193" i="9"/>
  <c r="S194" i="9"/>
  <c r="S195" i="9"/>
  <c r="S196" i="9"/>
  <c r="K4" i="9"/>
  <c r="M27" i="9" l="1"/>
  <c r="W196" i="9" l="1"/>
  <c r="Q196" i="9"/>
  <c r="R196" i="9" s="1"/>
  <c r="O196" i="9"/>
  <c r="P196" i="9" s="1"/>
  <c r="M196" i="9"/>
  <c r="N196" i="9" s="1"/>
  <c r="K196" i="9"/>
  <c r="L196" i="9" s="1"/>
  <c r="W195" i="9"/>
  <c r="Q195" i="9"/>
  <c r="R195" i="9" s="1"/>
  <c r="O195" i="9"/>
  <c r="P195" i="9" s="1"/>
  <c r="M195" i="9"/>
  <c r="N195" i="9" s="1"/>
  <c r="K195" i="9"/>
  <c r="L195" i="9" s="1"/>
  <c r="W194" i="9"/>
  <c r="Q194" i="9"/>
  <c r="R194" i="9" s="1"/>
  <c r="O194" i="9"/>
  <c r="P194" i="9" s="1"/>
  <c r="M194" i="9"/>
  <c r="N194" i="9" s="1"/>
  <c r="K194" i="9"/>
  <c r="L194" i="9" s="1"/>
  <c r="W193" i="9"/>
  <c r="Q193" i="9"/>
  <c r="R193" i="9" s="1"/>
  <c r="O193" i="9"/>
  <c r="P193" i="9" s="1"/>
  <c r="M193" i="9"/>
  <c r="N193" i="9" s="1"/>
  <c r="K193" i="9"/>
  <c r="L193" i="9" s="1"/>
  <c r="W192" i="9"/>
  <c r="Q192" i="9"/>
  <c r="R192" i="9" s="1"/>
  <c r="O192" i="9"/>
  <c r="P192" i="9" s="1"/>
  <c r="M192" i="9"/>
  <c r="N192" i="9" s="1"/>
  <c r="K192" i="9"/>
  <c r="L192" i="9" s="1"/>
  <c r="W191" i="9"/>
  <c r="Q191" i="9"/>
  <c r="R191" i="9" s="1"/>
  <c r="O191" i="9"/>
  <c r="P191" i="9" s="1"/>
  <c r="M191" i="9"/>
  <c r="N191" i="9" s="1"/>
  <c r="K191" i="9"/>
  <c r="L191" i="9" s="1"/>
  <c r="W190" i="9"/>
  <c r="Q190" i="9"/>
  <c r="R190" i="9" s="1"/>
  <c r="O190" i="9"/>
  <c r="P190" i="9" s="1"/>
  <c r="N190" i="9"/>
  <c r="K190" i="9"/>
  <c r="L190" i="9" s="1"/>
  <c r="W189" i="9"/>
  <c r="Q189" i="9"/>
  <c r="R189" i="9" s="1"/>
  <c r="O189" i="9"/>
  <c r="P189" i="9" s="1"/>
  <c r="N189" i="9"/>
  <c r="K189" i="9"/>
  <c r="L189" i="9" s="1"/>
  <c r="W188" i="9"/>
  <c r="Q188" i="9"/>
  <c r="R188" i="9" s="1"/>
  <c r="O188" i="9"/>
  <c r="P188" i="9" s="1"/>
  <c r="N188" i="9"/>
  <c r="K188" i="9"/>
  <c r="L188" i="9" s="1"/>
  <c r="W187" i="9"/>
  <c r="Q187" i="9"/>
  <c r="R187" i="9" s="1"/>
  <c r="O187" i="9"/>
  <c r="P187" i="9" s="1"/>
  <c r="N187" i="9"/>
  <c r="K187" i="9"/>
  <c r="L187" i="9" s="1"/>
  <c r="W186" i="9"/>
  <c r="Q186" i="9"/>
  <c r="R186" i="9" s="1"/>
  <c r="O186" i="9"/>
  <c r="P186" i="9" s="1"/>
  <c r="N186" i="9"/>
  <c r="K186" i="9"/>
  <c r="L186" i="9" s="1"/>
  <c r="W185" i="9"/>
  <c r="Q185" i="9"/>
  <c r="R185" i="9" s="1"/>
  <c r="O185" i="9"/>
  <c r="P185" i="9" s="1"/>
  <c r="N185" i="9"/>
  <c r="K185" i="9"/>
  <c r="L185" i="9" s="1"/>
  <c r="W184" i="9"/>
  <c r="Q184" i="9"/>
  <c r="R184" i="9" s="1"/>
  <c r="O184" i="9"/>
  <c r="P184" i="9" s="1"/>
  <c r="N184" i="9"/>
  <c r="K184" i="9"/>
  <c r="L184" i="9" s="1"/>
  <c r="W183" i="9"/>
  <c r="Q183" i="9"/>
  <c r="R183" i="9" s="1"/>
  <c r="O183" i="9"/>
  <c r="P183" i="9" s="1"/>
  <c r="N183" i="9"/>
  <c r="K183" i="9"/>
  <c r="L183" i="9" s="1"/>
  <c r="W182" i="9"/>
  <c r="Q182" i="9"/>
  <c r="R182" i="9" s="1"/>
  <c r="O182" i="9"/>
  <c r="P182" i="9" s="1"/>
  <c r="N182" i="9"/>
  <c r="K182" i="9"/>
  <c r="L182" i="9" s="1"/>
  <c r="W181" i="9"/>
  <c r="Q181" i="9"/>
  <c r="R181" i="9" s="1"/>
  <c r="O181" i="9"/>
  <c r="P181" i="9" s="1"/>
  <c r="N181" i="9"/>
  <c r="K181" i="9"/>
  <c r="L181" i="9" s="1"/>
  <c r="W180" i="9"/>
  <c r="Q180" i="9"/>
  <c r="R180" i="9" s="1"/>
  <c r="O180" i="9"/>
  <c r="P180" i="9" s="1"/>
  <c r="N180" i="9"/>
  <c r="K180" i="9"/>
  <c r="L180" i="9" s="1"/>
  <c r="W179" i="9"/>
  <c r="Q179" i="9"/>
  <c r="R179" i="9" s="1"/>
  <c r="O179" i="9"/>
  <c r="P179" i="9" s="1"/>
  <c r="N179" i="9"/>
  <c r="K179" i="9"/>
  <c r="L179" i="9" s="1"/>
  <c r="W178" i="9"/>
  <c r="Q178" i="9"/>
  <c r="R178" i="9" s="1"/>
  <c r="O178" i="9"/>
  <c r="P178" i="9" s="1"/>
  <c r="N178" i="9"/>
  <c r="K178" i="9"/>
  <c r="L178" i="9" s="1"/>
  <c r="W177" i="9"/>
  <c r="Q177" i="9"/>
  <c r="R177" i="9" s="1"/>
  <c r="O177" i="9"/>
  <c r="P177" i="9" s="1"/>
  <c r="N177" i="9"/>
  <c r="K177" i="9"/>
  <c r="L177" i="9" s="1"/>
  <c r="W176" i="9"/>
  <c r="Q176" i="9"/>
  <c r="R176" i="9" s="1"/>
  <c r="O176" i="9"/>
  <c r="P176" i="9" s="1"/>
  <c r="N176" i="9"/>
  <c r="K176" i="9"/>
  <c r="L176" i="9" s="1"/>
  <c r="W175" i="9"/>
  <c r="Q175" i="9"/>
  <c r="R175" i="9" s="1"/>
  <c r="O175" i="9"/>
  <c r="P175" i="9" s="1"/>
  <c r="N175" i="9"/>
  <c r="K175" i="9"/>
  <c r="L175" i="9" s="1"/>
  <c r="W174" i="9"/>
  <c r="Q174" i="9"/>
  <c r="R174" i="9" s="1"/>
  <c r="O174" i="9"/>
  <c r="P174" i="9" s="1"/>
  <c r="N174" i="9"/>
  <c r="K174" i="9"/>
  <c r="L174" i="9" s="1"/>
  <c r="W173" i="9"/>
  <c r="Q173" i="9"/>
  <c r="R173" i="9" s="1"/>
  <c r="O173" i="9"/>
  <c r="P173" i="9" s="1"/>
  <c r="N173" i="9"/>
  <c r="K173" i="9"/>
  <c r="L173" i="9" s="1"/>
  <c r="W172" i="9"/>
  <c r="Q172" i="9"/>
  <c r="R172" i="9" s="1"/>
  <c r="O172" i="9"/>
  <c r="P172" i="9" s="1"/>
  <c r="N172" i="9"/>
  <c r="K172" i="9"/>
  <c r="L172" i="9" s="1"/>
  <c r="W171" i="9"/>
  <c r="Q171" i="9"/>
  <c r="R171" i="9" s="1"/>
  <c r="O171" i="9"/>
  <c r="P171" i="9" s="1"/>
  <c r="N171" i="9"/>
  <c r="K171" i="9"/>
  <c r="L171" i="9" s="1"/>
  <c r="W170" i="9"/>
  <c r="Q170" i="9"/>
  <c r="R170" i="9" s="1"/>
  <c r="O170" i="9"/>
  <c r="P170" i="9" s="1"/>
  <c r="N170" i="9"/>
  <c r="K170" i="9"/>
  <c r="L170" i="9" s="1"/>
  <c r="W169" i="9"/>
  <c r="Q169" i="9"/>
  <c r="R169" i="9" s="1"/>
  <c r="O169" i="9"/>
  <c r="P169" i="9" s="1"/>
  <c r="N169" i="9"/>
  <c r="K169" i="9"/>
  <c r="L169" i="9" s="1"/>
  <c r="W168" i="9"/>
  <c r="Q168" i="9"/>
  <c r="R168" i="9" s="1"/>
  <c r="O168" i="9"/>
  <c r="P168" i="9" s="1"/>
  <c r="N168" i="9"/>
  <c r="K168" i="9"/>
  <c r="L168" i="9" s="1"/>
  <c r="W167" i="9"/>
  <c r="Q167" i="9"/>
  <c r="R167" i="9" s="1"/>
  <c r="O167" i="9"/>
  <c r="P167" i="9" s="1"/>
  <c r="N167" i="9"/>
  <c r="K167" i="9"/>
  <c r="L167" i="9" s="1"/>
  <c r="W166" i="9"/>
  <c r="Q166" i="9"/>
  <c r="R166" i="9" s="1"/>
  <c r="O166" i="9"/>
  <c r="P166" i="9" s="1"/>
  <c r="N166" i="9"/>
  <c r="K166" i="9"/>
  <c r="L166" i="9" s="1"/>
  <c r="W165" i="9"/>
  <c r="Q165" i="9"/>
  <c r="R165" i="9" s="1"/>
  <c r="O165" i="9"/>
  <c r="P165" i="9" s="1"/>
  <c r="N165" i="9"/>
  <c r="K165" i="9"/>
  <c r="L165" i="9" s="1"/>
  <c r="W164" i="9"/>
  <c r="Q164" i="9"/>
  <c r="R164" i="9" s="1"/>
  <c r="O164" i="9"/>
  <c r="P164" i="9" s="1"/>
  <c r="N164" i="9"/>
  <c r="K164" i="9"/>
  <c r="L164" i="9" s="1"/>
  <c r="W163" i="9"/>
  <c r="Q163" i="9"/>
  <c r="R163" i="9" s="1"/>
  <c r="O163" i="9"/>
  <c r="P163" i="9" s="1"/>
  <c r="N163" i="9"/>
  <c r="K163" i="9"/>
  <c r="L163" i="9" s="1"/>
  <c r="W162" i="9"/>
  <c r="Q162" i="9"/>
  <c r="R162" i="9" s="1"/>
  <c r="O162" i="9"/>
  <c r="P162" i="9" s="1"/>
  <c r="N162" i="9"/>
  <c r="K162" i="9"/>
  <c r="L162" i="9" s="1"/>
  <c r="W161" i="9"/>
  <c r="Q161" i="9"/>
  <c r="R161" i="9" s="1"/>
  <c r="O161" i="9"/>
  <c r="P161" i="9" s="1"/>
  <c r="N161" i="9"/>
  <c r="K161" i="9"/>
  <c r="L161" i="9" s="1"/>
  <c r="W160" i="9"/>
  <c r="Q160" i="9"/>
  <c r="R160" i="9" s="1"/>
  <c r="O160" i="9"/>
  <c r="P160" i="9" s="1"/>
  <c r="N160" i="9"/>
  <c r="K160" i="9"/>
  <c r="L160" i="9" s="1"/>
  <c r="W159" i="9"/>
  <c r="Q159" i="9"/>
  <c r="R159" i="9" s="1"/>
  <c r="O159" i="9"/>
  <c r="P159" i="9" s="1"/>
  <c r="N159" i="9"/>
  <c r="K159" i="9"/>
  <c r="L159" i="9" s="1"/>
  <c r="W158" i="9"/>
  <c r="Q158" i="9"/>
  <c r="R158" i="9" s="1"/>
  <c r="O158" i="9"/>
  <c r="P158" i="9" s="1"/>
  <c r="N158" i="9"/>
  <c r="K158" i="9"/>
  <c r="L158" i="9" s="1"/>
  <c r="W157" i="9"/>
  <c r="Q157" i="9"/>
  <c r="R157" i="9" s="1"/>
  <c r="O157" i="9"/>
  <c r="P157" i="9" s="1"/>
  <c r="N157" i="9"/>
  <c r="K157" i="9"/>
  <c r="L157" i="9" s="1"/>
  <c r="W156" i="9"/>
  <c r="Q156" i="9"/>
  <c r="R156" i="9" s="1"/>
  <c r="O156" i="9"/>
  <c r="P156" i="9" s="1"/>
  <c r="N156" i="9"/>
  <c r="K156" i="9"/>
  <c r="L156" i="9" s="1"/>
  <c r="W155" i="9"/>
  <c r="Q155" i="9"/>
  <c r="R155" i="9" s="1"/>
  <c r="O155" i="9"/>
  <c r="P155" i="9" s="1"/>
  <c r="N155" i="9"/>
  <c r="K155" i="9"/>
  <c r="L155" i="9" s="1"/>
  <c r="W154" i="9"/>
  <c r="Q154" i="9"/>
  <c r="R154" i="9" s="1"/>
  <c r="O154" i="9"/>
  <c r="P154" i="9" s="1"/>
  <c r="N154" i="9"/>
  <c r="K154" i="9"/>
  <c r="L154" i="9" s="1"/>
  <c r="W153" i="9"/>
  <c r="Q153" i="9"/>
  <c r="R153" i="9" s="1"/>
  <c r="O153" i="9"/>
  <c r="P153" i="9" s="1"/>
  <c r="N153" i="9"/>
  <c r="K153" i="9"/>
  <c r="L153" i="9" s="1"/>
  <c r="W152" i="9"/>
  <c r="Q152" i="9"/>
  <c r="R152" i="9" s="1"/>
  <c r="O152" i="9"/>
  <c r="P152" i="9" s="1"/>
  <c r="N152" i="9"/>
  <c r="K152" i="9"/>
  <c r="L152" i="9" s="1"/>
  <c r="W151" i="9"/>
  <c r="Q151" i="9"/>
  <c r="R151" i="9" s="1"/>
  <c r="O151" i="9"/>
  <c r="P151" i="9" s="1"/>
  <c r="N151" i="9"/>
  <c r="K151" i="9"/>
  <c r="L151" i="9" s="1"/>
  <c r="W150" i="9"/>
  <c r="Q150" i="9"/>
  <c r="R150" i="9" s="1"/>
  <c r="O150" i="9"/>
  <c r="P150" i="9" s="1"/>
  <c r="N150" i="9"/>
  <c r="K150" i="9"/>
  <c r="L150" i="9" s="1"/>
  <c r="W149" i="9"/>
  <c r="Q149" i="9"/>
  <c r="R149" i="9" s="1"/>
  <c r="O149" i="9"/>
  <c r="P149" i="9" s="1"/>
  <c r="N149" i="9"/>
  <c r="K149" i="9"/>
  <c r="L149" i="9" s="1"/>
  <c r="W148" i="9"/>
  <c r="Q148" i="9"/>
  <c r="R148" i="9" s="1"/>
  <c r="O148" i="9"/>
  <c r="P148" i="9" s="1"/>
  <c r="N148" i="9"/>
  <c r="K148" i="9"/>
  <c r="L148" i="9" s="1"/>
  <c r="W147" i="9"/>
  <c r="Q147" i="9"/>
  <c r="R147" i="9" s="1"/>
  <c r="O147" i="9"/>
  <c r="P147" i="9" s="1"/>
  <c r="N147" i="9"/>
  <c r="K147" i="9"/>
  <c r="L147" i="9" s="1"/>
  <c r="W146" i="9"/>
  <c r="Q146" i="9"/>
  <c r="R146" i="9" s="1"/>
  <c r="O146" i="9"/>
  <c r="P146" i="9" s="1"/>
  <c r="N146" i="9"/>
  <c r="K146" i="9"/>
  <c r="L146" i="9" s="1"/>
  <c r="W145" i="9"/>
  <c r="Q145" i="9"/>
  <c r="R145" i="9" s="1"/>
  <c r="O145" i="9"/>
  <c r="P145" i="9" s="1"/>
  <c r="N145" i="9"/>
  <c r="K145" i="9"/>
  <c r="L145" i="9" s="1"/>
  <c r="W144" i="9"/>
  <c r="Q144" i="9"/>
  <c r="R144" i="9" s="1"/>
  <c r="O144" i="9"/>
  <c r="P144" i="9" s="1"/>
  <c r="N144" i="9"/>
  <c r="K144" i="9"/>
  <c r="L144" i="9" s="1"/>
  <c r="W143" i="9"/>
  <c r="Q143" i="9"/>
  <c r="R143" i="9" s="1"/>
  <c r="O143" i="9"/>
  <c r="P143" i="9" s="1"/>
  <c r="N143" i="9"/>
  <c r="K143" i="9"/>
  <c r="L143" i="9" s="1"/>
  <c r="W142" i="9"/>
  <c r="Q142" i="9"/>
  <c r="R142" i="9" s="1"/>
  <c r="O142" i="9"/>
  <c r="P142" i="9" s="1"/>
  <c r="N142" i="9"/>
  <c r="K142" i="9"/>
  <c r="L142" i="9" s="1"/>
  <c r="W141" i="9"/>
  <c r="Q141" i="9"/>
  <c r="R141" i="9" s="1"/>
  <c r="O141" i="9"/>
  <c r="P141" i="9" s="1"/>
  <c r="N141" i="9"/>
  <c r="K141" i="9"/>
  <c r="L141" i="9" s="1"/>
  <c r="W140" i="9"/>
  <c r="Q140" i="9"/>
  <c r="R140" i="9" s="1"/>
  <c r="O140" i="9"/>
  <c r="P140" i="9" s="1"/>
  <c r="N140" i="9"/>
  <c r="K140" i="9"/>
  <c r="L140" i="9" s="1"/>
  <c r="W139" i="9"/>
  <c r="Q139" i="9"/>
  <c r="R139" i="9" s="1"/>
  <c r="O139" i="9"/>
  <c r="P139" i="9" s="1"/>
  <c r="N139" i="9"/>
  <c r="K139" i="9"/>
  <c r="L139" i="9" s="1"/>
  <c r="W138" i="9"/>
  <c r="Q138" i="9"/>
  <c r="R138" i="9" s="1"/>
  <c r="O138" i="9"/>
  <c r="P138" i="9" s="1"/>
  <c r="N138" i="9"/>
  <c r="K138" i="9"/>
  <c r="L138" i="9" s="1"/>
  <c r="W137" i="9"/>
  <c r="Q137" i="9"/>
  <c r="R137" i="9" s="1"/>
  <c r="O137" i="9"/>
  <c r="P137" i="9" s="1"/>
  <c r="N137" i="9"/>
  <c r="K137" i="9"/>
  <c r="L137" i="9" s="1"/>
  <c r="W136" i="9"/>
  <c r="Q136" i="9"/>
  <c r="R136" i="9" s="1"/>
  <c r="O136" i="9"/>
  <c r="P136" i="9" s="1"/>
  <c r="N136" i="9"/>
  <c r="K136" i="9"/>
  <c r="L136" i="9" s="1"/>
  <c r="W135" i="9"/>
  <c r="Q135" i="9"/>
  <c r="R135" i="9" s="1"/>
  <c r="O135" i="9"/>
  <c r="P135" i="9" s="1"/>
  <c r="N135" i="9"/>
  <c r="K135" i="9"/>
  <c r="L135" i="9" s="1"/>
  <c r="W134" i="9"/>
  <c r="Q134" i="9"/>
  <c r="R134" i="9" s="1"/>
  <c r="O134" i="9"/>
  <c r="P134" i="9" s="1"/>
  <c r="N134" i="9"/>
  <c r="K134" i="9"/>
  <c r="L134" i="9" s="1"/>
  <c r="W133" i="9"/>
  <c r="Q133" i="9"/>
  <c r="R133" i="9" s="1"/>
  <c r="N133" i="9"/>
  <c r="K133" i="9"/>
  <c r="L133" i="9" s="1"/>
  <c r="W132" i="9"/>
  <c r="Q132" i="9"/>
  <c r="R132" i="9" s="1"/>
  <c r="N132" i="9"/>
  <c r="K132" i="9"/>
  <c r="L132" i="9" s="1"/>
  <c r="W131" i="9"/>
  <c r="Q131" i="9"/>
  <c r="R131" i="9" s="1"/>
  <c r="K131" i="9"/>
  <c r="L131" i="9" s="1"/>
  <c r="W130" i="9"/>
  <c r="Q130" i="9"/>
  <c r="R130" i="9" s="1"/>
  <c r="K130" i="9"/>
  <c r="L130" i="9" s="1"/>
  <c r="W129" i="9"/>
  <c r="Q129" i="9"/>
  <c r="R129" i="9" s="1"/>
  <c r="K129" i="9"/>
  <c r="L129" i="9" s="1"/>
  <c r="W128" i="9"/>
  <c r="Q128" i="9"/>
  <c r="R128" i="9" s="1"/>
  <c r="K128" i="9"/>
  <c r="L128" i="9" s="1"/>
  <c r="W127" i="9"/>
  <c r="Q127" i="9"/>
  <c r="R127" i="9" s="1"/>
  <c r="K127" i="9"/>
  <c r="L127" i="9" s="1"/>
  <c r="Q126" i="9"/>
  <c r="R126" i="9" s="1"/>
  <c r="L126" i="9"/>
  <c r="Q125" i="9"/>
  <c r="R125" i="9" s="1"/>
  <c r="L125" i="9"/>
  <c r="Q124" i="9"/>
  <c r="R124" i="9" s="1"/>
  <c r="L124" i="9"/>
  <c r="Q123" i="9"/>
  <c r="R123" i="9" s="1"/>
  <c r="T123" i="9" s="1"/>
  <c r="U123" i="9" s="1"/>
  <c r="V123" i="9" s="1"/>
  <c r="X123" i="9" s="1"/>
  <c r="W117" i="9"/>
  <c r="Q117" i="9"/>
  <c r="R117" i="9" s="1"/>
  <c r="T117" i="9" s="1"/>
  <c r="U117" i="9" s="1"/>
  <c r="V117" i="9" s="1"/>
  <c r="X117" i="9" s="1"/>
  <c r="W116" i="9"/>
  <c r="Q116" i="9"/>
  <c r="R116" i="9" s="1"/>
  <c r="T116" i="9" s="1"/>
  <c r="U116" i="9" s="1"/>
  <c r="V116" i="9" s="1"/>
  <c r="X116" i="9" s="1"/>
  <c r="W115" i="9"/>
  <c r="Q115" i="9"/>
  <c r="R115" i="9" s="1"/>
  <c r="T115" i="9" s="1"/>
  <c r="U115" i="9" s="1"/>
  <c r="V115" i="9" s="1"/>
  <c r="X115" i="9" s="1"/>
  <c r="W114" i="9"/>
  <c r="Q114" i="9"/>
  <c r="R114" i="9" s="1"/>
  <c r="T114" i="9" s="1"/>
  <c r="U114" i="9" s="1"/>
  <c r="V114" i="9" s="1"/>
  <c r="W113" i="9"/>
  <c r="Q113" i="9"/>
  <c r="R113" i="9" s="1"/>
  <c r="M113" i="9"/>
  <c r="N113" i="9" s="1"/>
  <c r="L113" i="9"/>
  <c r="W112" i="9"/>
  <c r="Q112" i="9"/>
  <c r="R112" i="9" s="1"/>
  <c r="M112" i="9"/>
  <c r="N112" i="9" s="1"/>
  <c r="L112" i="9"/>
  <c r="W111" i="9"/>
  <c r="Q111" i="9"/>
  <c r="R111" i="9" s="1"/>
  <c r="M111" i="9"/>
  <c r="N111" i="9" s="1"/>
  <c r="L111" i="9"/>
  <c r="W110" i="9"/>
  <c r="Q110" i="9"/>
  <c r="R110" i="9" s="1"/>
  <c r="O110" i="9"/>
  <c r="P110" i="9" s="1"/>
  <c r="M110" i="9"/>
  <c r="N110" i="9" s="1"/>
  <c r="K110" i="9"/>
  <c r="L110" i="9" s="1"/>
  <c r="W109" i="9"/>
  <c r="Q109" i="9"/>
  <c r="R109" i="9" s="1"/>
  <c r="O109" i="9"/>
  <c r="P109" i="9" s="1"/>
  <c r="M109" i="9"/>
  <c r="N109" i="9" s="1"/>
  <c r="K109" i="9"/>
  <c r="L109" i="9" s="1"/>
  <c r="W108" i="9"/>
  <c r="Q108" i="9"/>
  <c r="R108" i="9" s="1"/>
  <c r="O108" i="9"/>
  <c r="P108" i="9" s="1"/>
  <c r="M108" i="9"/>
  <c r="N108" i="9" s="1"/>
  <c r="K108" i="9"/>
  <c r="L108" i="9" s="1"/>
  <c r="W107" i="9"/>
  <c r="Q107" i="9"/>
  <c r="R107" i="9" s="1"/>
  <c r="O107" i="9"/>
  <c r="P107" i="9" s="1"/>
  <c r="M107" i="9"/>
  <c r="N107" i="9" s="1"/>
  <c r="K107" i="9"/>
  <c r="L107" i="9" s="1"/>
  <c r="W106" i="9"/>
  <c r="Q106" i="9"/>
  <c r="R106" i="9" s="1"/>
  <c r="O106" i="9"/>
  <c r="P106" i="9" s="1"/>
  <c r="M106" i="9"/>
  <c r="N106" i="9" s="1"/>
  <c r="K106" i="9"/>
  <c r="L106" i="9" s="1"/>
  <c r="W105" i="9"/>
  <c r="Q105" i="9"/>
  <c r="R105" i="9" s="1"/>
  <c r="O105" i="9"/>
  <c r="P105" i="9" s="1"/>
  <c r="M105" i="9"/>
  <c r="N105" i="9" s="1"/>
  <c r="K105" i="9"/>
  <c r="L105" i="9" s="1"/>
  <c r="W104" i="9"/>
  <c r="Q104" i="9"/>
  <c r="R104" i="9" s="1"/>
  <c r="O104" i="9"/>
  <c r="P104" i="9" s="1"/>
  <c r="M104" i="9"/>
  <c r="N104" i="9" s="1"/>
  <c r="K104" i="9"/>
  <c r="L104" i="9" s="1"/>
  <c r="W103" i="9"/>
  <c r="Q103" i="9"/>
  <c r="R103" i="9" s="1"/>
  <c r="O103" i="9"/>
  <c r="P103" i="9" s="1"/>
  <c r="M103" i="9"/>
  <c r="N103" i="9" s="1"/>
  <c r="K103" i="9"/>
  <c r="L103" i="9" s="1"/>
  <c r="W102" i="9"/>
  <c r="Q102" i="9"/>
  <c r="R102" i="9" s="1"/>
  <c r="O102" i="9"/>
  <c r="P102" i="9" s="1"/>
  <c r="M102" i="9"/>
  <c r="N102" i="9" s="1"/>
  <c r="K102" i="9"/>
  <c r="L102" i="9" s="1"/>
  <c r="W101" i="9"/>
  <c r="Q101" i="9"/>
  <c r="R101" i="9" s="1"/>
  <c r="O101" i="9"/>
  <c r="P101" i="9" s="1"/>
  <c r="M101" i="9"/>
  <c r="N101" i="9" s="1"/>
  <c r="K101" i="9"/>
  <c r="L101" i="9" s="1"/>
  <c r="W100" i="9"/>
  <c r="Q100" i="9"/>
  <c r="R100" i="9" s="1"/>
  <c r="O100" i="9"/>
  <c r="P100" i="9" s="1"/>
  <c r="M100" i="9"/>
  <c r="N100" i="9" s="1"/>
  <c r="K100" i="9"/>
  <c r="L100" i="9" s="1"/>
  <c r="W99" i="9"/>
  <c r="Q99" i="9"/>
  <c r="R99" i="9" s="1"/>
  <c r="O99" i="9"/>
  <c r="P99" i="9" s="1"/>
  <c r="M99" i="9"/>
  <c r="N99" i="9" s="1"/>
  <c r="K99" i="9"/>
  <c r="L99" i="9" s="1"/>
  <c r="W98" i="9"/>
  <c r="Q98" i="9"/>
  <c r="R98" i="9" s="1"/>
  <c r="O98" i="9"/>
  <c r="P98" i="9" s="1"/>
  <c r="M98" i="9"/>
  <c r="N98" i="9" s="1"/>
  <c r="K98" i="9"/>
  <c r="L98" i="9" s="1"/>
  <c r="W97" i="9"/>
  <c r="Q97" i="9"/>
  <c r="R97" i="9" s="1"/>
  <c r="O97" i="9"/>
  <c r="P97" i="9" s="1"/>
  <c r="M97" i="9"/>
  <c r="N97" i="9" s="1"/>
  <c r="K97" i="9"/>
  <c r="L97" i="9" s="1"/>
  <c r="W96" i="9"/>
  <c r="Q96" i="9"/>
  <c r="R96" i="9" s="1"/>
  <c r="O96" i="9"/>
  <c r="P96" i="9" s="1"/>
  <c r="M96" i="9"/>
  <c r="N96" i="9" s="1"/>
  <c r="K96" i="9"/>
  <c r="L96" i="9" s="1"/>
  <c r="W95" i="9"/>
  <c r="Q95" i="9"/>
  <c r="R95" i="9" s="1"/>
  <c r="O95" i="9"/>
  <c r="P95" i="9" s="1"/>
  <c r="M95" i="9"/>
  <c r="N95" i="9" s="1"/>
  <c r="K95" i="9"/>
  <c r="L95" i="9" s="1"/>
  <c r="W94" i="9"/>
  <c r="Q94" i="9"/>
  <c r="R94" i="9" s="1"/>
  <c r="O94" i="9"/>
  <c r="P94" i="9" s="1"/>
  <c r="M94" i="9"/>
  <c r="N94" i="9" s="1"/>
  <c r="K94" i="9"/>
  <c r="L94" i="9" s="1"/>
  <c r="W93" i="9"/>
  <c r="Q93" i="9"/>
  <c r="R93" i="9" s="1"/>
  <c r="O93" i="9"/>
  <c r="P93" i="9" s="1"/>
  <c r="M93" i="9"/>
  <c r="N93" i="9" s="1"/>
  <c r="K93" i="9"/>
  <c r="L93" i="9" s="1"/>
  <c r="W92" i="9"/>
  <c r="Q92" i="9"/>
  <c r="R92" i="9" s="1"/>
  <c r="O92" i="9"/>
  <c r="P92" i="9" s="1"/>
  <c r="M92" i="9"/>
  <c r="N92" i="9" s="1"/>
  <c r="K92" i="9"/>
  <c r="L92" i="9" s="1"/>
  <c r="W91" i="9"/>
  <c r="Q91" i="9"/>
  <c r="R91" i="9" s="1"/>
  <c r="O91" i="9"/>
  <c r="P91" i="9" s="1"/>
  <c r="M91" i="9"/>
  <c r="N91" i="9" s="1"/>
  <c r="K91" i="9"/>
  <c r="L91" i="9" s="1"/>
  <c r="W90" i="9"/>
  <c r="Q90" i="9"/>
  <c r="R90" i="9" s="1"/>
  <c r="O90" i="9"/>
  <c r="P90" i="9" s="1"/>
  <c r="M90" i="9"/>
  <c r="N90" i="9" s="1"/>
  <c r="K90" i="9"/>
  <c r="L90" i="9" s="1"/>
  <c r="W89" i="9"/>
  <c r="Q89" i="9"/>
  <c r="R89" i="9" s="1"/>
  <c r="O89" i="9"/>
  <c r="P89" i="9" s="1"/>
  <c r="M89" i="9"/>
  <c r="N89" i="9" s="1"/>
  <c r="K89" i="9"/>
  <c r="L89" i="9" s="1"/>
  <c r="W88" i="9"/>
  <c r="Q88" i="9"/>
  <c r="R88" i="9" s="1"/>
  <c r="O88" i="9"/>
  <c r="P88" i="9" s="1"/>
  <c r="M88" i="9"/>
  <c r="N88" i="9" s="1"/>
  <c r="K88" i="9"/>
  <c r="L88" i="9" s="1"/>
  <c r="W87" i="9"/>
  <c r="Q87" i="9"/>
  <c r="R87" i="9" s="1"/>
  <c r="O87" i="9"/>
  <c r="P87" i="9" s="1"/>
  <c r="M87" i="9"/>
  <c r="N87" i="9" s="1"/>
  <c r="K87" i="9"/>
  <c r="L87" i="9" s="1"/>
  <c r="W86" i="9"/>
  <c r="Q86" i="9"/>
  <c r="R86" i="9" s="1"/>
  <c r="O86" i="9"/>
  <c r="P86" i="9" s="1"/>
  <c r="M86" i="9"/>
  <c r="N86" i="9" s="1"/>
  <c r="K86" i="9"/>
  <c r="L86" i="9" s="1"/>
  <c r="W85" i="9"/>
  <c r="Q85" i="9"/>
  <c r="R85" i="9" s="1"/>
  <c r="O85" i="9"/>
  <c r="P85" i="9" s="1"/>
  <c r="M85" i="9"/>
  <c r="N85" i="9" s="1"/>
  <c r="K85" i="9"/>
  <c r="L85" i="9" s="1"/>
  <c r="W84" i="9"/>
  <c r="Q84" i="9"/>
  <c r="R84" i="9" s="1"/>
  <c r="O84" i="9"/>
  <c r="P84" i="9" s="1"/>
  <c r="M84" i="9"/>
  <c r="N84" i="9" s="1"/>
  <c r="K84" i="9"/>
  <c r="L84" i="9" s="1"/>
  <c r="W83" i="9"/>
  <c r="Q83" i="9"/>
  <c r="R83" i="9" s="1"/>
  <c r="O83" i="9"/>
  <c r="P83" i="9" s="1"/>
  <c r="M83" i="9"/>
  <c r="N83" i="9" s="1"/>
  <c r="K83" i="9"/>
  <c r="L83" i="9" s="1"/>
  <c r="Q81" i="9"/>
  <c r="R81" i="9" s="1"/>
  <c r="O81" i="9"/>
  <c r="P81" i="9" s="1"/>
  <c r="K81" i="9"/>
  <c r="L81" i="9" s="1"/>
  <c r="W80" i="9"/>
  <c r="Q80" i="9"/>
  <c r="R80" i="9" s="1"/>
  <c r="O80" i="9"/>
  <c r="P80" i="9" s="1"/>
  <c r="M80" i="9"/>
  <c r="N80" i="9" s="1"/>
  <c r="K80" i="9"/>
  <c r="L80" i="9" s="1"/>
  <c r="W79" i="9"/>
  <c r="Q79" i="9"/>
  <c r="R79" i="9" s="1"/>
  <c r="O79" i="9"/>
  <c r="P79" i="9" s="1"/>
  <c r="M79" i="9"/>
  <c r="N79" i="9" s="1"/>
  <c r="K79" i="9"/>
  <c r="L79" i="9" s="1"/>
  <c r="W78" i="9"/>
  <c r="Q78" i="9"/>
  <c r="R78" i="9" s="1"/>
  <c r="O78" i="9"/>
  <c r="P78" i="9" s="1"/>
  <c r="M78" i="9"/>
  <c r="N78" i="9" s="1"/>
  <c r="K78" i="9"/>
  <c r="L78" i="9" s="1"/>
  <c r="W77" i="9"/>
  <c r="Q77" i="9"/>
  <c r="R77" i="9" s="1"/>
  <c r="O77" i="9"/>
  <c r="P77" i="9" s="1"/>
  <c r="M77" i="9"/>
  <c r="N77" i="9" s="1"/>
  <c r="K77" i="9"/>
  <c r="L77" i="9" s="1"/>
  <c r="W76" i="9"/>
  <c r="Q76" i="9"/>
  <c r="R76" i="9" s="1"/>
  <c r="O76" i="9"/>
  <c r="P76" i="9" s="1"/>
  <c r="M76" i="9"/>
  <c r="N76" i="9" s="1"/>
  <c r="K76" i="9"/>
  <c r="L76" i="9" s="1"/>
  <c r="W75" i="9"/>
  <c r="Q75" i="9"/>
  <c r="R75" i="9" s="1"/>
  <c r="O75" i="9"/>
  <c r="P75" i="9" s="1"/>
  <c r="M75" i="9"/>
  <c r="N75" i="9" s="1"/>
  <c r="K75" i="9"/>
  <c r="L75" i="9" s="1"/>
  <c r="W74" i="9"/>
  <c r="Q74" i="9"/>
  <c r="R74" i="9" s="1"/>
  <c r="O74" i="9"/>
  <c r="P74" i="9" s="1"/>
  <c r="M74" i="9"/>
  <c r="N74" i="9" s="1"/>
  <c r="L74" i="9"/>
  <c r="W73" i="9"/>
  <c r="Q73" i="9"/>
  <c r="R73" i="9" s="1"/>
  <c r="O73" i="9"/>
  <c r="P73" i="9" s="1"/>
  <c r="M73" i="9"/>
  <c r="N73" i="9" s="1"/>
  <c r="L73" i="9"/>
  <c r="W72" i="9"/>
  <c r="Q72" i="9"/>
  <c r="R72" i="9" s="1"/>
  <c r="O72" i="9"/>
  <c r="P72" i="9" s="1"/>
  <c r="M72" i="9"/>
  <c r="N72" i="9" s="1"/>
  <c r="L72" i="9"/>
  <c r="W71" i="9"/>
  <c r="Q71" i="9"/>
  <c r="R71" i="9" s="1"/>
  <c r="O71" i="9"/>
  <c r="P71" i="9" s="1"/>
  <c r="M71" i="9"/>
  <c r="N71" i="9" s="1"/>
  <c r="L71" i="9"/>
  <c r="W70" i="9"/>
  <c r="Q70" i="9"/>
  <c r="R70" i="9" s="1"/>
  <c r="O70" i="9"/>
  <c r="P70" i="9" s="1"/>
  <c r="M70" i="9"/>
  <c r="N70" i="9" s="1"/>
  <c r="L70" i="9"/>
  <c r="W69" i="9"/>
  <c r="Q69" i="9"/>
  <c r="R69" i="9" s="1"/>
  <c r="O69" i="9"/>
  <c r="P69" i="9" s="1"/>
  <c r="M69" i="9"/>
  <c r="N69" i="9" s="1"/>
  <c r="L69" i="9"/>
  <c r="W68" i="9"/>
  <c r="Q68" i="9"/>
  <c r="R68" i="9" s="1"/>
  <c r="O68" i="9"/>
  <c r="P68" i="9" s="1"/>
  <c r="M68" i="9"/>
  <c r="N68" i="9" s="1"/>
  <c r="L68" i="9"/>
  <c r="W67" i="9"/>
  <c r="Q67" i="9"/>
  <c r="R67" i="9" s="1"/>
  <c r="O67" i="9"/>
  <c r="P67" i="9" s="1"/>
  <c r="M67" i="9"/>
  <c r="N67" i="9" s="1"/>
  <c r="L67" i="9"/>
  <c r="W66" i="9"/>
  <c r="Q66" i="9"/>
  <c r="R66" i="9" s="1"/>
  <c r="O66" i="9"/>
  <c r="P66" i="9" s="1"/>
  <c r="M66" i="9"/>
  <c r="N66" i="9" s="1"/>
  <c r="K66" i="9"/>
  <c r="L66" i="9" s="1"/>
  <c r="W65" i="9"/>
  <c r="Q65" i="9"/>
  <c r="R65" i="9" s="1"/>
  <c r="O65" i="9"/>
  <c r="P65" i="9" s="1"/>
  <c r="M65" i="9"/>
  <c r="N65" i="9" s="1"/>
  <c r="K65" i="9"/>
  <c r="L65" i="9" s="1"/>
  <c r="W64" i="9"/>
  <c r="Q64" i="9"/>
  <c r="R64" i="9" s="1"/>
  <c r="O64" i="9"/>
  <c r="P64" i="9" s="1"/>
  <c r="M64" i="9"/>
  <c r="N64" i="9" s="1"/>
  <c r="K64" i="9"/>
  <c r="L64" i="9" s="1"/>
  <c r="W63" i="9"/>
  <c r="Q63" i="9"/>
  <c r="R63" i="9" s="1"/>
  <c r="O63" i="9"/>
  <c r="P63" i="9" s="1"/>
  <c r="M63" i="9"/>
  <c r="N63" i="9" s="1"/>
  <c r="K63" i="9"/>
  <c r="L63" i="9" s="1"/>
  <c r="W62" i="9"/>
  <c r="Q62" i="9"/>
  <c r="R62" i="9" s="1"/>
  <c r="O62" i="9"/>
  <c r="P62" i="9" s="1"/>
  <c r="M62" i="9"/>
  <c r="N62" i="9" s="1"/>
  <c r="K62" i="9"/>
  <c r="L62" i="9" s="1"/>
  <c r="W61" i="9"/>
  <c r="Q61" i="9"/>
  <c r="R61" i="9" s="1"/>
  <c r="O61" i="9"/>
  <c r="P61" i="9" s="1"/>
  <c r="M61" i="9"/>
  <c r="N61" i="9" s="1"/>
  <c r="K61" i="9"/>
  <c r="L61" i="9" s="1"/>
  <c r="W60" i="9"/>
  <c r="Q60" i="9"/>
  <c r="R60" i="9" s="1"/>
  <c r="O60" i="9"/>
  <c r="P60" i="9" s="1"/>
  <c r="M60" i="9"/>
  <c r="N60" i="9" s="1"/>
  <c r="K60" i="9"/>
  <c r="L60" i="9" s="1"/>
  <c r="W59" i="9"/>
  <c r="Q59" i="9"/>
  <c r="R59" i="9" s="1"/>
  <c r="O59" i="9"/>
  <c r="P59" i="9" s="1"/>
  <c r="M59" i="9"/>
  <c r="N59" i="9" s="1"/>
  <c r="K59" i="9"/>
  <c r="L59" i="9" s="1"/>
  <c r="W58" i="9"/>
  <c r="Q58" i="9"/>
  <c r="R58" i="9" s="1"/>
  <c r="O58" i="9"/>
  <c r="P58" i="9" s="1"/>
  <c r="M58" i="9"/>
  <c r="N58" i="9" s="1"/>
  <c r="K58" i="9"/>
  <c r="L58" i="9" s="1"/>
  <c r="W57" i="9"/>
  <c r="Q57" i="9"/>
  <c r="R57" i="9" s="1"/>
  <c r="O57" i="9"/>
  <c r="P57" i="9" s="1"/>
  <c r="M57" i="9"/>
  <c r="N57" i="9" s="1"/>
  <c r="K57" i="9"/>
  <c r="L57" i="9" s="1"/>
  <c r="W56" i="9"/>
  <c r="Q56" i="9"/>
  <c r="R56" i="9" s="1"/>
  <c r="O56" i="9"/>
  <c r="P56" i="9" s="1"/>
  <c r="M56" i="9"/>
  <c r="N56" i="9" s="1"/>
  <c r="K56" i="9"/>
  <c r="L56" i="9" s="1"/>
  <c r="W55" i="9"/>
  <c r="Q55" i="9"/>
  <c r="R55" i="9" s="1"/>
  <c r="O55" i="9"/>
  <c r="P55" i="9" s="1"/>
  <c r="M55" i="9"/>
  <c r="N55" i="9" s="1"/>
  <c r="K55" i="9"/>
  <c r="L55" i="9" s="1"/>
  <c r="W54" i="9"/>
  <c r="Q54" i="9"/>
  <c r="R54" i="9" s="1"/>
  <c r="O54" i="9"/>
  <c r="P54" i="9" s="1"/>
  <c r="M54" i="9"/>
  <c r="N54" i="9" s="1"/>
  <c r="K54" i="9"/>
  <c r="L54" i="9" s="1"/>
  <c r="W53" i="9"/>
  <c r="Q53" i="9"/>
  <c r="R53" i="9" s="1"/>
  <c r="O53" i="9"/>
  <c r="P53" i="9" s="1"/>
  <c r="M53" i="9"/>
  <c r="N53" i="9" s="1"/>
  <c r="K53" i="9"/>
  <c r="L53" i="9" s="1"/>
  <c r="W52" i="9"/>
  <c r="Q52" i="9"/>
  <c r="R52" i="9" s="1"/>
  <c r="O52" i="9"/>
  <c r="P52" i="9" s="1"/>
  <c r="M52" i="9"/>
  <c r="N52" i="9" s="1"/>
  <c r="K52" i="9"/>
  <c r="L52" i="9" s="1"/>
  <c r="W51" i="9"/>
  <c r="Q51" i="9"/>
  <c r="R51" i="9" s="1"/>
  <c r="O51" i="9"/>
  <c r="P51" i="9" s="1"/>
  <c r="M51" i="9"/>
  <c r="N51" i="9" s="1"/>
  <c r="K51" i="9"/>
  <c r="L51" i="9" s="1"/>
  <c r="W50" i="9"/>
  <c r="Q50" i="9"/>
  <c r="R50" i="9" s="1"/>
  <c r="M50" i="9"/>
  <c r="N50" i="9" s="1"/>
  <c r="K50" i="9"/>
  <c r="L50" i="9" s="1"/>
  <c r="W49" i="9"/>
  <c r="Q49" i="9"/>
  <c r="R49" i="9" s="1"/>
  <c r="O49" i="9"/>
  <c r="P49" i="9" s="1"/>
  <c r="M49" i="9"/>
  <c r="N49" i="9" s="1"/>
  <c r="K49" i="9"/>
  <c r="L49" i="9" s="1"/>
  <c r="W48" i="9"/>
  <c r="Q48" i="9"/>
  <c r="R48" i="9" s="1"/>
  <c r="O48" i="9"/>
  <c r="P48" i="9" s="1"/>
  <c r="M48" i="9"/>
  <c r="N48" i="9" s="1"/>
  <c r="K48" i="9"/>
  <c r="L48" i="9" s="1"/>
  <c r="W47" i="9"/>
  <c r="Q47" i="9"/>
  <c r="R47" i="9" s="1"/>
  <c r="O47" i="9"/>
  <c r="P47" i="9" s="1"/>
  <c r="M47" i="9"/>
  <c r="N47" i="9" s="1"/>
  <c r="K47" i="9"/>
  <c r="L47" i="9" s="1"/>
  <c r="W46" i="9"/>
  <c r="Q46" i="9"/>
  <c r="R46" i="9" s="1"/>
  <c r="O46" i="9"/>
  <c r="P46" i="9" s="1"/>
  <c r="M46" i="9"/>
  <c r="N46" i="9" s="1"/>
  <c r="K46" i="9"/>
  <c r="L46" i="9" s="1"/>
  <c r="W44" i="9"/>
  <c r="Q44" i="9"/>
  <c r="R44" i="9" s="1"/>
  <c r="O44" i="9"/>
  <c r="P44" i="9" s="1"/>
  <c r="M44" i="9"/>
  <c r="N44" i="9" s="1"/>
  <c r="K44" i="9"/>
  <c r="L44" i="9" s="1"/>
  <c r="W43" i="9"/>
  <c r="Q43" i="9"/>
  <c r="R43" i="9" s="1"/>
  <c r="O43" i="9"/>
  <c r="P43" i="9" s="1"/>
  <c r="M43" i="9"/>
  <c r="N43" i="9" s="1"/>
  <c r="K43" i="9"/>
  <c r="L43" i="9" s="1"/>
  <c r="W42" i="9"/>
  <c r="Q42" i="9"/>
  <c r="R42" i="9" s="1"/>
  <c r="O42" i="9"/>
  <c r="P42" i="9" s="1"/>
  <c r="M42" i="9"/>
  <c r="N42" i="9" s="1"/>
  <c r="K42" i="9"/>
  <c r="L42" i="9" s="1"/>
  <c r="W41" i="9"/>
  <c r="Q41" i="9"/>
  <c r="R41" i="9" s="1"/>
  <c r="O41" i="9"/>
  <c r="P41" i="9" s="1"/>
  <c r="K41" i="9"/>
  <c r="L41" i="9" s="1"/>
  <c r="W40" i="9"/>
  <c r="Q40" i="9"/>
  <c r="R40" i="9" s="1"/>
  <c r="O40" i="9"/>
  <c r="P40" i="9" s="1"/>
  <c r="M40" i="9"/>
  <c r="N40" i="9" s="1"/>
  <c r="K40" i="9"/>
  <c r="L40" i="9" s="1"/>
  <c r="W39" i="9"/>
  <c r="Q39" i="9"/>
  <c r="R39" i="9" s="1"/>
  <c r="O39" i="9"/>
  <c r="P39" i="9" s="1"/>
  <c r="M39" i="9"/>
  <c r="N39" i="9" s="1"/>
  <c r="K39" i="9"/>
  <c r="L39" i="9" s="1"/>
  <c r="W38" i="9"/>
  <c r="Q38" i="9"/>
  <c r="R38" i="9" s="1"/>
  <c r="O38" i="9"/>
  <c r="P38" i="9" s="1"/>
  <c r="M38" i="9"/>
  <c r="N38" i="9" s="1"/>
  <c r="K38" i="9"/>
  <c r="L38" i="9" s="1"/>
  <c r="W37" i="9"/>
  <c r="Q37" i="9"/>
  <c r="R37" i="9" s="1"/>
  <c r="O37" i="9"/>
  <c r="P37" i="9" s="1"/>
  <c r="M37" i="9"/>
  <c r="N37" i="9" s="1"/>
  <c r="K37" i="9"/>
  <c r="L37" i="9" s="1"/>
  <c r="W36" i="9"/>
  <c r="Q36" i="9"/>
  <c r="R36" i="9" s="1"/>
  <c r="O36" i="9"/>
  <c r="P36" i="9" s="1"/>
  <c r="K36" i="9"/>
  <c r="L36" i="9" s="1"/>
  <c r="W35" i="9"/>
  <c r="Q35" i="9"/>
  <c r="R35" i="9" s="1"/>
  <c r="O35" i="9"/>
  <c r="P35" i="9" s="1"/>
  <c r="M35" i="9"/>
  <c r="N35" i="9" s="1"/>
  <c r="K35" i="9"/>
  <c r="L35" i="9" s="1"/>
  <c r="W34" i="9"/>
  <c r="Q34" i="9"/>
  <c r="R34" i="9" s="1"/>
  <c r="O34" i="9"/>
  <c r="P34" i="9" s="1"/>
  <c r="M34" i="9"/>
  <c r="N34" i="9" s="1"/>
  <c r="K34" i="9"/>
  <c r="L34" i="9" s="1"/>
  <c r="W33" i="9"/>
  <c r="O33" i="9"/>
  <c r="P33" i="9" s="1"/>
  <c r="M33" i="9"/>
  <c r="N33" i="9" s="1"/>
  <c r="K33" i="9"/>
  <c r="L33" i="9" s="1"/>
  <c r="W32" i="9"/>
  <c r="Q32" i="9"/>
  <c r="R32" i="9" s="1"/>
  <c r="O32" i="9"/>
  <c r="P32" i="9" s="1"/>
  <c r="M32" i="9"/>
  <c r="N32" i="9" s="1"/>
  <c r="K32" i="9"/>
  <c r="L32" i="9" s="1"/>
  <c r="W31" i="9"/>
  <c r="Q31" i="9"/>
  <c r="R31" i="9" s="1"/>
  <c r="O31" i="9"/>
  <c r="P31" i="9" s="1"/>
  <c r="M31" i="9"/>
  <c r="N31" i="9" s="1"/>
  <c r="K31" i="9"/>
  <c r="L31" i="9" s="1"/>
  <c r="W30" i="9"/>
  <c r="Q30" i="9"/>
  <c r="R30" i="9" s="1"/>
  <c r="O30" i="9"/>
  <c r="P30" i="9" s="1"/>
  <c r="M30" i="9"/>
  <c r="N30" i="9" s="1"/>
  <c r="K30" i="9"/>
  <c r="L30" i="9" s="1"/>
  <c r="W29" i="9"/>
  <c r="Q29" i="9"/>
  <c r="R29" i="9" s="1"/>
  <c r="O29" i="9"/>
  <c r="P29" i="9" s="1"/>
  <c r="M29" i="9"/>
  <c r="N29" i="9" s="1"/>
  <c r="K29" i="9"/>
  <c r="L29" i="9" s="1"/>
  <c r="W28" i="9"/>
  <c r="Q28" i="9"/>
  <c r="R28" i="9" s="1"/>
  <c r="O28" i="9"/>
  <c r="P28" i="9" s="1"/>
  <c r="M28" i="9"/>
  <c r="N28" i="9" s="1"/>
  <c r="K28" i="9"/>
  <c r="L28" i="9" s="1"/>
  <c r="W27" i="9"/>
  <c r="Q27" i="9"/>
  <c r="R27" i="9" s="1"/>
  <c r="O27" i="9"/>
  <c r="P27" i="9" s="1"/>
  <c r="N27" i="9"/>
  <c r="K27" i="9"/>
  <c r="L27" i="9" s="1"/>
  <c r="W26" i="9"/>
  <c r="Q26" i="9"/>
  <c r="R26" i="9" s="1"/>
  <c r="O26" i="9"/>
  <c r="P26" i="9" s="1"/>
  <c r="M26" i="9"/>
  <c r="N26" i="9" s="1"/>
  <c r="K26" i="9"/>
  <c r="L26" i="9" s="1"/>
  <c r="W25" i="9"/>
  <c r="Q25" i="9"/>
  <c r="R25" i="9" s="1"/>
  <c r="O25" i="9"/>
  <c r="P25" i="9" s="1"/>
  <c r="M25" i="9"/>
  <c r="N25" i="9" s="1"/>
  <c r="K25" i="9"/>
  <c r="L25" i="9" s="1"/>
  <c r="W23" i="9"/>
  <c r="Q23" i="9"/>
  <c r="R23" i="9" s="1"/>
  <c r="O23" i="9"/>
  <c r="P23" i="9" s="1"/>
  <c r="K23" i="9"/>
  <c r="L23" i="9" s="1"/>
  <c r="W22" i="9"/>
  <c r="Q22" i="9"/>
  <c r="R22" i="9" s="1"/>
  <c r="O22" i="9"/>
  <c r="P22" i="9" s="1"/>
  <c r="M22" i="9"/>
  <c r="N22" i="9" s="1"/>
  <c r="K22" i="9"/>
  <c r="L22" i="9" s="1"/>
  <c r="W21" i="9"/>
  <c r="Q21" i="9"/>
  <c r="R21" i="9" s="1"/>
  <c r="O21" i="9"/>
  <c r="P21" i="9" s="1"/>
  <c r="M21" i="9"/>
  <c r="N21" i="9" s="1"/>
  <c r="K21" i="9"/>
  <c r="L21" i="9" s="1"/>
  <c r="W20" i="9"/>
  <c r="Q20" i="9"/>
  <c r="R20" i="9" s="1"/>
  <c r="O20" i="9"/>
  <c r="P20" i="9" s="1"/>
  <c r="M20" i="9"/>
  <c r="N20" i="9" s="1"/>
  <c r="W18" i="9"/>
  <c r="Q18" i="9"/>
  <c r="R18" i="9" s="1"/>
  <c r="O18" i="9"/>
  <c r="P18" i="9" s="1"/>
  <c r="M18" i="9"/>
  <c r="N18" i="9" s="1"/>
  <c r="K18" i="9"/>
  <c r="L18" i="9" s="1"/>
  <c r="W17" i="9"/>
  <c r="Q17" i="9"/>
  <c r="R17" i="9" s="1"/>
  <c r="O17" i="9"/>
  <c r="P17" i="9" s="1"/>
  <c r="M17" i="9"/>
  <c r="N17" i="9" s="1"/>
  <c r="K17" i="9"/>
  <c r="L17" i="9" s="1"/>
  <c r="W16" i="9"/>
  <c r="Q16" i="9"/>
  <c r="R16" i="9" s="1"/>
  <c r="O16" i="9"/>
  <c r="P16" i="9" s="1"/>
  <c r="M16" i="9"/>
  <c r="N16" i="9" s="1"/>
  <c r="K16" i="9"/>
  <c r="L16" i="9" s="1"/>
  <c r="W15" i="9"/>
  <c r="Q15" i="9"/>
  <c r="R15" i="9" s="1"/>
  <c r="O15" i="9"/>
  <c r="P15" i="9" s="1"/>
  <c r="M15" i="9"/>
  <c r="N15" i="9" s="1"/>
  <c r="K15" i="9"/>
  <c r="L15" i="9" s="1"/>
  <c r="W14" i="9"/>
  <c r="Q14" i="9"/>
  <c r="R14" i="9" s="1"/>
  <c r="O14" i="9"/>
  <c r="P14" i="9" s="1"/>
  <c r="M14" i="9"/>
  <c r="N14" i="9" s="1"/>
  <c r="K14" i="9"/>
  <c r="L14" i="9" s="1"/>
  <c r="W13" i="9"/>
  <c r="O13" i="9"/>
  <c r="P13" i="9" s="1"/>
  <c r="M13" i="9"/>
  <c r="N13" i="9" s="1"/>
  <c r="K13" i="9"/>
  <c r="L13" i="9" s="1"/>
  <c r="W12" i="9"/>
  <c r="O12" i="9"/>
  <c r="P12" i="9" s="1"/>
  <c r="M12" i="9"/>
  <c r="N12" i="9" s="1"/>
  <c r="K12" i="9"/>
  <c r="L12" i="9" s="1"/>
  <c r="W11" i="9"/>
  <c r="Q11" i="9"/>
  <c r="R11" i="9" s="1"/>
  <c r="O11" i="9"/>
  <c r="P11" i="9" s="1"/>
  <c r="M11" i="9"/>
  <c r="N11" i="9" s="1"/>
  <c r="K11" i="9"/>
  <c r="L11" i="9" s="1"/>
  <c r="W10" i="9"/>
  <c r="Q10" i="9"/>
  <c r="R10" i="9" s="1"/>
  <c r="O10" i="9"/>
  <c r="P10" i="9" s="1"/>
  <c r="M10" i="9"/>
  <c r="N10" i="9" s="1"/>
  <c r="K10" i="9"/>
  <c r="L10" i="9" s="1"/>
  <c r="W9" i="9"/>
  <c r="Q9" i="9"/>
  <c r="R9" i="9" s="1"/>
  <c r="O9" i="9"/>
  <c r="P9" i="9" s="1"/>
  <c r="M9" i="9"/>
  <c r="N9" i="9" s="1"/>
  <c r="K9" i="9"/>
  <c r="L9" i="9" s="1"/>
  <c r="W8" i="9"/>
  <c r="Q8" i="9"/>
  <c r="R8" i="9" s="1"/>
  <c r="O8" i="9"/>
  <c r="P8" i="9" s="1"/>
  <c r="M8" i="9"/>
  <c r="N8" i="9" s="1"/>
  <c r="K8" i="9"/>
  <c r="L8" i="9" s="1"/>
  <c r="W7" i="9"/>
  <c r="Q7" i="9"/>
  <c r="R7" i="9" s="1"/>
  <c r="O7" i="9"/>
  <c r="P7" i="9" s="1"/>
  <c r="K7" i="9"/>
  <c r="L7" i="9" s="1"/>
  <c r="W6" i="9"/>
  <c r="Q6" i="9"/>
  <c r="R6" i="9" s="1"/>
  <c r="O6" i="9"/>
  <c r="P6" i="9" s="1"/>
  <c r="M6" i="9"/>
  <c r="N6" i="9" s="1"/>
  <c r="K6" i="9"/>
  <c r="L6" i="9" s="1"/>
  <c r="W5" i="9"/>
  <c r="Q5" i="9"/>
  <c r="R5" i="9" s="1"/>
  <c r="O5" i="9"/>
  <c r="P5" i="9" s="1"/>
  <c r="K5" i="9"/>
  <c r="L5" i="9" s="1"/>
  <c r="W4" i="9"/>
  <c r="S4" i="9"/>
  <c r="Q4" i="9"/>
  <c r="R4" i="9" s="1"/>
  <c r="O4" i="9"/>
  <c r="P4" i="9" s="1"/>
  <c r="L4" i="9"/>
  <c r="W3" i="9"/>
  <c r="S3" i="9"/>
  <c r="Q3" i="9"/>
  <c r="R3" i="9" s="1"/>
  <c r="O3" i="9"/>
  <c r="P3" i="9" s="1"/>
  <c r="M3" i="9"/>
  <c r="N3" i="9" s="1"/>
  <c r="K3" i="9"/>
  <c r="L3" i="9" s="1"/>
  <c r="T111" i="9" l="1"/>
  <c r="U111" i="9" s="1"/>
  <c r="V111" i="9" s="1"/>
  <c r="T112" i="9"/>
  <c r="U112" i="9" s="1"/>
  <c r="V112" i="9" s="1"/>
  <c r="T113" i="9"/>
  <c r="U113" i="9" s="1"/>
  <c r="V113" i="9" s="1"/>
  <c r="T110" i="9"/>
  <c r="U110" i="9" s="1"/>
  <c r="V110" i="9" s="1"/>
  <c r="T124" i="9"/>
  <c r="U124" i="9" s="1"/>
  <c r="V124" i="9" s="1"/>
  <c r="X124" i="9" s="1"/>
  <c r="T125" i="9"/>
  <c r="U125" i="9" s="1"/>
  <c r="V125" i="9" s="1"/>
  <c r="X125" i="9" s="1"/>
  <c r="T126" i="9"/>
  <c r="U126" i="9" s="1"/>
  <c r="V126" i="9" s="1"/>
  <c r="T127" i="9"/>
  <c r="U127" i="9" s="1"/>
  <c r="V127" i="9" s="1"/>
  <c r="X127" i="9" s="1"/>
  <c r="C27" i="1"/>
  <c r="C51" i="1"/>
  <c r="C63" i="1"/>
  <c r="C75" i="1"/>
  <c r="T129" i="9"/>
  <c r="T131" i="9"/>
  <c r="U131" i="9" s="1"/>
  <c r="T133" i="9"/>
  <c r="U133" i="9" s="1"/>
  <c r="V133" i="9" s="1"/>
  <c r="X133" i="9" s="1"/>
  <c r="T135" i="9"/>
  <c r="U135" i="9" s="1"/>
  <c r="V135" i="9" s="1"/>
  <c r="X135" i="9" s="1"/>
  <c r="T62" i="9"/>
  <c r="U62" i="9" s="1"/>
  <c r="V62" i="9" s="1"/>
  <c r="X62" i="9" s="1"/>
  <c r="T64" i="9"/>
  <c r="U64" i="9" s="1"/>
  <c r="V64" i="9" s="1"/>
  <c r="X64" i="9" s="1"/>
  <c r="T66" i="9"/>
  <c r="U66" i="9" s="1"/>
  <c r="V66" i="9" s="1"/>
  <c r="X66" i="9" s="1"/>
  <c r="T68" i="9"/>
  <c r="U68" i="9" s="1"/>
  <c r="V68" i="9" s="1"/>
  <c r="X68" i="9" s="1"/>
  <c r="T70" i="9"/>
  <c r="U70" i="9" s="1"/>
  <c r="V70" i="9" s="1"/>
  <c r="X70" i="9" s="1"/>
  <c r="C34" i="1" s="1"/>
  <c r="T72" i="9"/>
  <c r="U72" i="9" s="1"/>
  <c r="V72" i="9" s="1"/>
  <c r="X72" i="9" s="1"/>
  <c r="T74" i="9"/>
  <c r="U74" i="9" s="1"/>
  <c r="V74" i="9" s="1"/>
  <c r="T76" i="9"/>
  <c r="U76" i="9" s="1"/>
  <c r="V76" i="9" s="1"/>
  <c r="X76" i="9" s="1"/>
  <c r="T78" i="9"/>
  <c r="U78" i="9" s="1"/>
  <c r="V78" i="9" s="1"/>
  <c r="X78" i="9" s="1"/>
  <c r="C56" i="1" s="1"/>
  <c r="T80" i="9"/>
  <c r="U80" i="9" s="1"/>
  <c r="V80" i="9" s="1"/>
  <c r="X80" i="9" s="1"/>
  <c r="T84" i="9"/>
  <c r="U84" i="9" s="1"/>
  <c r="V84" i="9" s="1"/>
  <c r="X84" i="9" s="1"/>
  <c r="T86" i="9"/>
  <c r="U86" i="9" s="1"/>
  <c r="V86" i="9" s="1"/>
  <c r="X86" i="9" s="1"/>
  <c r="T88" i="9"/>
  <c r="U88" i="9" s="1"/>
  <c r="V88" i="9" s="1"/>
  <c r="X88" i="9" s="1"/>
  <c r="T90" i="9"/>
  <c r="U90" i="9" s="1"/>
  <c r="V90" i="9" s="1"/>
  <c r="X90" i="9" s="1"/>
  <c r="T92" i="9"/>
  <c r="U92" i="9" s="1"/>
  <c r="V92" i="9" s="1"/>
  <c r="X92" i="9" s="1"/>
  <c r="C16" i="1" s="1"/>
  <c r="T94" i="9"/>
  <c r="U94" i="9" s="1"/>
  <c r="V94" i="9" s="1"/>
  <c r="X94" i="9" s="1"/>
  <c r="T96" i="9"/>
  <c r="U96" i="9" s="1"/>
  <c r="V96" i="9" s="1"/>
  <c r="X96" i="9" s="1"/>
  <c r="T98" i="9"/>
  <c r="U98" i="9" s="1"/>
  <c r="V98" i="9" s="1"/>
  <c r="X98" i="9" s="1"/>
  <c r="T100" i="9"/>
  <c r="U100" i="9" s="1"/>
  <c r="V100" i="9" s="1"/>
  <c r="X100" i="9" s="1"/>
  <c r="C67" i="1" s="1"/>
  <c r="T102" i="9"/>
  <c r="U102" i="9" s="1"/>
  <c r="V102" i="9" s="1"/>
  <c r="X102" i="9" s="1"/>
  <c r="T104" i="9"/>
  <c r="U104" i="9" s="1"/>
  <c r="V104" i="9" s="1"/>
  <c r="X104" i="9" s="1"/>
  <c r="T60" i="9"/>
  <c r="U60" i="9" s="1"/>
  <c r="V60" i="9" s="1"/>
  <c r="X60" i="9" s="1"/>
  <c r="T61" i="9"/>
  <c r="U61" i="9" s="1"/>
  <c r="V61" i="9" s="1"/>
  <c r="X61" i="9" s="1"/>
  <c r="T63" i="9"/>
  <c r="U63" i="9" s="1"/>
  <c r="V63" i="9" s="1"/>
  <c r="X63" i="9" s="1"/>
  <c r="T65" i="9"/>
  <c r="U65" i="9" s="1"/>
  <c r="V65" i="9" s="1"/>
  <c r="X65" i="9" s="1"/>
  <c r="T67" i="9"/>
  <c r="U67" i="9" s="1"/>
  <c r="V67" i="9" s="1"/>
  <c r="X67" i="9" s="1"/>
  <c r="T69" i="9"/>
  <c r="U69" i="9" s="1"/>
  <c r="V69" i="9" s="1"/>
  <c r="X69" i="9" s="1"/>
  <c r="E21" i="1" s="1"/>
  <c r="T71" i="9"/>
  <c r="U71" i="9" s="1"/>
  <c r="V71" i="9" s="1"/>
  <c r="X71" i="9" s="1"/>
  <c r="T73" i="9"/>
  <c r="U73" i="9" s="1"/>
  <c r="V73" i="9" s="1"/>
  <c r="T75" i="9"/>
  <c r="U75" i="9" s="1"/>
  <c r="V75" i="9" s="1"/>
  <c r="X75" i="9" s="1"/>
  <c r="E55" i="1" s="1"/>
  <c r="T77" i="9"/>
  <c r="U77" i="9" s="1"/>
  <c r="V77" i="9" s="1"/>
  <c r="X77" i="9" s="1"/>
  <c r="T79" i="9"/>
  <c r="U79" i="9" s="1"/>
  <c r="V79" i="9" s="1"/>
  <c r="X79" i="9" s="1"/>
  <c r="T81" i="9"/>
  <c r="U81" i="9" s="1"/>
  <c r="V81" i="9" s="1"/>
  <c r="X81" i="9" s="1"/>
  <c r="C53" i="1" s="1"/>
  <c r="T83" i="9"/>
  <c r="U83" i="9" s="1"/>
  <c r="V83" i="9" s="1"/>
  <c r="X83" i="9" s="1"/>
  <c r="C17" i="1" s="1"/>
  <c r="T85" i="9"/>
  <c r="U85" i="9" s="1"/>
  <c r="V85" i="9" s="1"/>
  <c r="X85" i="9" s="1"/>
  <c r="T87" i="9"/>
  <c r="U87" i="9" s="1"/>
  <c r="V87" i="9" s="1"/>
  <c r="X87" i="9" s="1"/>
  <c r="T89" i="9"/>
  <c r="U89" i="9" s="1"/>
  <c r="V89" i="9" s="1"/>
  <c r="X89" i="9" s="1"/>
  <c r="C31" i="1" s="1"/>
  <c r="T91" i="9"/>
  <c r="U91" i="9" s="1"/>
  <c r="V91" i="9" s="1"/>
  <c r="X91" i="9" s="1"/>
  <c r="T93" i="9"/>
  <c r="U93" i="9" s="1"/>
  <c r="V93" i="9" s="1"/>
  <c r="X93" i="9" s="1"/>
  <c r="C44" i="1" s="1"/>
  <c r="T95" i="9"/>
  <c r="U95" i="9" s="1"/>
  <c r="V95" i="9" s="1"/>
  <c r="X95" i="9" s="1"/>
  <c r="T97" i="9"/>
  <c r="U97" i="9" s="1"/>
  <c r="V97" i="9" s="1"/>
  <c r="X97" i="9" s="1"/>
  <c r="T99" i="9"/>
  <c r="U99" i="9" s="1"/>
  <c r="V99" i="9" s="1"/>
  <c r="X99" i="9" s="1"/>
  <c r="C65" i="1" s="1"/>
  <c r="T101" i="9"/>
  <c r="U101" i="9" s="1"/>
  <c r="V101" i="9" s="1"/>
  <c r="X101" i="9" s="1"/>
  <c r="C72" i="1" s="1"/>
  <c r="T103" i="9"/>
  <c r="U103" i="9" s="1"/>
  <c r="V103" i="9" s="1"/>
  <c r="X103" i="9" s="1"/>
  <c r="T106" i="9"/>
  <c r="U106" i="9" s="1"/>
  <c r="V106" i="9" s="1"/>
  <c r="X106" i="9" s="1"/>
  <c r="T108" i="9"/>
  <c r="U108" i="9" s="1"/>
  <c r="V108" i="9" s="1"/>
  <c r="X108" i="9" s="1"/>
  <c r="X126" i="9"/>
  <c r="T105" i="9"/>
  <c r="U105" i="9" s="1"/>
  <c r="V105" i="9" s="1"/>
  <c r="X105" i="9" s="1"/>
  <c r="T107" i="9"/>
  <c r="U107" i="9" s="1"/>
  <c r="V107" i="9" s="1"/>
  <c r="X107" i="9" s="1"/>
  <c r="T109" i="9"/>
  <c r="U109" i="9" s="1"/>
  <c r="V109" i="9" s="1"/>
  <c r="T128" i="9"/>
  <c r="T130" i="9"/>
  <c r="T132" i="9"/>
  <c r="U132" i="9" s="1"/>
  <c r="V132" i="9" s="1"/>
  <c r="X132" i="9" s="1"/>
  <c r="T134" i="9"/>
  <c r="U134" i="9" s="1"/>
  <c r="V134" i="9" s="1"/>
  <c r="X134" i="9" s="1"/>
  <c r="T137" i="9"/>
  <c r="U137" i="9" s="1"/>
  <c r="V137" i="9" s="1"/>
  <c r="X137" i="9" s="1"/>
  <c r="T139" i="9"/>
  <c r="U139" i="9" s="1"/>
  <c r="V139" i="9" s="1"/>
  <c r="X139" i="9" s="1"/>
  <c r="T141" i="9"/>
  <c r="U141" i="9" s="1"/>
  <c r="V141" i="9" s="1"/>
  <c r="X141" i="9" s="1"/>
  <c r="T143" i="9"/>
  <c r="U143" i="9" s="1"/>
  <c r="V143" i="9" s="1"/>
  <c r="X143" i="9" s="1"/>
  <c r="T145" i="9"/>
  <c r="U145" i="9" s="1"/>
  <c r="V145" i="9" s="1"/>
  <c r="X145" i="9" s="1"/>
  <c r="T147" i="9"/>
  <c r="U147" i="9" s="1"/>
  <c r="V147" i="9" s="1"/>
  <c r="X147" i="9" s="1"/>
  <c r="T149" i="9"/>
  <c r="U149" i="9" s="1"/>
  <c r="V149" i="9" s="1"/>
  <c r="X149" i="9" s="1"/>
  <c r="T151" i="9"/>
  <c r="U151" i="9" s="1"/>
  <c r="V151" i="9" s="1"/>
  <c r="X151" i="9" s="1"/>
  <c r="T153" i="9"/>
  <c r="U153" i="9" s="1"/>
  <c r="V153" i="9" s="1"/>
  <c r="X153" i="9" s="1"/>
  <c r="T155" i="9"/>
  <c r="U155" i="9" s="1"/>
  <c r="V155" i="9" s="1"/>
  <c r="X155" i="9" s="1"/>
  <c r="T157" i="9"/>
  <c r="U157" i="9" s="1"/>
  <c r="V157" i="9" s="1"/>
  <c r="X157" i="9" s="1"/>
  <c r="T159" i="9"/>
  <c r="U159" i="9" s="1"/>
  <c r="V159" i="9" s="1"/>
  <c r="X159" i="9" s="1"/>
  <c r="T161" i="9"/>
  <c r="U161" i="9" s="1"/>
  <c r="V161" i="9" s="1"/>
  <c r="X161" i="9" s="1"/>
  <c r="T163" i="9"/>
  <c r="U163" i="9" s="1"/>
  <c r="V163" i="9" s="1"/>
  <c r="X163" i="9" s="1"/>
  <c r="T56" i="9"/>
  <c r="U56" i="9" s="1"/>
  <c r="V56" i="9" s="1"/>
  <c r="X56" i="9" s="1"/>
  <c r="T58" i="9"/>
  <c r="U58" i="9" s="1"/>
  <c r="V58" i="9" s="1"/>
  <c r="X58" i="9" s="1"/>
  <c r="T59" i="9"/>
  <c r="U59" i="9" s="1"/>
  <c r="V59" i="9" s="1"/>
  <c r="X59" i="9" s="1"/>
  <c r="T52" i="9"/>
  <c r="U52" i="9" s="1"/>
  <c r="V52" i="9" s="1"/>
  <c r="X52" i="9" s="1"/>
  <c r="C82" i="1" s="1"/>
  <c r="T55" i="9"/>
  <c r="U55" i="9" s="1"/>
  <c r="V55" i="9" s="1"/>
  <c r="X55" i="9" s="1"/>
  <c r="T57" i="9"/>
  <c r="U57" i="9" s="1"/>
  <c r="V57" i="9" s="1"/>
  <c r="X57" i="9" s="1"/>
  <c r="T47" i="9"/>
  <c r="U47" i="9" s="1"/>
  <c r="V47" i="9" s="1"/>
  <c r="T49" i="9"/>
  <c r="U49" i="9" s="1"/>
  <c r="V49" i="9" s="1"/>
  <c r="T51" i="9"/>
  <c r="U51" i="9" s="1"/>
  <c r="V51" i="9" s="1"/>
  <c r="X51" i="9" s="1"/>
  <c r="T53" i="9"/>
  <c r="U53" i="9" s="1"/>
  <c r="V53" i="9" s="1"/>
  <c r="X53" i="9" s="1"/>
  <c r="Q7" i="1" s="1"/>
  <c r="T54" i="9"/>
  <c r="U54" i="9" s="1"/>
  <c r="V54" i="9" s="1"/>
  <c r="X54" i="9" s="1"/>
  <c r="T44" i="9"/>
  <c r="U44" i="9" s="1"/>
  <c r="V44" i="9" s="1"/>
  <c r="X44" i="9" s="1"/>
  <c r="T46" i="9"/>
  <c r="U46" i="9" s="1"/>
  <c r="V46" i="9" s="1"/>
  <c r="T48" i="9"/>
  <c r="U48" i="9" s="1"/>
  <c r="V48" i="9" s="1"/>
  <c r="T136" i="9"/>
  <c r="U136" i="9" s="1"/>
  <c r="V136" i="9" s="1"/>
  <c r="X136" i="9" s="1"/>
  <c r="T138" i="9"/>
  <c r="U138" i="9" s="1"/>
  <c r="V138" i="9" s="1"/>
  <c r="X138" i="9" s="1"/>
  <c r="T140" i="9"/>
  <c r="U140" i="9" s="1"/>
  <c r="V140" i="9" s="1"/>
  <c r="X140" i="9" s="1"/>
  <c r="T142" i="9"/>
  <c r="U142" i="9" s="1"/>
  <c r="V142" i="9" s="1"/>
  <c r="X142" i="9" s="1"/>
  <c r="T144" i="9"/>
  <c r="U144" i="9" s="1"/>
  <c r="V144" i="9" s="1"/>
  <c r="X144" i="9" s="1"/>
  <c r="T146" i="9"/>
  <c r="U146" i="9" s="1"/>
  <c r="V146" i="9" s="1"/>
  <c r="X146" i="9" s="1"/>
  <c r="T148" i="9"/>
  <c r="U148" i="9" s="1"/>
  <c r="V148" i="9" s="1"/>
  <c r="X148" i="9" s="1"/>
  <c r="T150" i="9"/>
  <c r="U150" i="9" s="1"/>
  <c r="V150" i="9" s="1"/>
  <c r="X150" i="9" s="1"/>
  <c r="T152" i="9"/>
  <c r="U152" i="9" s="1"/>
  <c r="V152" i="9" s="1"/>
  <c r="X152" i="9" s="1"/>
  <c r="T154" i="9"/>
  <c r="U154" i="9" s="1"/>
  <c r="V154" i="9" s="1"/>
  <c r="X154" i="9" s="1"/>
  <c r="T156" i="9"/>
  <c r="U156" i="9" s="1"/>
  <c r="V156" i="9" s="1"/>
  <c r="X156" i="9" s="1"/>
  <c r="T158" i="9"/>
  <c r="U158" i="9" s="1"/>
  <c r="V158" i="9" s="1"/>
  <c r="X158" i="9" s="1"/>
  <c r="T160" i="9"/>
  <c r="U160" i="9" s="1"/>
  <c r="V160" i="9" s="1"/>
  <c r="X160" i="9" s="1"/>
  <c r="T162" i="9"/>
  <c r="U162" i="9" s="1"/>
  <c r="V162" i="9" s="1"/>
  <c r="X162" i="9" s="1"/>
  <c r="T165" i="9"/>
  <c r="U165" i="9" s="1"/>
  <c r="V165" i="9" s="1"/>
  <c r="X165" i="9" s="1"/>
  <c r="T167" i="9"/>
  <c r="U167" i="9" s="1"/>
  <c r="V167" i="9" s="1"/>
  <c r="X167" i="9" s="1"/>
  <c r="T169" i="9"/>
  <c r="U169" i="9" s="1"/>
  <c r="V169" i="9" s="1"/>
  <c r="X169" i="9" s="1"/>
  <c r="T171" i="9"/>
  <c r="U171" i="9" s="1"/>
  <c r="V171" i="9" s="1"/>
  <c r="X171" i="9" s="1"/>
  <c r="T173" i="9"/>
  <c r="U173" i="9" s="1"/>
  <c r="V173" i="9" s="1"/>
  <c r="X173" i="9" s="1"/>
  <c r="T175" i="9"/>
  <c r="U175" i="9" s="1"/>
  <c r="V175" i="9" s="1"/>
  <c r="X175" i="9" s="1"/>
  <c r="T177" i="9"/>
  <c r="U177" i="9" s="1"/>
  <c r="V177" i="9" s="1"/>
  <c r="X177" i="9" s="1"/>
  <c r="T179" i="9"/>
  <c r="U179" i="9" s="1"/>
  <c r="V179" i="9" s="1"/>
  <c r="X179" i="9" s="1"/>
  <c r="T181" i="9"/>
  <c r="U181" i="9" s="1"/>
  <c r="V181" i="9" s="1"/>
  <c r="X181" i="9" s="1"/>
  <c r="T183" i="9"/>
  <c r="U183" i="9" s="1"/>
  <c r="V183" i="9" s="1"/>
  <c r="X183" i="9" s="1"/>
  <c r="T185" i="9"/>
  <c r="U185" i="9" s="1"/>
  <c r="V185" i="9" s="1"/>
  <c r="X185" i="9" s="1"/>
  <c r="T187" i="9"/>
  <c r="U187" i="9" s="1"/>
  <c r="V187" i="9" s="1"/>
  <c r="X187" i="9" s="1"/>
  <c r="T189" i="9"/>
  <c r="U189" i="9" s="1"/>
  <c r="V189" i="9" s="1"/>
  <c r="X189" i="9" s="1"/>
  <c r="T191" i="9"/>
  <c r="U191" i="9" s="1"/>
  <c r="V191" i="9" s="1"/>
  <c r="X191" i="9" s="1"/>
  <c r="T193" i="9"/>
  <c r="U193" i="9" s="1"/>
  <c r="V193" i="9" s="1"/>
  <c r="X193" i="9" s="1"/>
  <c r="T43" i="9"/>
  <c r="U43" i="9" s="1"/>
  <c r="V43" i="9" s="1"/>
  <c r="T195" i="9"/>
  <c r="U195" i="9" s="1"/>
  <c r="V195" i="9" s="1"/>
  <c r="X195" i="9" s="1"/>
  <c r="T164" i="9"/>
  <c r="U164" i="9" s="1"/>
  <c r="V164" i="9" s="1"/>
  <c r="X164" i="9" s="1"/>
  <c r="T166" i="9"/>
  <c r="U166" i="9" s="1"/>
  <c r="V166" i="9" s="1"/>
  <c r="X166" i="9" s="1"/>
  <c r="T168" i="9"/>
  <c r="U168" i="9" s="1"/>
  <c r="V168" i="9" s="1"/>
  <c r="X168" i="9" s="1"/>
  <c r="T170" i="9"/>
  <c r="U170" i="9" s="1"/>
  <c r="V170" i="9" s="1"/>
  <c r="X170" i="9" s="1"/>
  <c r="T172" i="9"/>
  <c r="U172" i="9" s="1"/>
  <c r="V172" i="9" s="1"/>
  <c r="X172" i="9" s="1"/>
  <c r="T174" i="9"/>
  <c r="U174" i="9" s="1"/>
  <c r="V174" i="9" s="1"/>
  <c r="X174" i="9" s="1"/>
  <c r="T176" i="9"/>
  <c r="U176" i="9" s="1"/>
  <c r="V176" i="9" s="1"/>
  <c r="X176" i="9" s="1"/>
  <c r="T178" i="9"/>
  <c r="U178" i="9" s="1"/>
  <c r="V178" i="9" s="1"/>
  <c r="X178" i="9" s="1"/>
  <c r="T180" i="9"/>
  <c r="U180" i="9" s="1"/>
  <c r="V180" i="9" s="1"/>
  <c r="X180" i="9" s="1"/>
  <c r="T182" i="9"/>
  <c r="U182" i="9" s="1"/>
  <c r="V182" i="9" s="1"/>
  <c r="X182" i="9" s="1"/>
  <c r="T184" i="9"/>
  <c r="U184" i="9" s="1"/>
  <c r="V184" i="9" s="1"/>
  <c r="X184" i="9" s="1"/>
  <c r="T196" i="9"/>
  <c r="U196" i="9" s="1"/>
  <c r="V196" i="9" s="1"/>
  <c r="X196" i="9" s="1"/>
  <c r="T42" i="9"/>
  <c r="U42" i="9" s="1"/>
  <c r="V42" i="9" s="1"/>
  <c r="X42" i="9" s="1"/>
  <c r="T37" i="9"/>
  <c r="U37" i="9" s="1"/>
  <c r="V37" i="9" s="1"/>
  <c r="T38" i="9"/>
  <c r="U38" i="9" s="1"/>
  <c r="V38" i="9" s="1"/>
  <c r="T39" i="9"/>
  <c r="U39" i="9" s="1"/>
  <c r="V39" i="9" s="1"/>
  <c r="T40" i="9"/>
  <c r="U40" i="9" s="1"/>
  <c r="V40" i="9" s="1"/>
  <c r="T28" i="9"/>
  <c r="U28" i="9" s="1"/>
  <c r="V28" i="9" s="1"/>
  <c r="X28" i="9" s="1"/>
  <c r="T29" i="9"/>
  <c r="U29" i="9" s="1"/>
  <c r="V29" i="9" s="1"/>
  <c r="X29" i="9" s="1"/>
  <c r="T30" i="9"/>
  <c r="U30" i="9" s="1"/>
  <c r="V30" i="9" s="1"/>
  <c r="X30" i="9" s="1"/>
  <c r="T31" i="9"/>
  <c r="U31" i="9" s="1"/>
  <c r="V31" i="9" s="1"/>
  <c r="X31" i="9" s="1"/>
  <c r="T32" i="9"/>
  <c r="U32" i="9" s="1"/>
  <c r="V32" i="9" s="1"/>
  <c r="X32" i="9" s="1"/>
  <c r="T34" i="9"/>
  <c r="U34" i="9" s="1"/>
  <c r="V34" i="9" s="1"/>
  <c r="X34" i="9" s="1"/>
  <c r="T35" i="9"/>
  <c r="U35" i="9" s="1"/>
  <c r="V35" i="9" s="1"/>
  <c r="X35" i="9" s="1"/>
  <c r="T3" i="9"/>
  <c r="U3" i="9" s="1"/>
  <c r="V3" i="9" s="1"/>
  <c r="X3" i="9" s="1"/>
  <c r="T9" i="9"/>
  <c r="U9" i="9" s="1"/>
  <c r="V9" i="9" s="1"/>
  <c r="X9" i="9" s="1"/>
  <c r="T11" i="9"/>
  <c r="U11" i="9" s="1"/>
  <c r="V11" i="9" s="1"/>
  <c r="X11" i="9" s="1"/>
  <c r="T15" i="9"/>
  <c r="U15" i="9" s="1"/>
  <c r="V15" i="9" s="1"/>
  <c r="X15" i="9" s="1"/>
  <c r="E79" i="1" s="1"/>
  <c r="T17" i="9"/>
  <c r="U17" i="9" s="1"/>
  <c r="V17" i="9" s="1"/>
  <c r="X17" i="9" s="1"/>
  <c r="T22" i="9"/>
  <c r="U22" i="9" s="1"/>
  <c r="V22" i="9" s="1"/>
  <c r="X22" i="9" s="1"/>
  <c r="T25" i="9"/>
  <c r="U25" i="9" s="1"/>
  <c r="V25" i="9" s="1"/>
  <c r="X25" i="9" s="1"/>
  <c r="T27" i="9"/>
  <c r="U27" i="9" s="1"/>
  <c r="V27" i="9" s="1"/>
  <c r="X27" i="9" s="1"/>
  <c r="T6" i="9"/>
  <c r="U6" i="9" s="1"/>
  <c r="V6" i="9" s="1"/>
  <c r="X6" i="9" s="1"/>
  <c r="T8" i="9"/>
  <c r="U8" i="9" s="1"/>
  <c r="V8" i="9" s="1"/>
  <c r="X8" i="9" s="1"/>
  <c r="T10" i="9"/>
  <c r="U10" i="9" s="1"/>
  <c r="V10" i="9" s="1"/>
  <c r="X10" i="9" s="1"/>
  <c r="T14" i="9"/>
  <c r="U14" i="9" s="1"/>
  <c r="V14" i="9" s="1"/>
  <c r="X14" i="9" s="1"/>
  <c r="T16" i="9"/>
  <c r="U16" i="9" s="1"/>
  <c r="V16" i="9" s="1"/>
  <c r="X16" i="9" s="1"/>
  <c r="T18" i="9"/>
  <c r="U18" i="9" s="1"/>
  <c r="V18" i="9" s="1"/>
  <c r="X18" i="9" s="1"/>
  <c r="T21" i="9"/>
  <c r="U21" i="9" s="1"/>
  <c r="V21" i="9" s="1"/>
  <c r="X21" i="9" s="1"/>
  <c r="T26" i="9"/>
  <c r="U26" i="9" s="1"/>
  <c r="V26" i="9" s="1"/>
  <c r="X26" i="9" s="1"/>
  <c r="C64" i="1" s="1"/>
  <c r="T186" i="9"/>
  <c r="U186" i="9" s="1"/>
  <c r="V186" i="9" s="1"/>
  <c r="X186" i="9" s="1"/>
  <c r="T188" i="9"/>
  <c r="U188" i="9" s="1"/>
  <c r="V188" i="9" s="1"/>
  <c r="X188" i="9" s="1"/>
  <c r="T190" i="9"/>
  <c r="U190" i="9" s="1"/>
  <c r="V190" i="9" s="1"/>
  <c r="X190" i="9" s="1"/>
  <c r="T192" i="9"/>
  <c r="U192" i="9" s="1"/>
  <c r="V192" i="9" s="1"/>
  <c r="X192" i="9" s="1"/>
  <c r="T194" i="9"/>
  <c r="U194" i="9" s="1"/>
  <c r="V194" i="9" s="1"/>
  <c r="X194" i="9" s="1"/>
  <c r="I40" i="1" l="1"/>
  <c r="I4" i="1"/>
  <c r="I16" i="1"/>
  <c r="I83" i="1"/>
  <c r="E6" i="1"/>
  <c r="E22" i="1"/>
  <c r="E34" i="1"/>
  <c r="E46" i="1"/>
  <c r="E58" i="1"/>
  <c r="E70" i="1"/>
  <c r="E82" i="1"/>
  <c r="C62" i="1"/>
  <c r="I21" i="1"/>
  <c r="I44" i="1"/>
  <c r="Q44" i="1"/>
  <c r="E57" i="1"/>
  <c r="E45" i="1"/>
  <c r="Q63" i="1"/>
  <c r="Q39" i="1"/>
  <c r="C12" i="1"/>
  <c r="C22" i="1"/>
  <c r="C38" i="1"/>
  <c r="C61" i="1"/>
  <c r="C48" i="1"/>
  <c r="C11" i="1"/>
  <c r="C71" i="1"/>
  <c r="C5" i="1"/>
  <c r="Q4" i="1"/>
  <c r="C4" i="1"/>
  <c r="C30" i="1"/>
  <c r="C78" i="1"/>
  <c r="C25" i="1"/>
  <c r="C47" i="1"/>
  <c r="C7" i="1"/>
  <c r="C33" i="1"/>
  <c r="U130" i="9"/>
  <c r="V130" i="9" s="1"/>
  <c r="X130" i="9" s="1"/>
  <c r="C80" i="1" s="1"/>
  <c r="U128" i="9"/>
  <c r="V128" i="9" s="1"/>
  <c r="X128" i="9" s="1"/>
  <c r="C86" i="1" s="1"/>
  <c r="V131" i="9"/>
  <c r="X131" i="9" s="1"/>
  <c r="U129" i="9"/>
  <c r="V129" i="9" s="1"/>
  <c r="X129" i="9" s="1"/>
  <c r="C74" i="1" s="1"/>
  <c r="I6" i="1"/>
  <c r="X113" i="9"/>
  <c r="C77" i="1" s="1"/>
  <c r="X111" i="9"/>
  <c r="X112" i="9"/>
  <c r="C68" i="1" s="1"/>
  <c r="X109" i="9"/>
  <c r="C41" i="1" s="1"/>
  <c r="X114" i="9"/>
  <c r="C81" i="1" s="1"/>
  <c r="X110" i="9"/>
  <c r="C49" i="1" s="1"/>
  <c r="I64" i="1"/>
  <c r="Q64" i="1"/>
  <c r="E7" i="1"/>
  <c r="E18" i="1"/>
  <c r="E30" i="1"/>
  <c r="E42" i="1"/>
  <c r="E54" i="1"/>
  <c r="E66" i="1"/>
  <c r="E78" i="1"/>
  <c r="E19" i="1"/>
  <c r="E31" i="1"/>
  <c r="Q27" i="1"/>
  <c r="I27" i="1"/>
  <c r="I39" i="1"/>
  <c r="I75" i="1"/>
  <c r="Q3" i="1"/>
  <c r="Q15" i="1"/>
  <c r="Q75" i="1"/>
  <c r="I3" i="1"/>
  <c r="I15" i="1"/>
  <c r="I63" i="1"/>
  <c r="Q55" i="1"/>
  <c r="I56" i="1"/>
  <c r="Q10" i="1"/>
  <c r="Q19" i="1"/>
  <c r="Q31" i="1"/>
  <c r="Q42" i="1"/>
  <c r="Q54" i="1"/>
  <c r="Q68" i="1"/>
  <c r="I20" i="1"/>
  <c r="I28" i="1"/>
  <c r="I43" i="1"/>
  <c r="I55" i="1"/>
  <c r="I9" i="1"/>
  <c r="Q77" i="1"/>
  <c r="Q16" i="1"/>
  <c r="Q28" i="1"/>
  <c r="Q51" i="1"/>
  <c r="Q65" i="1"/>
  <c r="I17" i="1"/>
  <c r="I29" i="1"/>
  <c r="I52" i="1"/>
  <c r="I78" i="1"/>
  <c r="Q76" i="1"/>
  <c r="I77" i="1"/>
  <c r="E33" i="1"/>
  <c r="E81" i="1"/>
  <c r="I76" i="1"/>
  <c r="Q80" i="1"/>
  <c r="I51" i="1"/>
  <c r="E8" i="1"/>
  <c r="E43" i="1"/>
  <c r="E67" i="1"/>
  <c r="E20" i="1"/>
  <c r="E44" i="1"/>
  <c r="E56" i="1"/>
  <c r="E80" i="1"/>
  <c r="E10" i="1"/>
  <c r="E32" i="1"/>
  <c r="E69" i="1"/>
  <c r="Q43" i="1"/>
  <c r="E9" i="1"/>
  <c r="E68" i="1"/>
  <c r="Q13" i="1"/>
  <c r="I5" i="1"/>
  <c r="X73" i="9"/>
  <c r="X74" i="9"/>
  <c r="C59" i="1" s="1"/>
  <c r="C42" i="1" l="1"/>
  <c r="C55" i="1"/>
  <c r="C26" i="1"/>
  <c r="C50" i="1"/>
  <c r="Q56" i="1"/>
  <c r="C3" i="1"/>
  <c r="W4" i="5"/>
  <c r="D6" i="8" l="1"/>
  <c r="E6" i="8"/>
  <c r="F6" i="8"/>
  <c r="G6" i="8"/>
  <c r="H6" i="8"/>
  <c r="I6" i="8"/>
  <c r="J6" i="8"/>
  <c r="K6" i="8"/>
  <c r="D7" i="8"/>
  <c r="E7" i="8"/>
  <c r="F7" i="8"/>
  <c r="G7" i="8"/>
  <c r="H7" i="8"/>
  <c r="I7" i="8"/>
  <c r="J7" i="8"/>
  <c r="K7" i="8"/>
  <c r="D8" i="8"/>
  <c r="E8" i="8"/>
  <c r="F8" i="8"/>
  <c r="G8" i="8"/>
  <c r="H8" i="8"/>
  <c r="I8" i="8"/>
  <c r="J8" i="8"/>
  <c r="K8" i="8"/>
  <c r="D9" i="8"/>
  <c r="E9" i="8"/>
  <c r="F9" i="8"/>
  <c r="G9" i="8"/>
  <c r="H9" i="8"/>
  <c r="I9" i="8"/>
  <c r="J9" i="8"/>
  <c r="K9" i="8"/>
  <c r="D10" i="8"/>
  <c r="E10" i="8"/>
  <c r="F10" i="8"/>
  <c r="G10" i="8"/>
  <c r="H10" i="8"/>
  <c r="I10" i="8"/>
  <c r="J10" i="8"/>
  <c r="K10" i="8"/>
  <c r="D11" i="8"/>
  <c r="E11" i="8"/>
  <c r="F11" i="8"/>
  <c r="G11" i="8"/>
  <c r="H11" i="8"/>
  <c r="I11" i="8"/>
  <c r="J11" i="8"/>
  <c r="K11" i="8"/>
  <c r="D12" i="8"/>
  <c r="E12" i="8"/>
  <c r="F12" i="8"/>
  <c r="G12" i="8"/>
  <c r="H12" i="8"/>
  <c r="I12" i="8"/>
  <c r="J12" i="8"/>
  <c r="K12" i="8"/>
  <c r="D13" i="8"/>
  <c r="E13" i="8"/>
  <c r="F13" i="8"/>
  <c r="G13" i="8"/>
  <c r="H13" i="8"/>
  <c r="I13" i="8"/>
  <c r="J13" i="8"/>
  <c r="K13" i="8"/>
  <c r="D14" i="8"/>
  <c r="E14" i="8"/>
  <c r="F14" i="8"/>
  <c r="G14" i="8"/>
  <c r="H14" i="8"/>
  <c r="I14" i="8"/>
  <c r="J14" i="8"/>
  <c r="K14" i="8"/>
  <c r="D15" i="8"/>
  <c r="E15" i="8"/>
  <c r="F15" i="8"/>
  <c r="G15" i="8"/>
  <c r="H15" i="8"/>
  <c r="I15" i="8"/>
  <c r="J15" i="8"/>
  <c r="K15" i="8"/>
  <c r="D16" i="8"/>
  <c r="E16" i="8"/>
  <c r="F16" i="8"/>
  <c r="G16" i="8"/>
  <c r="H16" i="8"/>
  <c r="I16" i="8"/>
  <c r="J16" i="8"/>
  <c r="K16" i="8"/>
  <c r="D17" i="8"/>
  <c r="E17" i="8"/>
  <c r="F17" i="8"/>
  <c r="G17" i="8"/>
  <c r="H17" i="8"/>
  <c r="I17" i="8"/>
  <c r="J17" i="8"/>
  <c r="K17" i="8"/>
  <c r="D18" i="8"/>
  <c r="E18" i="8"/>
  <c r="F18" i="8"/>
  <c r="G18" i="8"/>
  <c r="H18" i="8"/>
  <c r="I18" i="8"/>
  <c r="J18" i="8"/>
  <c r="K18" i="8"/>
  <c r="D19" i="8"/>
  <c r="E19" i="8"/>
  <c r="F19" i="8"/>
  <c r="G19" i="8"/>
  <c r="H19" i="8"/>
  <c r="I19" i="8"/>
  <c r="J19" i="8"/>
  <c r="K19" i="8"/>
  <c r="D20" i="8"/>
  <c r="E20" i="8"/>
  <c r="F20" i="8"/>
  <c r="G20" i="8"/>
  <c r="H20" i="8"/>
  <c r="I20" i="8"/>
  <c r="J20" i="8"/>
  <c r="K20" i="8"/>
  <c r="D21" i="8"/>
  <c r="E21" i="8"/>
  <c r="F21" i="8"/>
  <c r="G21" i="8"/>
  <c r="H21" i="8"/>
  <c r="I21" i="8"/>
  <c r="J21" i="8"/>
  <c r="K21" i="8"/>
  <c r="D22" i="8"/>
  <c r="E22" i="8"/>
  <c r="F22" i="8"/>
  <c r="G22" i="8"/>
  <c r="H22" i="8"/>
  <c r="I22" i="8"/>
  <c r="J22" i="8"/>
  <c r="K22" i="8"/>
  <c r="D23" i="8"/>
  <c r="E23" i="8"/>
  <c r="F23" i="8"/>
  <c r="G23" i="8"/>
  <c r="H23" i="8"/>
  <c r="I23" i="8"/>
  <c r="J23" i="8"/>
  <c r="K23" i="8"/>
  <c r="D24" i="8"/>
  <c r="E24" i="8"/>
  <c r="F24" i="8"/>
  <c r="G24" i="8"/>
  <c r="H24" i="8"/>
  <c r="I24" i="8"/>
  <c r="J24" i="8"/>
  <c r="K24" i="8"/>
  <c r="D25" i="8"/>
  <c r="E25" i="8"/>
  <c r="F25" i="8"/>
  <c r="G25" i="8"/>
  <c r="H25" i="8"/>
  <c r="I25" i="8"/>
  <c r="J25" i="8"/>
  <c r="K25" i="8"/>
  <c r="D26" i="8"/>
  <c r="E26" i="8"/>
  <c r="F26" i="8"/>
  <c r="G26" i="8"/>
  <c r="H26" i="8"/>
  <c r="I26" i="8"/>
  <c r="J26" i="8"/>
  <c r="K26" i="8"/>
  <c r="D27" i="8"/>
  <c r="E27" i="8"/>
  <c r="F27" i="8"/>
  <c r="G27" i="8"/>
  <c r="H27" i="8"/>
  <c r="I27" i="8"/>
  <c r="J27" i="8"/>
  <c r="K27" i="8"/>
  <c r="D28" i="8"/>
  <c r="E28" i="8"/>
  <c r="F28" i="8"/>
  <c r="G28" i="8"/>
  <c r="H28" i="8"/>
  <c r="I28" i="8"/>
  <c r="J28" i="8"/>
  <c r="K28" i="8"/>
  <c r="D29" i="8"/>
  <c r="E29" i="8"/>
  <c r="F29" i="8"/>
  <c r="G29" i="8"/>
  <c r="H29" i="8"/>
  <c r="I29" i="8"/>
  <c r="J29" i="8"/>
  <c r="K29" i="8"/>
  <c r="D30" i="8"/>
  <c r="E30" i="8"/>
  <c r="F30" i="8"/>
  <c r="G30" i="8"/>
  <c r="H30" i="8"/>
  <c r="I30" i="8"/>
  <c r="J30" i="8"/>
  <c r="K30" i="8"/>
  <c r="D31" i="8"/>
  <c r="E31" i="8"/>
  <c r="F31" i="8"/>
  <c r="G31" i="8"/>
  <c r="H31" i="8"/>
  <c r="I31" i="8"/>
  <c r="J31" i="8"/>
  <c r="K31" i="8"/>
  <c r="D32" i="8"/>
  <c r="E32" i="8"/>
  <c r="F32" i="8"/>
  <c r="G32" i="8"/>
  <c r="H32" i="8"/>
  <c r="I32" i="8"/>
  <c r="J32" i="8"/>
  <c r="K32" i="8"/>
  <c r="D33" i="8"/>
  <c r="E33" i="8"/>
  <c r="F33" i="8"/>
  <c r="G33" i="8"/>
  <c r="H33" i="8"/>
  <c r="I33" i="8"/>
  <c r="J33" i="8"/>
  <c r="K33" i="8"/>
  <c r="D34" i="8"/>
  <c r="E34" i="8"/>
  <c r="F34" i="8"/>
  <c r="G34" i="8"/>
  <c r="H34" i="8"/>
  <c r="I34" i="8"/>
  <c r="J34" i="8"/>
  <c r="K34" i="8"/>
  <c r="D35" i="8"/>
  <c r="E35" i="8"/>
  <c r="F35" i="8"/>
  <c r="G35" i="8"/>
  <c r="H35" i="8"/>
  <c r="I35" i="8"/>
  <c r="J35" i="8"/>
  <c r="K35" i="8"/>
  <c r="D36" i="8"/>
  <c r="E36" i="8"/>
  <c r="F36" i="8"/>
  <c r="G36" i="8"/>
  <c r="H36" i="8"/>
  <c r="I36" i="8"/>
  <c r="J36" i="8"/>
  <c r="K36" i="8"/>
  <c r="D37" i="8"/>
  <c r="E37" i="8"/>
  <c r="F37" i="8"/>
  <c r="G37" i="8"/>
  <c r="H37" i="8"/>
  <c r="I37" i="8"/>
  <c r="J37" i="8"/>
  <c r="K37" i="8"/>
  <c r="D38" i="8"/>
  <c r="E38" i="8"/>
  <c r="F38" i="8"/>
  <c r="G38" i="8"/>
  <c r="H38" i="8"/>
  <c r="I38" i="8"/>
  <c r="J38" i="8"/>
  <c r="K38" i="8"/>
  <c r="D39" i="8"/>
  <c r="E39" i="8"/>
  <c r="F39" i="8"/>
  <c r="G39" i="8"/>
  <c r="H39" i="8"/>
  <c r="I39" i="8"/>
  <c r="J39" i="8"/>
  <c r="K39" i="8"/>
  <c r="D40" i="8"/>
  <c r="E40" i="8"/>
  <c r="F40" i="8"/>
  <c r="G40" i="8"/>
  <c r="H40" i="8"/>
  <c r="I40" i="8"/>
  <c r="J40" i="8"/>
  <c r="K40" i="8"/>
  <c r="D41" i="8"/>
  <c r="E41" i="8"/>
  <c r="F41" i="8"/>
  <c r="G41" i="8"/>
  <c r="H41" i="8"/>
  <c r="I41" i="8"/>
  <c r="J41" i="8"/>
  <c r="K41" i="8"/>
  <c r="D42" i="8"/>
  <c r="E42" i="8"/>
  <c r="F42" i="8"/>
  <c r="G42" i="8"/>
  <c r="H42" i="8"/>
  <c r="I42" i="8"/>
  <c r="J42" i="8"/>
  <c r="K42" i="8"/>
  <c r="D43" i="8"/>
  <c r="E43" i="8"/>
  <c r="F43" i="8"/>
  <c r="G43" i="8"/>
  <c r="H43" i="8"/>
  <c r="I43" i="8"/>
  <c r="J43" i="8"/>
  <c r="K43" i="8"/>
  <c r="D44" i="8"/>
  <c r="E44" i="8"/>
  <c r="F44" i="8"/>
  <c r="G44" i="8"/>
  <c r="H44" i="8"/>
  <c r="I44" i="8"/>
  <c r="J44" i="8"/>
  <c r="K44" i="8"/>
  <c r="D45" i="8"/>
  <c r="E45" i="8"/>
  <c r="F45" i="8"/>
  <c r="G45" i="8"/>
  <c r="H45" i="8"/>
  <c r="I45" i="8"/>
  <c r="J45" i="8"/>
  <c r="K45" i="8"/>
  <c r="D46" i="8"/>
  <c r="E46" i="8"/>
  <c r="F46" i="8"/>
  <c r="G46" i="8"/>
  <c r="H46" i="8"/>
  <c r="I46" i="8"/>
  <c r="J46" i="8"/>
  <c r="K46" i="8"/>
  <c r="D47" i="8"/>
  <c r="E47" i="8"/>
  <c r="F47" i="8"/>
  <c r="G47" i="8"/>
  <c r="H47" i="8"/>
  <c r="I47" i="8"/>
  <c r="J47" i="8"/>
  <c r="K47" i="8"/>
  <c r="D48" i="8"/>
  <c r="E48" i="8"/>
  <c r="F48" i="8"/>
  <c r="G48" i="8"/>
  <c r="H48" i="8"/>
  <c r="I48" i="8"/>
  <c r="J48" i="8"/>
  <c r="K48" i="8"/>
  <c r="D49" i="8"/>
  <c r="E49" i="8"/>
  <c r="F49" i="8"/>
  <c r="G49" i="8"/>
  <c r="H49" i="8"/>
  <c r="I49" i="8"/>
  <c r="J49" i="8"/>
  <c r="K49" i="8"/>
  <c r="D50" i="8"/>
  <c r="E50" i="8"/>
  <c r="F50" i="8"/>
  <c r="G50" i="8"/>
  <c r="H50" i="8"/>
  <c r="I50" i="8"/>
  <c r="J50" i="8"/>
  <c r="K50" i="8"/>
  <c r="D51" i="8"/>
  <c r="E51" i="8"/>
  <c r="F51" i="8"/>
  <c r="G51" i="8"/>
  <c r="H51" i="8"/>
  <c r="I51" i="8"/>
  <c r="J51" i="8"/>
  <c r="K51" i="8"/>
  <c r="D52" i="8"/>
  <c r="E52" i="8"/>
  <c r="F52" i="8"/>
  <c r="G52" i="8"/>
  <c r="H52" i="8"/>
  <c r="I52" i="8"/>
  <c r="J52" i="8"/>
  <c r="K52" i="8"/>
  <c r="D53" i="8"/>
  <c r="E53" i="8"/>
  <c r="F53" i="8"/>
  <c r="G53" i="8"/>
  <c r="H53" i="8"/>
  <c r="I53" i="8"/>
  <c r="J53" i="8"/>
  <c r="K53" i="8"/>
  <c r="K5" i="8"/>
  <c r="J5" i="8"/>
  <c r="I5" i="8"/>
  <c r="H5" i="8"/>
  <c r="G5" i="8"/>
  <c r="F5" i="8"/>
  <c r="E5" i="8"/>
  <c r="D5" i="8"/>
  <c r="O3" i="2"/>
  <c r="M178" i="2" l="1"/>
  <c r="K166" i="2" l="1"/>
  <c r="M156" i="2"/>
  <c r="S5" i="6" l="1"/>
  <c r="S10" i="6"/>
  <c r="S24" i="6"/>
  <c r="S96" i="6"/>
  <c r="S97" i="6"/>
  <c r="S98" i="6"/>
  <c r="S99" i="6"/>
  <c r="S100" i="6"/>
  <c r="S101" i="6"/>
  <c r="S102" i="6"/>
  <c r="S103" i="6"/>
  <c r="S105" i="6"/>
  <c r="S107" i="6"/>
  <c r="S108" i="6"/>
  <c r="S109" i="6"/>
  <c r="S110" i="6"/>
  <c r="S112" i="6"/>
  <c r="S114" i="6"/>
  <c r="S115" i="6"/>
  <c r="S122" i="6"/>
  <c r="S123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W478" i="6"/>
  <c r="Q478" i="6"/>
  <c r="R478" i="6" s="1"/>
  <c r="O478" i="6"/>
  <c r="P478" i="6" s="1"/>
  <c r="M478" i="6"/>
  <c r="N478" i="6" s="1"/>
  <c r="K478" i="6"/>
  <c r="L478" i="6" s="1"/>
  <c r="W477" i="6"/>
  <c r="Q477" i="6"/>
  <c r="R477" i="6" s="1"/>
  <c r="O477" i="6"/>
  <c r="P477" i="6" s="1"/>
  <c r="M477" i="6"/>
  <c r="N477" i="6" s="1"/>
  <c r="K477" i="6"/>
  <c r="L477" i="6" s="1"/>
  <c r="W476" i="6"/>
  <c r="Q476" i="6"/>
  <c r="R476" i="6" s="1"/>
  <c r="O476" i="6"/>
  <c r="P476" i="6" s="1"/>
  <c r="M476" i="6"/>
  <c r="N476" i="6" s="1"/>
  <c r="K476" i="6"/>
  <c r="L476" i="6" s="1"/>
  <c r="W475" i="6"/>
  <c r="Q475" i="6"/>
  <c r="R475" i="6" s="1"/>
  <c r="O475" i="6"/>
  <c r="P475" i="6" s="1"/>
  <c r="M475" i="6"/>
  <c r="N475" i="6" s="1"/>
  <c r="K475" i="6"/>
  <c r="L475" i="6" s="1"/>
  <c r="W474" i="6"/>
  <c r="Q474" i="6"/>
  <c r="R474" i="6" s="1"/>
  <c r="O474" i="6"/>
  <c r="P474" i="6" s="1"/>
  <c r="M474" i="6"/>
  <c r="N474" i="6" s="1"/>
  <c r="K474" i="6"/>
  <c r="L474" i="6" s="1"/>
  <c r="W473" i="6"/>
  <c r="Q473" i="6"/>
  <c r="R473" i="6" s="1"/>
  <c r="O473" i="6"/>
  <c r="P473" i="6" s="1"/>
  <c r="M473" i="6"/>
  <c r="N473" i="6" s="1"/>
  <c r="K473" i="6"/>
  <c r="L473" i="6" s="1"/>
  <c r="W472" i="6"/>
  <c r="Q472" i="6"/>
  <c r="R472" i="6" s="1"/>
  <c r="O472" i="6"/>
  <c r="P472" i="6" s="1"/>
  <c r="M472" i="6"/>
  <c r="N472" i="6" s="1"/>
  <c r="K472" i="6"/>
  <c r="L472" i="6" s="1"/>
  <c r="W471" i="6"/>
  <c r="Q471" i="6"/>
  <c r="R471" i="6" s="1"/>
  <c r="O471" i="6"/>
  <c r="P471" i="6" s="1"/>
  <c r="M471" i="6"/>
  <c r="N471" i="6" s="1"/>
  <c r="K471" i="6"/>
  <c r="L471" i="6" s="1"/>
  <c r="W470" i="6"/>
  <c r="Q470" i="6"/>
  <c r="R470" i="6" s="1"/>
  <c r="O470" i="6"/>
  <c r="P470" i="6" s="1"/>
  <c r="M470" i="6"/>
  <c r="N470" i="6" s="1"/>
  <c r="K470" i="6"/>
  <c r="L470" i="6" s="1"/>
  <c r="W469" i="6"/>
  <c r="Q469" i="6"/>
  <c r="R469" i="6" s="1"/>
  <c r="O469" i="6"/>
  <c r="P469" i="6" s="1"/>
  <c r="M469" i="6"/>
  <c r="N469" i="6" s="1"/>
  <c r="K469" i="6"/>
  <c r="L469" i="6" s="1"/>
  <c r="W468" i="6"/>
  <c r="Q468" i="6"/>
  <c r="R468" i="6" s="1"/>
  <c r="O468" i="6"/>
  <c r="P468" i="6" s="1"/>
  <c r="M468" i="6"/>
  <c r="N468" i="6" s="1"/>
  <c r="K468" i="6"/>
  <c r="L468" i="6" s="1"/>
  <c r="W467" i="6"/>
  <c r="Q467" i="6"/>
  <c r="R467" i="6" s="1"/>
  <c r="O467" i="6"/>
  <c r="P467" i="6" s="1"/>
  <c r="M467" i="6"/>
  <c r="N467" i="6" s="1"/>
  <c r="K467" i="6"/>
  <c r="L467" i="6" s="1"/>
  <c r="W466" i="6"/>
  <c r="Q466" i="6"/>
  <c r="R466" i="6" s="1"/>
  <c r="O466" i="6"/>
  <c r="P466" i="6" s="1"/>
  <c r="M466" i="6"/>
  <c r="N466" i="6" s="1"/>
  <c r="K466" i="6"/>
  <c r="L466" i="6" s="1"/>
  <c r="W465" i="6"/>
  <c r="Q465" i="6"/>
  <c r="R465" i="6" s="1"/>
  <c r="O465" i="6"/>
  <c r="P465" i="6" s="1"/>
  <c r="M465" i="6"/>
  <c r="N465" i="6" s="1"/>
  <c r="K465" i="6"/>
  <c r="L465" i="6" s="1"/>
  <c r="W464" i="6"/>
  <c r="Q464" i="6"/>
  <c r="R464" i="6" s="1"/>
  <c r="O464" i="6"/>
  <c r="P464" i="6" s="1"/>
  <c r="M464" i="6"/>
  <c r="N464" i="6" s="1"/>
  <c r="K464" i="6"/>
  <c r="L464" i="6" s="1"/>
  <c r="W463" i="6"/>
  <c r="Q463" i="6"/>
  <c r="R463" i="6" s="1"/>
  <c r="O463" i="6"/>
  <c r="P463" i="6" s="1"/>
  <c r="M463" i="6"/>
  <c r="N463" i="6" s="1"/>
  <c r="K463" i="6"/>
  <c r="L463" i="6" s="1"/>
  <c r="W462" i="6"/>
  <c r="Q462" i="6"/>
  <c r="R462" i="6" s="1"/>
  <c r="O462" i="6"/>
  <c r="P462" i="6" s="1"/>
  <c r="M462" i="6"/>
  <c r="N462" i="6" s="1"/>
  <c r="K462" i="6"/>
  <c r="L462" i="6" s="1"/>
  <c r="W461" i="6"/>
  <c r="Q461" i="6"/>
  <c r="R461" i="6" s="1"/>
  <c r="O461" i="6"/>
  <c r="P461" i="6" s="1"/>
  <c r="M461" i="6"/>
  <c r="N461" i="6" s="1"/>
  <c r="K461" i="6"/>
  <c r="L461" i="6" s="1"/>
  <c r="W460" i="6"/>
  <c r="Q460" i="6"/>
  <c r="R460" i="6" s="1"/>
  <c r="O460" i="6"/>
  <c r="P460" i="6" s="1"/>
  <c r="M460" i="6"/>
  <c r="N460" i="6" s="1"/>
  <c r="K460" i="6"/>
  <c r="L460" i="6" s="1"/>
  <c r="W459" i="6"/>
  <c r="Q459" i="6"/>
  <c r="R459" i="6" s="1"/>
  <c r="O459" i="6"/>
  <c r="P459" i="6" s="1"/>
  <c r="M459" i="6"/>
  <c r="N459" i="6" s="1"/>
  <c r="K459" i="6"/>
  <c r="L459" i="6" s="1"/>
  <c r="W458" i="6"/>
  <c r="Q458" i="6"/>
  <c r="R458" i="6" s="1"/>
  <c r="O458" i="6"/>
  <c r="P458" i="6" s="1"/>
  <c r="M458" i="6"/>
  <c r="N458" i="6" s="1"/>
  <c r="K458" i="6"/>
  <c r="L458" i="6" s="1"/>
  <c r="W457" i="6"/>
  <c r="Q457" i="6"/>
  <c r="R457" i="6" s="1"/>
  <c r="O457" i="6"/>
  <c r="P457" i="6" s="1"/>
  <c r="M457" i="6"/>
  <c r="N457" i="6" s="1"/>
  <c r="K457" i="6"/>
  <c r="L457" i="6" s="1"/>
  <c r="W456" i="6"/>
  <c r="Q456" i="6"/>
  <c r="R456" i="6" s="1"/>
  <c r="O456" i="6"/>
  <c r="P456" i="6" s="1"/>
  <c r="M456" i="6"/>
  <c r="N456" i="6" s="1"/>
  <c r="K456" i="6"/>
  <c r="L456" i="6" s="1"/>
  <c r="W455" i="6"/>
  <c r="Q455" i="6"/>
  <c r="R455" i="6" s="1"/>
  <c r="O455" i="6"/>
  <c r="P455" i="6" s="1"/>
  <c r="M455" i="6"/>
  <c r="N455" i="6" s="1"/>
  <c r="K455" i="6"/>
  <c r="L455" i="6" s="1"/>
  <c r="W454" i="6"/>
  <c r="Q454" i="6"/>
  <c r="R454" i="6" s="1"/>
  <c r="O454" i="6"/>
  <c r="P454" i="6" s="1"/>
  <c r="M454" i="6"/>
  <c r="N454" i="6" s="1"/>
  <c r="K454" i="6"/>
  <c r="L454" i="6" s="1"/>
  <c r="W453" i="6"/>
  <c r="Q453" i="6"/>
  <c r="R453" i="6" s="1"/>
  <c r="O453" i="6"/>
  <c r="P453" i="6" s="1"/>
  <c r="M453" i="6"/>
  <c r="N453" i="6" s="1"/>
  <c r="K453" i="6"/>
  <c r="L453" i="6" s="1"/>
  <c r="W452" i="6"/>
  <c r="Q452" i="6"/>
  <c r="R452" i="6" s="1"/>
  <c r="O452" i="6"/>
  <c r="P452" i="6" s="1"/>
  <c r="M452" i="6"/>
  <c r="N452" i="6" s="1"/>
  <c r="K452" i="6"/>
  <c r="L452" i="6" s="1"/>
  <c r="W451" i="6"/>
  <c r="Q451" i="6"/>
  <c r="R451" i="6" s="1"/>
  <c r="O451" i="6"/>
  <c r="P451" i="6" s="1"/>
  <c r="M451" i="6"/>
  <c r="N451" i="6" s="1"/>
  <c r="K451" i="6"/>
  <c r="L451" i="6" s="1"/>
  <c r="W450" i="6"/>
  <c r="Q450" i="6"/>
  <c r="R450" i="6" s="1"/>
  <c r="O450" i="6"/>
  <c r="P450" i="6" s="1"/>
  <c r="M450" i="6"/>
  <c r="N450" i="6" s="1"/>
  <c r="K450" i="6"/>
  <c r="L450" i="6" s="1"/>
  <c r="W449" i="6"/>
  <c r="Q449" i="6"/>
  <c r="R449" i="6" s="1"/>
  <c r="O449" i="6"/>
  <c r="P449" i="6" s="1"/>
  <c r="M449" i="6"/>
  <c r="N449" i="6" s="1"/>
  <c r="K449" i="6"/>
  <c r="L449" i="6" s="1"/>
  <c r="W448" i="6"/>
  <c r="Q448" i="6"/>
  <c r="R448" i="6" s="1"/>
  <c r="O448" i="6"/>
  <c r="P448" i="6" s="1"/>
  <c r="M448" i="6"/>
  <c r="N448" i="6" s="1"/>
  <c r="K448" i="6"/>
  <c r="L448" i="6" s="1"/>
  <c r="W447" i="6"/>
  <c r="Q447" i="6"/>
  <c r="R447" i="6" s="1"/>
  <c r="O447" i="6"/>
  <c r="P447" i="6" s="1"/>
  <c r="M447" i="6"/>
  <c r="N447" i="6" s="1"/>
  <c r="K447" i="6"/>
  <c r="L447" i="6" s="1"/>
  <c r="W446" i="6"/>
  <c r="Q446" i="6"/>
  <c r="R446" i="6" s="1"/>
  <c r="O446" i="6"/>
  <c r="P446" i="6" s="1"/>
  <c r="M446" i="6"/>
  <c r="N446" i="6" s="1"/>
  <c r="K446" i="6"/>
  <c r="L446" i="6" s="1"/>
  <c r="W445" i="6"/>
  <c r="Q445" i="6"/>
  <c r="R445" i="6" s="1"/>
  <c r="O445" i="6"/>
  <c r="P445" i="6" s="1"/>
  <c r="M445" i="6"/>
  <c r="N445" i="6" s="1"/>
  <c r="K445" i="6"/>
  <c r="L445" i="6" s="1"/>
  <c r="W444" i="6"/>
  <c r="Q444" i="6"/>
  <c r="R444" i="6" s="1"/>
  <c r="O444" i="6"/>
  <c r="P444" i="6" s="1"/>
  <c r="M444" i="6"/>
  <c r="N444" i="6" s="1"/>
  <c r="K444" i="6"/>
  <c r="L444" i="6" s="1"/>
  <c r="W443" i="6"/>
  <c r="Q443" i="6"/>
  <c r="R443" i="6" s="1"/>
  <c r="O443" i="6"/>
  <c r="P443" i="6" s="1"/>
  <c r="M443" i="6"/>
  <c r="N443" i="6" s="1"/>
  <c r="K443" i="6"/>
  <c r="L443" i="6" s="1"/>
  <c r="W442" i="6"/>
  <c r="Q442" i="6"/>
  <c r="R442" i="6" s="1"/>
  <c r="O442" i="6"/>
  <c r="P442" i="6" s="1"/>
  <c r="M442" i="6"/>
  <c r="N442" i="6" s="1"/>
  <c r="K442" i="6"/>
  <c r="L442" i="6" s="1"/>
  <c r="W441" i="6"/>
  <c r="Q441" i="6"/>
  <c r="R441" i="6" s="1"/>
  <c r="O441" i="6"/>
  <c r="P441" i="6" s="1"/>
  <c r="M441" i="6"/>
  <c r="N441" i="6" s="1"/>
  <c r="K441" i="6"/>
  <c r="L441" i="6" s="1"/>
  <c r="W440" i="6"/>
  <c r="Q440" i="6"/>
  <c r="R440" i="6" s="1"/>
  <c r="O440" i="6"/>
  <c r="P440" i="6" s="1"/>
  <c r="M440" i="6"/>
  <c r="N440" i="6" s="1"/>
  <c r="K440" i="6"/>
  <c r="L440" i="6" s="1"/>
  <c r="W439" i="6"/>
  <c r="Q439" i="6"/>
  <c r="R439" i="6" s="1"/>
  <c r="O439" i="6"/>
  <c r="P439" i="6" s="1"/>
  <c r="M439" i="6"/>
  <c r="N439" i="6" s="1"/>
  <c r="K439" i="6"/>
  <c r="L439" i="6" s="1"/>
  <c r="W438" i="6"/>
  <c r="Q438" i="6"/>
  <c r="R438" i="6" s="1"/>
  <c r="O438" i="6"/>
  <c r="P438" i="6" s="1"/>
  <c r="M438" i="6"/>
  <c r="N438" i="6" s="1"/>
  <c r="K438" i="6"/>
  <c r="L438" i="6" s="1"/>
  <c r="W437" i="6"/>
  <c r="Q437" i="6"/>
  <c r="R437" i="6" s="1"/>
  <c r="O437" i="6"/>
  <c r="P437" i="6" s="1"/>
  <c r="M437" i="6"/>
  <c r="N437" i="6" s="1"/>
  <c r="K437" i="6"/>
  <c r="L437" i="6" s="1"/>
  <c r="W436" i="6"/>
  <c r="Q436" i="6"/>
  <c r="R436" i="6" s="1"/>
  <c r="O436" i="6"/>
  <c r="P436" i="6" s="1"/>
  <c r="M436" i="6"/>
  <c r="N436" i="6" s="1"/>
  <c r="K436" i="6"/>
  <c r="L436" i="6" s="1"/>
  <c r="W435" i="6"/>
  <c r="Q435" i="6"/>
  <c r="R435" i="6" s="1"/>
  <c r="O435" i="6"/>
  <c r="P435" i="6" s="1"/>
  <c r="M435" i="6"/>
  <c r="N435" i="6" s="1"/>
  <c r="K435" i="6"/>
  <c r="L435" i="6" s="1"/>
  <c r="W434" i="6"/>
  <c r="Q434" i="6"/>
  <c r="R434" i="6" s="1"/>
  <c r="O434" i="6"/>
  <c r="P434" i="6" s="1"/>
  <c r="M434" i="6"/>
  <c r="N434" i="6" s="1"/>
  <c r="K434" i="6"/>
  <c r="L434" i="6" s="1"/>
  <c r="W433" i="6"/>
  <c r="Q433" i="6"/>
  <c r="R433" i="6" s="1"/>
  <c r="O433" i="6"/>
  <c r="P433" i="6" s="1"/>
  <c r="M433" i="6"/>
  <c r="N433" i="6" s="1"/>
  <c r="K433" i="6"/>
  <c r="L433" i="6" s="1"/>
  <c r="W432" i="6"/>
  <c r="Q432" i="6"/>
  <c r="R432" i="6" s="1"/>
  <c r="O432" i="6"/>
  <c r="P432" i="6" s="1"/>
  <c r="M432" i="6"/>
  <c r="N432" i="6" s="1"/>
  <c r="K432" i="6"/>
  <c r="L432" i="6" s="1"/>
  <c r="W431" i="6"/>
  <c r="Q431" i="6"/>
  <c r="R431" i="6" s="1"/>
  <c r="O431" i="6"/>
  <c r="P431" i="6" s="1"/>
  <c r="M431" i="6"/>
  <c r="N431" i="6" s="1"/>
  <c r="K431" i="6"/>
  <c r="L431" i="6" s="1"/>
  <c r="W430" i="6"/>
  <c r="Q430" i="6"/>
  <c r="R430" i="6" s="1"/>
  <c r="O430" i="6"/>
  <c r="P430" i="6" s="1"/>
  <c r="M430" i="6"/>
  <c r="N430" i="6" s="1"/>
  <c r="K430" i="6"/>
  <c r="L430" i="6" s="1"/>
  <c r="W429" i="6"/>
  <c r="Q429" i="6"/>
  <c r="R429" i="6" s="1"/>
  <c r="O429" i="6"/>
  <c r="P429" i="6" s="1"/>
  <c r="M429" i="6"/>
  <c r="N429" i="6" s="1"/>
  <c r="K429" i="6"/>
  <c r="L429" i="6" s="1"/>
  <c r="W428" i="6"/>
  <c r="Q428" i="6"/>
  <c r="R428" i="6" s="1"/>
  <c r="O428" i="6"/>
  <c r="P428" i="6" s="1"/>
  <c r="M428" i="6"/>
  <c r="N428" i="6" s="1"/>
  <c r="K428" i="6"/>
  <c r="L428" i="6" s="1"/>
  <c r="W427" i="6"/>
  <c r="Q427" i="6"/>
  <c r="R427" i="6" s="1"/>
  <c r="O427" i="6"/>
  <c r="P427" i="6" s="1"/>
  <c r="M427" i="6"/>
  <c r="N427" i="6" s="1"/>
  <c r="K427" i="6"/>
  <c r="L427" i="6" s="1"/>
  <c r="W426" i="6"/>
  <c r="Q426" i="6"/>
  <c r="R426" i="6" s="1"/>
  <c r="O426" i="6"/>
  <c r="P426" i="6" s="1"/>
  <c r="M426" i="6"/>
  <c r="N426" i="6" s="1"/>
  <c r="K426" i="6"/>
  <c r="L426" i="6" s="1"/>
  <c r="W425" i="6"/>
  <c r="Q425" i="6"/>
  <c r="R425" i="6" s="1"/>
  <c r="O425" i="6"/>
  <c r="P425" i="6" s="1"/>
  <c r="M425" i="6"/>
  <c r="N425" i="6" s="1"/>
  <c r="K425" i="6"/>
  <c r="L425" i="6" s="1"/>
  <c r="W424" i="6"/>
  <c r="Q424" i="6"/>
  <c r="R424" i="6" s="1"/>
  <c r="O424" i="6"/>
  <c r="P424" i="6" s="1"/>
  <c r="M424" i="6"/>
  <c r="N424" i="6" s="1"/>
  <c r="K424" i="6"/>
  <c r="L424" i="6" s="1"/>
  <c r="W423" i="6"/>
  <c r="Q423" i="6"/>
  <c r="R423" i="6" s="1"/>
  <c r="O423" i="6"/>
  <c r="P423" i="6" s="1"/>
  <c r="M423" i="6"/>
  <c r="N423" i="6" s="1"/>
  <c r="K423" i="6"/>
  <c r="L423" i="6" s="1"/>
  <c r="W422" i="6"/>
  <c r="Q422" i="6"/>
  <c r="R422" i="6" s="1"/>
  <c r="O422" i="6"/>
  <c r="P422" i="6" s="1"/>
  <c r="M422" i="6"/>
  <c r="N422" i="6" s="1"/>
  <c r="K422" i="6"/>
  <c r="L422" i="6" s="1"/>
  <c r="W421" i="6"/>
  <c r="Q421" i="6"/>
  <c r="R421" i="6" s="1"/>
  <c r="O421" i="6"/>
  <c r="P421" i="6" s="1"/>
  <c r="M421" i="6"/>
  <c r="N421" i="6" s="1"/>
  <c r="K421" i="6"/>
  <c r="L421" i="6" s="1"/>
  <c r="W420" i="6"/>
  <c r="Q420" i="6"/>
  <c r="R420" i="6" s="1"/>
  <c r="O420" i="6"/>
  <c r="P420" i="6" s="1"/>
  <c r="M420" i="6"/>
  <c r="N420" i="6" s="1"/>
  <c r="K420" i="6"/>
  <c r="L420" i="6" s="1"/>
  <c r="W419" i="6"/>
  <c r="Q419" i="6"/>
  <c r="R419" i="6" s="1"/>
  <c r="O419" i="6"/>
  <c r="P419" i="6" s="1"/>
  <c r="M419" i="6"/>
  <c r="N419" i="6" s="1"/>
  <c r="K419" i="6"/>
  <c r="L419" i="6" s="1"/>
  <c r="W418" i="6"/>
  <c r="Q418" i="6"/>
  <c r="R418" i="6" s="1"/>
  <c r="O418" i="6"/>
  <c r="P418" i="6" s="1"/>
  <c r="M418" i="6"/>
  <c r="N418" i="6" s="1"/>
  <c r="L418" i="6"/>
  <c r="W417" i="6"/>
  <c r="Q417" i="6"/>
  <c r="R417" i="6" s="1"/>
  <c r="O417" i="6"/>
  <c r="P417" i="6" s="1"/>
  <c r="M417" i="6"/>
  <c r="N417" i="6" s="1"/>
  <c r="L417" i="6"/>
  <c r="W416" i="6"/>
  <c r="Q416" i="6"/>
  <c r="R416" i="6" s="1"/>
  <c r="O416" i="6"/>
  <c r="P416" i="6" s="1"/>
  <c r="M416" i="6"/>
  <c r="N416" i="6" s="1"/>
  <c r="L416" i="6"/>
  <c r="W415" i="6"/>
  <c r="Q415" i="6"/>
  <c r="R415" i="6" s="1"/>
  <c r="O415" i="6"/>
  <c r="P415" i="6" s="1"/>
  <c r="M415" i="6"/>
  <c r="N415" i="6" s="1"/>
  <c r="L415" i="6"/>
  <c r="W414" i="6"/>
  <c r="Q414" i="6"/>
  <c r="R414" i="6" s="1"/>
  <c r="O414" i="6"/>
  <c r="P414" i="6" s="1"/>
  <c r="M414" i="6"/>
  <c r="N414" i="6" s="1"/>
  <c r="L414" i="6"/>
  <c r="W413" i="6"/>
  <c r="Q413" i="6"/>
  <c r="R413" i="6" s="1"/>
  <c r="O413" i="6"/>
  <c r="P413" i="6" s="1"/>
  <c r="M413" i="6"/>
  <c r="N413" i="6" s="1"/>
  <c r="L413" i="6"/>
  <c r="W412" i="6"/>
  <c r="Q412" i="6"/>
  <c r="R412" i="6" s="1"/>
  <c r="O412" i="6"/>
  <c r="P412" i="6" s="1"/>
  <c r="M412" i="6"/>
  <c r="N412" i="6" s="1"/>
  <c r="L412" i="6"/>
  <c r="W411" i="6"/>
  <c r="Q411" i="6"/>
  <c r="R411" i="6" s="1"/>
  <c r="O411" i="6"/>
  <c r="P411" i="6" s="1"/>
  <c r="M411" i="6"/>
  <c r="N411" i="6" s="1"/>
  <c r="L411" i="6"/>
  <c r="W410" i="6"/>
  <c r="Q410" i="6"/>
  <c r="R410" i="6" s="1"/>
  <c r="O410" i="6"/>
  <c r="P410" i="6" s="1"/>
  <c r="M410" i="6"/>
  <c r="N410" i="6" s="1"/>
  <c r="L410" i="6"/>
  <c r="W409" i="6"/>
  <c r="Q409" i="6"/>
  <c r="R409" i="6" s="1"/>
  <c r="O409" i="6"/>
  <c r="P409" i="6" s="1"/>
  <c r="M409" i="6"/>
  <c r="N409" i="6" s="1"/>
  <c r="L409" i="6"/>
  <c r="W408" i="6"/>
  <c r="Q408" i="6"/>
  <c r="R408" i="6" s="1"/>
  <c r="O408" i="6"/>
  <c r="P408" i="6" s="1"/>
  <c r="M408" i="6"/>
  <c r="N408" i="6" s="1"/>
  <c r="L408" i="6"/>
  <c r="W407" i="6"/>
  <c r="Q407" i="6"/>
  <c r="R407" i="6" s="1"/>
  <c r="O407" i="6"/>
  <c r="P407" i="6" s="1"/>
  <c r="M407" i="6"/>
  <c r="N407" i="6" s="1"/>
  <c r="L407" i="6"/>
  <c r="W406" i="6"/>
  <c r="Q406" i="6"/>
  <c r="R406" i="6" s="1"/>
  <c r="O406" i="6"/>
  <c r="P406" i="6" s="1"/>
  <c r="M406" i="6"/>
  <c r="N406" i="6" s="1"/>
  <c r="L406" i="6"/>
  <c r="W405" i="6"/>
  <c r="Q405" i="6"/>
  <c r="R405" i="6" s="1"/>
  <c r="O405" i="6"/>
  <c r="P405" i="6" s="1"/>
  <c r="M405" i="6"/>
  <c r="N405" i="6" s="1"/>
  <c r="L405" i="6"/>
  <c r="W404" i="6"/>
  <c r="Q404" i="6"/>
  <c r="R404" i="6" s="1"/>
  <c r="O404" i="6"/>
  <c r="P404" i="6" s="1"/>
  <c r="M404" i="6"/>
  <c r="N404" i="6" s="1"/>
  <c r="L404" i="6"/>
  <c r="W403" i="6"/>
  <c r="Q403" i="6"/>
  <c r="R403" i="6" s="1"/>
  <c r="O403" i="6"/>
  <c r="P403" i="6" s="1"/>
  <c r="M403" i="6"/>
  <c r="N403" i="6" s="1"/>
  <c r="L403" i="6"/>
  <c r="W402" i="6"/>
  <c r="Q402" i="6"/>
  <c r="R402" i="6" s="1"/>
  <c r="O402" i="6"/>
  <c r="P402" i="6" s="1"/>
  <c r="M402" i="6"/>
  <c r="N402" i="6" s="1"/>
  <c r="L402" i="6"/>
  <c r="W401" i="6"/>
  <c r="Q401" i="6"/>
  <c r="R401" i="6" s="1"/>
  <c r="O401" i="6"/>
  <c r="P401" i="6" s="1"/>
  <c r="M401" i="6"/>
  <c r="N401" i="6" s="1"/>
  <c r="L401" i="6"/>
  <c r="W400" i="6"/>
  <c r="Q400" i="6"/>
  <c r="R400" i="6" s="1"/>
  <c r="O400" i="6"/>
  <c r="P400" i="6" s="1"/>
  <c r="M400" i="6"/>
  <c r="N400" i="6" s="1"/>
  <c r="L400" i="6"/>
  <c r="W399" i="6"/>
  <c r="Q399" i="6"/>
  <c r="R399" i="6" s="1"/>
  <c r="O399" i="6"/>
  <c r="P399" i="6" s="1"/>
  <c r="M399" i="6"/>
  <c r="N399" i="6" s="1"/>
  <c r="L399" i="6"/>
  <c r="W398" i="6"/>
  <c r="Q398" i="6"/>
  <c r="R398" i="6" s="1"/>
  <c r="O398" i="6"/>
  <c r="P398" i="6" s="1"/>
  <c r="M398" i="6"/>
  <c r="N398" i="6" s="1"/>
  <c r="L398" i="6"/>
  <c r="W397" i="6"/>
  <c r="Q397" i="6"/>
  <c r="R397" i="6" s="1"/>
  <c r="O397" i="6"/>
  <c r="P397" i="6" s="1"/>
  <c r="M397" i="6"/>
  <c r="N397" i="6" s="1"/>
  <c r="L397" i="6"/>
  <c r="W396" i="6"/>
  <c r="Q396" i="6"/>
  <c r="R396" i="6" s="1"/>
  <c r="O396" i="6"/>
  <c r="P396" i="6" s="1"/>
  <c r="M396" i="6"/>
  <c r="N396" i="6" s="1"/>
  <c r="L396" i="6"/>
  <c r="W395" i="6"/>
  <c r="Q395" i="6"/>
  <c r="R395" i="6" s="1"/>
  <c r="O395" i="6"/>
  <c r="P395" i="6" s="1"/>
  <c r="M395" i="6"/>
  <c r="N395" i="6" s="1"/>
  <c r="L395" i="6"/>
  <c r="W394" i="6"/>
  <c r="Q394" i="6"/>
  <c r="R394" i="6" s="1"/>
  <c r="O394" i="6"/>
  <c r="P394" i="6" s="1"/>
  <c r="M394" i="6"/>
  <c r="N394" i="6" s="1"/>
  <c r="L394" i="6"/>
  <c r="W393" i="6"/>
  <c r="Q393" i="6"/>
  <c r="R393" i="6" s="1"/>
  <c r="O393" i="6"/>
  <c r="P393" i="6" s="1"/>
  <c r="M393" i="6"/>
  <c r="N393" i="6" s="1"/>
  <c r="L393" i="6"/>
  <c r="W392" i="6"/>
  <c r="Q392" i="6"/>
  <c r="R392" i="6" s="1"/>
  <c r="O392" i="6"/>
  <c r="P392" i="6" s="1"/>
  <c r="M392" i="6"/>
  <c r="N392" i="6" s="1"/>
  <c r="L392" i="6"/>
  <c r="W391" i="6"/>
  <c r="Q391" i="6"/>
  <c r="R391" i="6" s="1"/>
  <c r="O391" i="6"/>
  <c r="P391" i="6" s="1"/>
  <c r="M391" i="6"/>
  <c r="N391" i="6" s="1"/>
  <c r="L391" i="6"/>
  <c r="W390" i="6"/>
  <c r="Q390" i="6"/>
  <c r="R390" i="6" s="1"/>
  <c r="O390" i="6"/>
  <c r="P390" i="6" s="1"/>
  <c r="M390" i="6"/>
  <c r="N390" i="6" s="1"/>
  <c r="L390" i="6"/>
  <c r="W389" i="6"/>
  <c r="Q389" i="6"/>
  <c r="R389" i="6" s="1"/>
  <c r="O389" i="6"/>
  <c r="P389" i="6" s="1"/>
  <c r="M389" i="6"/>
  <c r="N389" i="6" s="1"/>
  <c r="L389" i="6"/>
  <c r="W388" i="6"/>
  <c r="Q388" i="6"/>
  <c r="R388" i="6" s="1"/>
  <c r="O388" i="6"/>
  <c r="P388" i="6" s="1"/>
  <c r="M388" i="6"/>
  <c r="N388" i="6" s="1"/>
  <c r="L388" i="6"/>
  <c r="W387" i="6"/>
  <c r="Q387" i="6"/>
  <c r="R387" i="6" s="1"/>
  <c r="O387" i="6"/>
  <c r="P387" i="6" s="1"/>
  <c r="M387" i="6"/>
  <c r="N387" i="6" s="1"/>
  <c r="L387" i="6"/>
  <c r="W386" i="6"/>
  <c r="Q386" i="6"/>
  <c r="R386" i="6" s="1"/>
  <c r="O386" i="6"/>
  <c r="P386" i="6" s="1"/>
  <c r="M386" i="6"/>
  <c r="N386" i="6" s="1"/>
  <c r="L386" i="6"/>
  <c r="W385" i="6"/>
  <c r="Q385" i="6"/>
  <c r="R385" i="6" s="1"/>
  <c r="O385" i="6"/>
  <c r="P385" i="6" s="1"/>
  <c r="M385" i="6"/>
  <c r="N385" i="6" s="1"/>
  <c r="L385" i="6"/>
  <c r="W384" i="6"/>
  <c r="Q384" i="6"/>
  <c r="R384" i="6" s="1"/>
  <c r="O384" i="6"/>
  <c r="P384" i="6" s="1"/>
  <c r="M384" i="6"/>
  <c r="N384" i="6" s="1"/>
  <c r="L384" i="6"/>
  <c r="W383" i="6"/>
  <c r="Q383" i="6"/>
  <c r="R383" i="6" s="1"/>
  <c r="O383" i="6"/>
  <c r="P383" i="6" s="1"/>
  <c r="M383" i="6"/>
  <c r="N383" i="6" s="1"/>
  <c r="L383" i="6"/>
  <c r="W382" i="6"/>
  <c r="Q382" i="6"/>
  <c r="R382" i="6" s="1"/>
  <c r="O382" i="6"/>
  <c r="P382" i="6" s="1"/>
  <c r="M382" i="6"/>
  <c r="N382" i="6" s="1"/>
  <c r="L382" i="6"/>
  <c r="W381" i="6"/>
  <c r="Q381" i="6"/>
  <c r="R381" i="6" s="1"/>
  <c r="O381" i="6"/>
  <c r="P381" i="6" s="1"/>
  <c r="M381" i="6"/>
  <c r="N381" i="6" s="1"/>
  <c r="L381" i="6"/>
  <c r="W380" i="6"/>
  <c r="Q380" i="6"/>
  <c r="R380" i="6" s="1"/>
  <c r="O380" i="6"/>
  <c r="P380" i="6" s="1"/>
  <c r="M380" i="6"/>
  <c r="N380" i="6" s="1"/>
  <c r="L380" i="6"/>
  <c r="W379" i="6"/>
  <c r="Q379" i="6"/>
  <c r="R379" i="6" s="1"/>
  <c r="O379" i="6"/>
  <c r="P379" i="6" s="1"/>
  <c r="M379" i="6"/>
  <c r="N379" i="6" s="1"/>
  <c r="L379" i="6"/>
  <c r="W378" i="6"/>
  <c r="Q378" i="6"/>
  <c r="R378" i="6" s="1"/>
  <c r="O378" i="6"/>
  <c r="P378" i="6" s="1"/>
  <c r="M378" i="6"/>
  <c r="N378" i="6" s="1"/>
  <c r="L378" i="6"/>
  <c r="W377" i="6"/>
  <c r="Q377" i="6"/>
  <c r="R377" i="6" s="1"/>
  <c r="O377" i="6"/>
  <c r="P377" i="6" s="1"/>
  <c r="M377" i="6"/>
  <c r="N377" i="6" s="1"/>
  <c r="L377" i="6"/>
  <c r="W376" i="6"/>
  <c r="Q376" i="6"/>
  <c r="R376" i="6" s="1"/>
  <c r="O376" i="6"/>
  <c r="P376" i="6" s="1"/>
  <c r="M376" i="6"/>
  <c r="N376" i="6" s="1"/>
  <c r="L376" i="6"/>
  <c r="W375" i="6"/>
  <c r="Q375" i="6"/>
  <c r="R375" i="6" s="1"/>
  <c r="O375" i="6"/>
  <c r="P375" i="6" s="1"/>
  <c r="M375" i="6"/>
  <c r="N375" i="6" s="1"/>
  <c r="L375" i="6"/>
  <c r="W374" i="6"/>
  <c r="Q374" i="6"/>
  <c r="R374" i="6" s="1"/>
  <c r="O374" i="6"/>
  <c r="P374" i="6" s="1"/>
  <c r="M374" i="6"/>
  <c r="N374" i="6" s="1"/>
  <c r="L374" i="6"/>
  <c r="W373" i="6"/>
  <c r="Q373" i="6"/>
  <c r="R373" i="6" s="1"/>
  <c r="O373" i="6"/>
  <c r="P373" i="6" s="1"/>
  <c r="M373" i="6"/>
  <c r="N373" i="6" s="1"/>
  <c r="L373" i="6"/>
  <c r="W372" i="6"/>
  <c r="Q372" i="6"/>
  <c r="R372" i="6" s="1"/>
  <c r="O372" i="6"/>
  <c r="P372" i="6" s="1"/>
  <c r="M372" i="6"/>
  <c r="N372" i="6" s="1"/>
  <c r="L372" i="6"/>
  <c r="W371" i="6"/>
  <c r="Q371" i="6"/>
  <c r="R371" i="6" s="1"/>
  <c r="O371" i="6"/>
  <c r="P371" i="6" s="1"/>
  <c r="M371" i="6"/>
  <c r="N371" i="6" s="1"/>
  <c r="L371" i="6"/>
  <c r="W370" i="6"/>
  <c r="Q370" i="6"/>
  <c r="R370" i="6" s="1"/>
  <c r="O370" i="6"/>
  <c r="P370" i="6" s="1"/>
  <c r="M370" i="6"/>
  <c r="N370" i="6" s="1"/>
  <c r="L370" i="6"/>
  <c r="W369" i="6"/>
  <c r="Q369" i="6"/>
  <c r="R369" i="6" s="1"/>
  <c r="O369" i="6"/>
  <c r="P369" i="6" s="1"/>
  <c r="M369" i="6"/>
  <c r="N369" i="6" s="1"/>
  <c r="L369" i="6"/>
  <c r="W368" i="6"/>
  <c r="Q368" i="6"/>
  <c r="R368" i="6" s="1"/>
  <c r="O368" i="6"/>
  <c r="P368" i="6" s="1"/>
  <c r="M368" i="6"/>
  <c r="N368" i="6" s="1"/>
  <c r="L368" i="6"/>
  <c r="W367" i="6"/>
  <c r="Q367" i="6"/>
  <c r="R367" i="6" s="1"/>
  <c r="O367" i="6"/>
  <c r="P367" i="6" s="1"/>
  <c r="M367" i="6"/>
  <c r="N367" i="6" s="1"/>
  <c r="L367" i="6"/>
  <c r="W366" i="6"/>
  <c r="Q366" i="6"/>
  <c r="R366" i="6" s="1"/>
  <c r="O366" i="6"/>
  <c r="P366" i="6" s="1"/>
  <c r="M366" i="6"/>
  <c r="N366" i="6" s="1"/>
  <c r="L366" i="6"/>
  <c r="W365" i="6"/>
  <c r="Q365" i="6"/>
  <c r="R365" i="6" s="1"/>
  <c r="O365" i="6"/>
  <c r="P365" i="6" s="1"/>
  <c r="M365" i="6"/>
  <c r="N365" i="6" s="1"/>
  <c r="L365" i="6"/>
  <c r="W364" i="6"/>
  <c r="Q364" i="6"/>
  <c r="R364" i="6" s="1"/>
  <c r="O364" i="6"/>
  <c r="P364" i="6" s="1"/>
  <c r="M364" i="6"/>
  <c r="N364" i="6" s="1"/>
  <c r="L364" i="6"/>
  <c r="W363" i="6"/>
  <c r="Q363" i="6"/>
  <c r="R363" i="6" s="1"/>
  <c r="O363" i="6"/>
  <c r="P363" i="6" s="1"/>
  <c r="M363" i="6"/>
  <c r="N363" i="6" s="1"/>
  <c r="L363" i="6"/>
  <c r="W362" i="6"/>
  <c r="Q362" i="6"/>
  <c r="R362" i="6" s="1"/>
  <c r="O362" i="6"/>
  <c r="P362" i="6" s="1"/>
  <c r="M362" i="6"/>
  <c r="N362" i="6" s="1"/>
  <c r="L362" i="6"/>
  <c r="W361" i="6"/>
  <c r="Q361" i="6"/>
  <c r="R361" i="6" s="1"/>
  <c r="O361" i="6"/>
  <c r="P361" i="6" s="1"/>
  <c r="M361" i="6"/>
  <c r="N361" i="6" s="1"/>
  <c r="L361" i="6"/>
  <c r="W360" i="6"/>
  <c r="Q360" i="6"/>
  <c r="R360" i="6" s="1"/>
  <c r="O360" i="6"/>
  <c r="P360" i="6" s="1"/>
  <c r="M360" i="6"/>
  <c r="N360" i="6" s="1"/>
  <c r="L360" i="6"/>
  <c r="W359" i="6"/>
  <c r="Q359" i="6"/>
  <c r="R359" i="6" s="1"/>
  <c r="O359" i="6"/>
  <c r="P359" i="6" s="1"/>
  <c r="M359" i="6"/>
  <c r="N359" i="6" s="1"/>
  <c r="L359" i="6"/>
  <c r="W358" i="6"/>
  <c r="Q358" i="6"/>
  <c r="R358" i="6" s="1"/>
  <c r="O358" i="6"/>
  <c r="P358" i="6" s="1"/>
  <c r="M358" i="6"/>
  <c r="N358" i="6" s="1"/>
  <c r="L358" i="6"/>
  <c r="W357" i="6"/>
  <c r="Q357" i="6"/>
  <c r="R357" i="6" s="1"/>
  <c r="O357" i="6"/>
  <c r="P357" i="6" s="1"/>
  <c r="M357" i="6"/>
  <c r="N357" i="6" s="1"/>
  <c r="L357" i="6"/>
  <c r="W356" i="6"/>
  <c r="Q356" i="6"/>
  <c r="R356" i="6" s="1"/>
  <c r="O356" i="6"/>
  <c r="P356" i="6" s="1"/>
  <c r="M356" i="6"/>
  <c r="N356" i="6" s="1"/>
  <c r="L356" i="6"/>
  <c r="W355" i="6"/>
  <c r="Q355" i="6"/>
  <c r="R355" i="6" s="1"/>
  <c r="O355" i="6"/>
  <c r="P355" i="6" s="1"/>
  <c r="M355" i="6"/>
  <c r="N355" i="6" s="1"/>
  <c r="L355" i="6"/>
  <c r="W354" i="6"/>
  <c r="Q354" i="6"/>
  <c r="R354" i="6" s="1"/>
  <c r="O354" i="6"/>
  <c r="P354" i="6" s="1"/>
  <c r="M354" i="6"/>
  <c r="N354" i="6" s="1"/>
  <c r="L354" i="6"/>
  <c r="W353" i="6"/>
  <c r="Q353" i="6"/>
  <c r="R353" i="6" s="1"/>
  <c r="O353" i="6"/>
  <c r="P353" i="6" s="1"/>
  <c r="M353" i="6"/>
  <c r="N353" i="6" s="1"/>
  <c r="L353" i="6"/>
  <c r="W352" i="6"/>
  <c r="Q352" i="6"/>
  <c r="R352" i="6" s="1"/>
  <c r="O352" i="6"/>
  <c r="P352" i="6" s="1"/>
  <c r="M352" i="6"/>
  <c r="N352" i="6" s="1"/>
  <c r="L352" i="6"/>
  <c r="W351" i="6"/>
  <c r="Q351" i="6"/>
  <c r="R351" i="6" s="1"/>
  <c r="O351" i="6"/>
  <c r="P351" i="6" s="1"/>
  <c r="M351" i="6"/>
  <c r="N351" i="6" s="1"/>
  <c r="L351" i="6"/>
  <c r="W350" i="6"/>
  <c r="Q350" i="6"/>
  <c r="R350" i="6" s="1"/>
  <c r="O350" i="6"/>
  <c r="P350" i="6" s="1"/>
  <c r="M350" i="6"/>
  <c r="N350" i="6" s="1"/>
  <c r="L350" i="6"/>
  <c r="W349" i="6"/>
  <c r="Q349" i="6"/>
  <c r="R349" i="6" s="1"/>
  <c r="O349" i="6"/>
  <c r="P349" i="6" s="1"/>
  <c r="M349" i="6"/>
  <c r="N349" i="6" s="1"/>
  <c r="L349" i="6"/>
  <c r="W348" i="6"/>
  <c r="Q348" i="6"/>
  <c r="R348" i="6" s="1"/>
  <c r="O348" i="6"/>
  <c r="P348" i="6" s="1"/>
  <c r="M348" i="6"/>
  <c r="N348" i="6" s="1"/>
  <c r="L348" i="6"/>
  <c r="W347" i="6"/>
  <c r="Q347" i="6"/>
  <c r="R347" i="6" s="1"/>
  <c r="O347" i="6"/>
  <c r="P347" i="6" s="1"/>
  <c r="M347" i="6"/>
  <c r="N347" i="6" s="1"/>
  <c r="L347" i="6"/>
  <c r="W346" i="6"/>
  <c r="Q346" i="6"/>
  <c r="R346" i="6" s="1"/>
  <c r="O346" i="6"/>
  <c r="P346" i="6" s="1"/>
  <c r="M346" i="6"/>
  <c r="N346" i="6" s="1"/>
  <c r="L346" i="6"/>
  <c r="W345" i="6"/>
  <c r="Q345" i="6"/>
  <c r="R345" i="6" s="1"/>
  <c r="O345" i="6"/>
  <c r="P345" i="6" s="1"/>
  <c r="M345" i="6"/>
  <c r="N345" i="6" s="1"/>
  <c r="L345" i="6"/>
  <c r="W344" i="6"/>
  <c r="Q344" i="6"/>
  <c r="R344" i="6" s="1"/>
  <c r="O344" i="6"/>
  <c r="P344" i="6" s="1"/>
  <c r="M344" i="6"/>
  <c r="N344" i="6" s="1"/>
  <c r="L344" i="6"/>
  <c r="W343" i="6"/>
  <c r="Q343" i="6"/>
  <c r="R343" i="6" s="1"/>
  <c r="O343" i="6"/>
  <c r="P343" i="6" s="1"/>
  <c r="M343" i="6"/>
  <c r="N343" i="6" s="1"/>
  <c r="L343" i="6"/>
  <c r="W342" i="6"/>
  <c r="Q342" i="6"/>
  <c r="R342" i="6" s="1"/>
  <c r="O342" i="6"/>
  <c r="P342" i="6" s="1"/>
  <c r="M342" i="6"/>
  <c r="N342" i="6" s="1"/>
  <c r="L342" i="6"/>
  <c r="W341" i="6"/>
  <c r="Q341" i="6"/>
  <c r="R341" i="6" s="1"/>
  <c r="O341" i="6"/>
  <c r="P341" i="6" s="1"/>
  <c r="M341" i="6"/>
  <c r="N341" i="6" s="1"/>
  <c r="L341" i="6"/>
  <c r="W340" i="6"/>
  <c r="Q340" i="6"/>
  <c r="R340" i="6" s="1"/>
  <c r="O340" i="6"/>
  <c r="P340" i="6" s="1"/>
  <c r="M340" i="6"/>
  <c r="N340" i="6" s="1"/>
  <c r="L340" i="6"/>
  <c r="W339" i="6"/>
  <c r="Q339" i="6"/>
  <c r="R339" i="6" s="1"/>
  <c r="O339" i="6"/>
  <c r="P339" i="6" s="1"/>
  <c r="M339" i="6"/>
  <c r="N339" i="6" s="1"/>
  <c r="L339" i="6"/>
  <c r="W338" i="6"/>
  <c r="Q338" i="6"/>
  <c r="R338" i="6" s="1"/>
  <c r="O338" i="6"/>
  <c r="P338" i="6" s="1"/>
  <c r="M338" i="6"/>
  <c r="N338" i="6" s="1"/>
  <c r="L338" i="6"/>
  <c r="W337" i="6"/>
  <c r="Q337" i="6"/>
  <c r="R337" i="6" s="1"/>
  <c r="O337" i="6"/>
  <c r="P337" i="6" s="1"/>
  <c r="M337" i="6"/>
  <c r="N337" i="6" s="1"/>
  <c r="L337" i="6"/>
  <c r="W336" i="6"/>
  <c r="Q336" i="6"/>
  <c r="R336" i="6" s="1"/>
  <c r="O336" i="6"/>
  <c r="P336" i="6" s="1"/>
  <c r="M336" i="6"/>
  <c r="N336" i="6" s="1"/>
  <c r="L336" i="6"/>
  <c r="W335" i="6"/>
  <c r="Q335" i="6"/>
  <c r="R335" i="6" s="1"/>
  <c r="O335" i="6"/>
  <c r="P335" i="6" s="1"/>
  <c r="M335" i="6"/>
  <c r="N335" i="6" s="1"/>
  <c r="L335" i="6"/>
  <c r="W334" i="6"/>
  <c r="Q334" i="6"/>
  <c r="R334" i="6" s="1"/>
  <c r="O334" i="6"/>
  <c r="P334" i="6" s="1"/>
  <c r="M334" i="6"/>
  <c r="N334" i="6" s="1"/>
  <c r="L334" i="6"/>
  <c r="W333" i="6"/>
  <c r="Q333" i="6"/>
  <c r="R333" i="6" s="1"/>
  <c r="O333" i="6"/>
  <c r="P333" i="6" s="1"/>
  <c r="M333" i="6"/>
  <c r="N333" i="6" s="1"/>
  <c r="L333" i="6"/>
  <c r="W332" i="6"/>
  <c r="Q332" i="6"/>
  <c r="R332" i="6" s="1"/>
  <c r="O332" i="6"/>
  <c r="P332" i="6" s="1"/>
  <c r="M332" i="6"/>
  <c r="N332" i="6" s="1"/>
  <c r="L332" i="6"/>
  <c r="W331" i="6"/>
  <c r="Q331" i="6"/>
  <c r="R331" i="6" s="1"/>
  <c r="O331" i="6"/>
  <c r="P331" i="6" s="1"/>
  <c r="M331" i="6"/>
  <c r="N331" i="6" s="1"/>
  <c r="L331" i="6"/>
  <c r="W330" i="6"/>
  <c r="Q330" i="6"/>
  <c r="R330" i="6" s="1"/>
  <c r="O330" i="6"/>
  <c r="P330" i="6" s="1"/>
  <c r="M330" i="6"/>
  <c r="N330" i="6" s="1"/>
  <c r="L330" i="6"/>
  <c r="W329" i="6"/>
  <c r="Q329" i="6"/>
  <c r="R329" i="6" s="1"/>
  <c r="O329" i="6"/>
  <c r="P329" i="6" s="1"/>
  <c r="M329" i="6"/>
  <c r="N329" i="6" s="1"/>
  <c r="L329" i="6"/>
  <c r="W328" i="6"/>
  <c r="Q328" i="6"/>
  <c r="R328" i="6" s="1"/>
  <c r="O328" i="6"/>
  <c r="P328" i="6" s="1"/>
  <c r="M328" i="6"/>
  <c r="N328" i="6" s="1"/>
  <c r="L328" i="6"/>
  <c r="W327" i="6"/>
  <c r="Q327" i="6"/>
  <c r="R327" i="6" s="1"/>
  <c r="O327" i="6"/>
  <c r="P327" i="6" s="1"/>
  <c r="M327" i="6"/>
  <c r="N327" i="6" s="1"/>
  <c r="L327" i="6"/>
  <c r="W326" i="6"/>
  <c r="Q326" i="6"/>
  <c r="R326" i="6" s="1"/>
  <c r="O326" i="6"/>
  <c r="P326" i="6" s="1"/>
  <c r="M326" i="6"/>
  <c r="N326" i="6" s="1"/>
  <c r="L326" i="6"/>
  <c r="W325" i="6"/>
  <c r="Q325" i="6"/>
  <c r="R325" i="6" s="1"/>
  <c r="O325" i="6"/>
  <c r="P325" i="6" s="1"/>
  <c r="M325" i="6"/>
  <c r="N325" i="6" s="1"/>
  <c r="L325" i="6"/>
  <c r="W324" i="6"/>
  <c r="Q324" i="6"/>
  <c r="R324" i="6" s="1"/>
  <c r="O324" i="6"/>
  <c r="P324" i="6" s="1"/>
  <c r="M324" i="6"/>
  <c r="N324" i="6" s="1"/>
  <c r="L324" i="6"/>
  <c r="W323" i="6"/>
  <c r="Q323" i="6"/>
  <c r="R323" i="6" s="1"/>
  <c r="O323" i="6"/>
  <c r="P323" i="6" s="1"/>
  <c r="M323" i="6"/>
  <c r="N323" i="6" s="1"/>
  <c r="L323" i="6"/>
  <c r="W322" i="6"/>
  <c r="Q322" i="6"/>
  <c r="R322" i="6" s="1"/>
  <c r="O322" i="6"/>
  <c r="P322" i="6" s="1"/>
  <c r="M322" i="6"/>
  <c r="N322" i="6" s="1"/>
  <c r="L322" i="6"/>
  <c r="W321" i="6"/>
  <c r="Q321" i="6"/>
  <c r="R321" i="6" s="1"/>
  <c r="O321" i="6"/>
  <c r="P321" i="6" s="1"/>
  <c r="M321" i="6"/>
  <c r="N321" i="6" s="1"/>
  <c r="L321" i="6"/>
  <c r="W320" i="6"/>
  <c r="Q320" i="6"/>
  <c r="R320" i="6" s="1"/>
  <c r="O320" i="6"/>
  <c r="P320" i="6" s="1"/>
  <c r="M320" i="6"/>
  <c r="N320" i="6" s="1"/>
  <c r="L320" i="6"/>
  <c r="W319" i="6"/>
  <c r="Q319" i="6"/>
  <c r="R319" i="6" s="1"/>
  <c r="O319" i="6"/>
  <c r="P319" i="6" s="1"/>
  <c r="M319" i="6"/>
  <c r="N319" i="6" s="1"/>
  <c r="L319" i="6"/>
  <c r="W318" i="6"/>
  <c r="Q318" i="6"/>
  <c r="R318" i="6" s="1"/>
  <c r="O318" i="6"/>
  <c r="P318" i="6" s="1"/>
  <c r="M318" i="6"/>
  <c r="N318" i="6" s="1"/>
  <c r="L318" i="6"/>
  <c r="W317" i="6"/>
  <c r="Q317" i="6"/>
  <c r="R317" i="6" s="1"/>
  <c r="O317" i="6"/>
  <c r="P317" i="6" s="1"/>
  <c r="M317" i="6"/>
  <c r="N317" i="6" s="1"/>
  <c r="L317" i="6"/>
  <c r="W316" i="6"/>
  <c r="Q316" i="6"/>
  <c r="R316" i="6" s="1"/>
  <c r="O316" i="6"/>
  <c r="P316" i="6" s="1"/>
  <c r="M316" i="6"/>
  <c r="N316" i="6" s="1"/>
  <c r="L316" i="6"/>
  <c r="W315" i="6"/>
  <c r="Q315" i="6"/>
  <c r="R315" i="6" s="1"/>
  <c r="O315" i="6"/>
  <c r="P315" i="6" s="1"/>
  <c r="M315" i="6"/>
  <c r="N315" i="6" s="1"/>
  <c r="L315" i="6"/>
  <c r="W314" i="6"/>
  <c r="Q314" i="6"/>
  <c r="R314" i="6" s="1"/>
  <c r="O314" i="6"/>
  <c r="P314" i="6" s="1"/>
  <c r="M314" i="6"/>
  <c r="N314" i="6" s="1"/>
  <c r="L314" i="6"/>
  <c r="W313" i="6"/>
  <c r="Q313" i="6"/>
  <c r="R313" i="6" s="1"/>
  <c r="O313" i="6"/>
  <c r="P313" i="6" s="1"/>
  <c r="M313" i="6"/>
  <c r="N313" i="6" s="1"/>
  <c r="L313" i="6"/>
  <c r="W312" i="6"/>
  <c r="Q312" i="6"/>
  <c r="R312" i="6" s="1"/>
  <c r="O312" i="6"/>
  <c r="P312" i="6" s="1"/>
  <c r="M312" i="6"/>
  <c r="N312" i="6" s="1"/>
  <c r="L312" i="6"/>
  <c r="W311" i="6"/>
  <c r="Q311" i="6"/>
  <c r="R311" i="6" s="1"/>
  <c r="O311" i="6"/>
  <c r="P311" i="6" s="1"/>
  <c r="M311" i="6"/>
  <c r="N311" i="6" s="1"/>
  <c r="L311" i="6"/>
  <c r="W310" i="6"/>
  <c r="Q310" i="6"/>
  <c r="R310" i="6" s="1"/>
  <c r="O310" i="6"/>
  <c r="P310" i="6" s="1"/>
  <c r="M310" i="6"/>
  <c r="N310" i="6" s="1"/>
  <c r="L310" i="6"/>
  <c r="W309" i="6"/>
  <c r="Q309" i="6"/>
  <c r="R309" i="6" s="1"/>
  <c r="O309" i="6"/>
  <c r="P309" i="6" s="1"/>
  <c r="M309" i="6"/>
  <c r="N309" i="6" s="1"/>
  <c r="L309" i="6"/>
  <c r="W308" i="6"/>
  <c r="Q308" i="6"/>
  <c r="R308" i="6" s="1"/>
  <c r="O308" i="6"/>
  <c r="P308" i="6" s="1"/>
  <c r="M308" i="6"/>
  <c r="N308" i="6" s="1"/>
  <c r="L308" i="6"/>
  <c r="W307" i="6"/>
  <c r="Q307" i="6"/>
  <c r="R307" i="6" s="1"/>
  <c r="O307" i="6"/>
  <c r="P307" i="6" s="1"/>
  <c r="M307" i="6"/>
  <c r="N307" i="6" s="1"/>
  <c r="L307" i="6"/>
  <c r="W306" i="6"/>
  <c r="Q306" i="6"/>
  <c r="R306" i="6" s="1"/>
  <c r="O306" i="6"/>
  <c r="P306" i="6" s="1"/>
  <c r="M306" i="6"/>
  <c r="N306" i="6" s="1"/>
  <c r="L306" i="6"/>
  <c r="W305" i="6"/>
  <c r="Q305" i="6"/>
  <c r="R305" i="6" s="1"/>
  <c r="O305" i="6"/>
  <c r="P305" i="6" s="1"/>
  <c r="M305" i="6"/>
  <c r="N305" i="6" s="1"/>
  <c r="L305" i="6"/>
  <c r="W304" i="6"/>
  <c r="Q304" i="6"/>
  <c r="R304" i="6" s="1"/>
  <c r="O304" i="6"/>
  <c r="P304" i="6" s="1"/>
  <c r="M304" i="6"/>
  <c r="N304" i="6" s="1"/>
  <c r="L304" i="6"/>
  <c r="W303" i="6"/>
  <c r="Q303" i="6"/>
  <c r="R303" i="6" s="1"/>
  <c r="O303" i="6"/>
  <c r="P303" i="6" s="1"/>
  <c r="M303" i="6"/>
  <c r="N303" i="6" s="1"/>
  <c r="L303" i="6"/>
  <c r="W302" i="6"/>
  <c r="Q302" i="6"/>
  <c r="R302" i="6" s="1"/>
  <c r="O302" i="6"/>
  <c r="P302" i="6" s="1"/>
  <c r="M302" i="6"/>
  <c r="N302" i="6" s="1"/>
  <c r="L302" i="6"/>
  <c r="W301" i="6"/>
  <c r="Q301" i="6"/>
  <c r="R301" i="6" s="1"/>
  <c r="O301" i="6"/>
  <c r="P301" i="6" s="1"/>
  <c r="M301" i="6"/>
  <c r="N301" i="6" s="1"/>
  <c r="L301" i="6"/>
  <c r="W300" i="6"/>
  <c r="Q300" i="6"/>
  <c r="R300" i="6" s="1"/>
  <c r="O300" i="6"/>
  <c r="P300" i="6" s="1"/>
  <c r="M300" i="6"/>
  <c r="N300" i="6" s="1"/>
  <c r="L300" i="6"/>
  <c r="W299" i="6"/>
  <c r="Q299" i="6"/>
  <c r="R299" i="6" s="1"/>
  <c r="O299" i="6"/>
  <c r="P299" i="6" s="1"/>
  <c r="M299" i="6"/>
  <c r="N299" i="6" s="1"/>
  <c r="L299" i="6"/>
  <c r="W298" i="6"/>
  <c r="Q298" i="6"/>
  <c r="R298" i="6" s="1"/>
  <c r="O298" i="6"/>
  <c r="P298" i="6" s="1"/>
  <c r="M298" i="6"/>
  <c r="N298" i="6" s="1"/>
  <c r="L298" i="6"/>
  <c r="W297" i="6"/>
  <c r="Q297" i="6"/>
  <c r="R297" i="6" s="1"/>
  <c r="O297" i="6"/>
  <c r="P297" i="6" s="1"/>
  <c r="M297" i="6"/>
  <c r="N297" i="6" s="1"/>
  <c r="L297" i="6"/>
  <c r="W296" i="6"/>
  <c r="Q296" i="6"/>
  <c r="R296" i="6" s="1"/>
  <c r="O296" i="6"/>
  <c r="P296" i="6" s="1"/>
  <c r="M296" i="6"/>
  <c r="N296" i="6" s="1"/>
  <c r="L296" i="6"/>
  <c r="W295" i="6"/>
  <c r="Q295" i="6"/>
  <c r="R295" i="6" s="1"/>
  <c r="O295" i="6"/>
  <c r="P295" i="6" s="1"/>
  <c r="M295" i="6"/>
  <c r="N295" i="6" s="1"/>
  <c r="L295" i="6"/>
  <c r="W294" i="6"/>
  <c r="Q294" i="6"/>
  <c r="R294" i="6" s="1"/>
  <c r="O294" i="6"/>
  <c r="P294" i="6" s="1"/>
  <c r="M294" i="6"/>
  <c r="N294" i="6" s="1"/>
  <c r="L294" i="6"/>
  <c r="W293" i="6"/>
  <c r="Q293" i="6"/>
  <c r="R293" i="6" s="1"/>
  <c r="O293" i="6"/>
  <c r="P293" i="6" s="1"/>
  <c r="M293" i="6"/>
  <c r="N293" i="6" s="1"/>
  <c r="L293" i="6"/>
  <c r="W292" i="6"/>
  <c r="Q292" i="6"/>
  <c r="R292" i="6" s="1"/>
  <c r="O292" i="6"/>
  <c r="P292" i="6" s="1"/>
  <c r="M292" i="6"/>
  <c r="N292" i="6" s="1"/>
  <c r="L292" i="6"/>
  <c r="W291" i="6"/>
  <c r="Q291" i="6"/>
  <c r="R291" i="6" s="1"/>
  <c r="O291" i="6"/>
  <c r="P291" i="6" s="1"/>
  <c r="M291" i="6"/>
  <c r="N291" i="6" s="1"/>
  <c r="L291" i="6"/>
  <c r="W290" i="6"/>
  <c r="Q290" i="6"/>
  <c r="R290" i="6" s="1"/>
  <c r="O290" i="6"/>
  <c r="P290" i="6" s="1"/>
  <c r="M290" i="6"/>
  <c r="N290" i="6" s="1"/>
  <c r="L290" i="6"/>
  <c r="W289" i="6"/>
  <c r="Q289" i="6"/>
  <c r="R289" i="6" s="1"/>
  <c r="O289" i="6"/>
  <c r="P289" i="6" s="1"/>
  <c r="M289" i="6"/>
  <c r="N289" i="6" s="1"/>
  <c r="L289" i="6"/>
  <c r="W288" i="6"/>
  <c r="Q288" i="6"/>
  <c r="R288" i="6" s="1"/>
  <c r="O288" i="6"/>
  <c r="P288" i="6" s="1"/>
  <c r="M288" i="6"/>
  <c r="N288" i="6" s="1"/>
  <c r="L288" i="6"/>
  <c r="W287" i="6"/>
  <c r="Q287" i="6"/>
  <c r="R287" i="6" s="1"/>
  <c r="O287" i="6"/>
  <c r="P287" i="6" s="1"/>
  <c r="M287" i="6"/>
  <c r="N287" i="6" s="1"/>
  <c r="L287" i="6"/>
  <c r="W286" i="6"/>
  <c r="Q286" i="6"/>
  <c r="R286" i="6" s="1"/>
  <c r="O286" i="6"/>
  <c r="P286" i="6" s="1"/>
  <c r="M286" i="6"/>
  <c r="N286" i="6" s="1"/>
  <c r="L286" i="6"/>
  <c r="W285" i="6"/>
  <c r="Q285" i="6"/>
  <c r="R285" i="6" s="1"/>
  <c r="O285" i="6"/>
  <c r="P285" i="6" s="1"/>
  <c r="M285" i="6"/>
  <c r="N285" i="6" s="1"/>
  <c r="L285" i="6"/>
  <c r="W284" i="6"/>
  <c r="Q284" i="6"/>
  <c r="R284" i="6" s="1"/>
  <c r="O284" i="6"/>
  <c r="P284" i="6" s="1"/>
  <c r="M284" i="6"/>
  <c r="N284" i="6" s="1"/>
  <c r="L284" i="6"/>
  <c r="W283" i="6"/>
  <c r="Q283" i="6"/>
  <c r="R283" i="6" s="1"/>
  <c r="O283" i="6"/>
  <c r="P283" i="6" s="1"/>
  <c r="M283" i="6"/>
  <c r="N283" i="6" s="1"/>
  <c r="L283" i="6"/>
  <c r="W282" i="6"/>
  <c r="Q282" i="6"/>
  <c r="R282" i="6" s="1"/>
  <c r="O282" i="6"/>
  <c r="P282" i="6" s="1"/>
  <c r="M282" i="6"/>
  <c r="N282" i="6" s="1"/>
  <c r="L282" i="6"/>
  <c r="W281" i="6"/>
  <c r="Q281" i="6"/>
  <c r="R281" i="6" s="1"/>
  <c r="O281" i="6"/>
  <c r="P281" i="6" s="1"/>
  <c r="M281" i="6"/>
  <c r="N281" i="6" s="1"/>
  <c r="L281" i="6"/>
  <c r="W280" i="6"/>
  <c r="Q280" i="6"/>
  <c r="R280" i="6" s="1"/>
  <c r="O280" i="6"/>
  <c r="P280" i="6" s="1"/>
  <c r="M280" i="6"/>
  <c r="N280" i="6" s="1"/>
  <c r="L280" i="6"/>
  <c r="W279" i="6"/>
  <c r="Q279" i="6"/>
  <c r="R279" i="6" s="1"/>
  <c r="O279" i="6"/>
  <c r="P279" i="6" s="1"/>
  <c r="M279" i="6"/>
  <c r="N279" i="6" s="1"/>
  <c r="L279" i="6"/>
  <c r="W278" i="6"/>
  <c r="Q278" i="6"/>
  <c r="R278" i="6" s="1"/>
  <c r="O278" i="6"/>
  <c r="P278" i="6" s="1"/>
  <c r="M278" i="6"/>
  <c r="N278" i="6" s="1"/>
  <c r="L278" i="6"/>
  <c r="W277" i="6"/>
  <c r="Q277" i="6"/>
  <c r="R277" i="6" s="1"/>
  <c r="O277" i="6"/>
  <c r="P277" i="6" s="1"/>
  <c r="M277" i="6"/>
  <c r="N277" i="6" s="1"/>
  <c r="L277" i="6"/>
  <c r="W276" i="6"/>
  <c r="Q276" i="6"/>
  <c r="R276" i="6" s="1"/>
  <c r="O276" i="6"/>
  <c r="P276" i="6" s="1"/>
  <c r="M276" i="6"/>
  <c r="N276" i="6" s="1"/>
  <c r="L276" i="6"/>
  <c r="W275" i="6"/>
  <c r="Q275" i="6"/>
  <c r="R275" i="6" s="1"/>
  <c r="O275" i="6"/>
  <c r="P275" i="6" s="1"/>
  <c r="M275" i="6"/>
  <c r="N275" i="6" s="1"/>
  <c r="L275" i="6"/>
  <c r="W274" i="6"/>
  <c r="Q274" i="6"/>
  <c r="R274" i="6" s="1"/>
  <c r="O274" i="6"/>
  <c r="P274" i="6" s="1"/>
  <c r="M274" i="6"/>
  <c r="N274" i="6" s="1"/>
  <c r="L274" i="6"/>
  <c r="W273" i="6"/>
  <c r="Q273" i="6"/>
  <c r="R273" i="6" s="1"/>
  <c r="O273" i="6"/>
  <c r="P273" i="6" s="1"/>
  <c r="M273" i="6"/>
  <c r="N273" i="6" s="1"/>
  <c r="L273" i="6"/>
  <c r="W272" i="6"/>
  <c r="Q272" i="6"/>
  <c r="R272" i="6" s="1"/>
  <c r="O272" i="6"/>
  <c r="P272" i="6" s="1"/>
  <c r="M272" i="6"/>
  <c r="N272" i="6" s="1"/>
  <c r="L272" i="6"/>
  <c r="W271" i="6"/>
  <c r="Q271" i="6"/>
  <c r="R271" i="6" s="1"/>
  <c r="O271" i="6"/>
  <c r="P271" i="6" s="1"/>
  <c r="M271" i="6"/>
  <c r="N271" i="6" s="1"/>
  <c r="L271" i="6"/>
  <c r="W270" i="6"/>
  <c r="Q270" i="6"/>
  <c r="R270" i="6" s="1"/>
  <c r="O270" i="6"/>
  <c r="P270" i="6" s="1"/>
  <c r="M270" i="6"/>
  <c r="N270" i="6" s="1"/>
  <c r="L270" i="6"/>
  <c r="W269" i="6"/>
  <c r="Q269" i="6"/>
  <c r="R269" i="6" s="1"/>
  <c r="O269" i="6"/>
  <c r="P269" i="6" s="1"/>
  <c r="M269" i="6"/>
  <c r="N269" i="6" s="1"/>
  <c r="L269" i="6"/>
  <c r="W268" i="6"/>
  <c r="Q268" i="6"/>
  <c r="R268" i="6" s="1"/>
  <c r="O268" i="6"/>
  <c r="P268" i="6" s="1"/>
  <c r="M268" i="6"/>
  <c r="N268" i="6" s="1"/>
  <c r="L268" i="6"/>
  <c r="W267" i="6"/>
  <c r="Q267" i="6"/>
  <c r="R267" i="6" s="1"/>
  <c r="O267" i="6"/>
  <c r="P267" i="6" s="1"/>
  <c r="M267" i="6"/>
  <c r="N267" i="6" s="1"/>
  <c r="L267" i="6"/>
  <c r="W266" i="6"/>
  <c r="Q266" i="6"/>
  <c r="R266" i="6" s="1"/>
  <c r="O266" i="6"/>
  <c r="P266" i="6" s="1"/>
  <c r="M266" i="6"/>
  <c r="N266" i="6" s="1"/>
  <c r="L266" i="6"/>
  <c r="W265" i="6"/>
  <c r="Q265" i="6"/>
  <c r="R265" i="6" s="1"/>
  <c r="O265" i="6"/>
  <c r="P265" i="6" s="1"/>
  <c r="M265" i="6"/>
  <c r="N265" i="6" s="1"/>
  <c r="L265" i="6"/>
  <c r="W264" i="6"/>
  <c r="Q264" i="6"/>
  <c r="R264" i="6" s="1"/>
  <c r="O264" i="6"/>
  <c r="P264" i="6" s="1"/>
  <c r="M264" i="6"/>
  <c r="N264" i="6" s="1"/>
  <c r="L264" i="6"/>
  <c r="W263" i="6"/>
  <c r="Q263" i="6"/>
  <c r="R263" i="6" s="1"/>
  <c r="O263" i="6"/>
  <c r="P263" i="6" s="1"/>
  <c r="M263" i="6"/>
  <c r="N263" i="6" s="1"/>
  <c r="L263" i="6"/>
  <c r="W262" i="6"/>
  <c r="Q262" i="6"/>
  <c r="R262" i="6" s="1"/>
  <c r="O262" i="6"/>
  <c r="P262" i="6" s="1"/>
  <c r="M262" i="6"/>
  <c r="N262" i="6" s="1"/>
  <c r="L262" i="6"/>
  <c r="W261" i="6"/>
  <c r="Q261" i="6"/>
  <c r="R261" i="6" s="1"/>
  <c r="O261" i="6"/>
  <c r="P261" i="6" s="1"/>
  <c r="M261" i="6"/>
  <c r="N261" i="6" s="1"/>
  <c r="L261" i="6"/>
  <c r="W260" i="6"/>
  <c r="Q260" i="6"/>
  <c r="R260" i="6" s="1"/>
  <c r="O260" i="6"/>
  <c r="P260" i="6" s="1"/>
  <c r="M260" i="6"/>
  <c r="N260" i="6" s="1"/>
  <c r="L260" i="6"/>
  <c r="W259" i="6"/>
  <c r="Q259" i="6"/>
  <c r="R259" i="6" s="1"/>
  <c r="O259" i="6"/>
  <c r="P259" i="6" s="1"/>
  <c r="M259" i="6"/>
  <c r="N259" i="6" s="1"/>
  <c r="L259" i="6"/>
  <c r="W258" i="6"/>
  <c r="Q258" i="6"/>
  <c r="R258" i="6" s="1"/>
  <c r="O258" i="6"/>
  <c r="P258" i="6" s="1"/>
  <c r="M258" i="6"/>
  <c r="N258" i="6" s="1"/>
  <c r="L258" i="6"/>
  <c r="W257" i="6"/>
  <c r="Q257" i="6"/>
  <c r="R257" i="6" s="1"/>
  <c r="O257" i="6"/>
  <c r="P257" i="6" s="1"/>
  <c r="M257" i="6"/>
  <c r="N257" i="6" s="1"/>
  <c r="L257" i="6"/>
  <c r="W256" i="6"/>
  <c r="Q256" i="6"/>
  <c r="R256" i="6" s="1"/>
  <c r="O256" i="6"/>
  <c r="P256" i="6" s="1"/>
  <c r="M256" i="6"/>
  <c r="N256" i="6" s="1"/>
  <c r="L256" i="6"/>
  <c r="W255" i="6"/>
  <c r="Q255" i="6"/>
  <c r="R255" i="6" s="1"/>
  <c r="O255" i="6"/>
  <c r="P255" i="6" s="1"/>
  <c r="M255" i="6"/>
  <c r="N255" i="6" s="1"/>
  <c r="L255" i="6"/>
  <c r="W254" i="6"/>
  <c r="Q254" i="6"/>
  <c r="R254" i="6" s="1"/>
  <c r="O254" i="6"/>
  <c r="P254" i="6" s="1"/>
  <c r="M254" i="6"/>
  <c r="N254" i="6" s="1"/>
  <c r="L254" i="6"/>
  <c r="W253" i="6"/>
  <c r="Q253" i="6"/>
  <c r="R253" i="6" s="1"/>
  <c r="O253" i="6"/>
  <c r="P253" i="6" s="1"/>
  <c r="M253" i="6"/>
  <c r="N253" i="6" s="1"/>
  <c r="L253" i="6"/>
  <c r="W252" i="6"/>
  <c r="Q252" i="6"/>
  <c r="R252" i="6" s="1"/>
  <c r="O252" i="6"/>
  <c r="P252" i="6" s="1"/>
  <c r="M252" i="6"/>
  <c r="N252" i="6" s="1"/>
  <c r="L252" i="6"/>
  <c r="W251" i="6"/>
  <c r="Q251" i="6"/>
  <c r="R251" i="6" s="1"/>
  <c r="O251" i="6"/>
  <c r="P251" i="6" s="1"/>
  <c r="M251" i="6"/>
  <c r="N251" i="6" s="1"/>
  <c r="L251" i="6"/>
  <c r="W250" i="6"/>
  <c r="Q250" i="6"/>
  <c r="R250" i="6" s="1"/>
  <c r="O250" i="6"/>
  <c r="P250" i="6" s="1"/>
  <c r="M250" i="6"/>
  <c r="N250" i="6" s="1"/>
  <c r="L250" i="6"/>
  <c r="W249" i="6"/>
  <c r="Q249" i="6"/>
  <c r="R249" i="6" s="1"/>
  <c r="O249" i="6"/>
  <c r="P249" i="6" s="1"/>
  <c r="M249" i="6"/>
  <c r="N249" i="6" s="1"/>
  <c r="L249" i="6"/>
  <c r="W248" i="6"/>
  <c r="Q248" i="6"/>
  <c r="R248" i="6" s="1"/>
  <c r="O248" i="6"/>
  <c r="P248" i="6" s="1"/>
  <c r="M248" i="6"/>
  <c r="N248" i="6" s="1"/>
  <c r="L248" i="6"/>
  <c r="W247" i="6"/>
  <c r="Q247" i="6"/>
  <c r="R247" i="6" s="1"/>
  <c r="O247" i="6"/>
  <c r="P247" i="6" s="1"/>
  <c r="M247" i="6"/>
  <c r="N247" i="6" s="1"/>
  <c r="L247" i="6"/>
  <c r="W246" i="6"/>
  <c r="Q246" i="6"/>
  <c r="R246" i="6" s="1"/>
  <c r="O246" i="6"/>
  <c r="P246" i="6" s="1"/>
  <c r="M246" i="6"/>
  <c r="N246" i="6" s="1"/>
  <c r="L246" i="6"/>
  <c r="W245" i="6"/>
  <c r="Q245" i="6"/>
  <c r="R245" i="6" s="1"/>
  <c r="O245" i="6"/>
  <c r="P245" i="6" s="1"/>
  <c r="M245" i="6"/>
  <c r="N245" i="6" s="1"/>
  <c r="L245" i="6"/>
  <c r="W244" i="6"/>
  <c r="Q244" i="6"/>
  <c r="R244" i="6" s="1"/>
  <c r="O244" i="6"/>
  <c r="P244" i="6" s="1"/>
  <c r="M244" i="6"/>
  <c r="N244" i="6" s="1"/>
  <c r="L244" i="6"/>
  <c r="W243" i="6"/>
  <c r="Q243" i="6"/>
  <c r="R243" i="6" s="1"/>
  <c r="O243" i="6"/>
  <c r="P243" i="6" s="1"/>
  <c r="M243" i="6"/>
  <c r="N243" i="6" s="1"/>
  <c r="L243" i="6"/>
  <c r="W242" i="6"/>
  <c r="Q242" i="6"/>
  <c r="R242" i="6" s="1"/>
  <c r="O242" i="6"/>
  <c r="P242" i="6" s="1"/>
  <c r="M242" i="6"/>
  <c r="N242" i="6" s="1"/>
  <c r="L242" i="6"/>
  <c r="W241" i="6"/>
  <c r="Q241" i="6"/>
  <c r="R241" i="6" s="1"/>
  <c r="O241" i="6"/>
  <c r="P241" i="6" s="1"/>
  <c r="M241" i="6"/>
  <c r="N241" i="6" s="1"/>
  <c r="L241" i="6"/>
  <c r="W240" i="6"/>
  <c r="Q240" i="6"/>
  <c r="R240" i="6" s="1"/>
  <c r="O240" i="6"/>
  <c r="P240" i="6" s="1"/>
  <c r="M240" i="6"/>
  <c r="N240" i="6" s="1"/>
  <c r="L240" i="6"/>
  <c r="W239" i="6"/>
  <c r="Q239" i="6"/>
  <c r="R239" i="6" s="1"/>
  <c r="O239" i="6"/>
  <c r="P239" i="6" s="1"/>
  <c r="M239" i="6"/>
  <c r="N239" i="6" s="1"/>
  <c r="L239" i="6"/>
  <c r="W238" i="6"/>
  <c r="Q238" i="6"/>
  <c r="R238" i="6" s="1"/>
  <c r="O238" i="6"/>
  <c r="P238" i="6" s="1"/>
  <c r="M238" i="6"/>
  <c r="N238" i="6" s="1"/>
  <c r="L238" i="6"/>
  <c r="W237" i="6"/>
  <c r="Q237" i="6"/>
  <c r="R237" i="6" s="1"/>
  <c r="O237" i="6"/>
  <c r="P237" i="6" s="1"/>
  <c r="M237" i="6"/>
  <c r="N237" i="6" s="1"/>
  <c r="L237" i="6"/>
  <c r="W236" i="6"/>
  <c r="Q236" i="6"/>
  <c r="R236" i="6" s="1"/>
  <c r="O236" i="6"/>
  <c r="P236" i="6" s="1"/>
  <c r="M236" i="6"/>
  <c r="N236" i="6" s="1"/>
  <c r="L236" i="6"/>
  <c r="W235" i="6"/>
  <c r="Q235" i="6"/>
  <c r="R235" i="6" s="1"/>
  <c r="O235" i="6"/>
  <c r="P235" i="6" s="1"/>
  <c r="M235" i="6"/>
  <c r="N235" i="6" s="1"/>
  <c r="L235" i="6"/>
  <c r="W234" i="6"/>
  <c r="Q234" i="6"/>
  <c r="R234" i="6" s="1"/>
  <c r="O234" i="6"/>
  <c r="P234" i="6" s="1"/>
  <c r="M234" i="6"/>
  <c r="N234" i="6" s="1"/>
  <c r="L234" i="6"/>
  <c r="W233" i="6"/>
  <c r="Q233" i="6"/>
  <c r="R233" i="6" s="1"/>
  <c r="O233" i="6"/>
  <c r="P233" i="6" s="1"/>
  <c r="M233" i="6"/>
  <c r="N233" i="6" s="1"/>
  <c r="L233" i="6"/>
  <c r="W232" i="6"/>
  <c r="Q232" i="6"/>
  <c r="R232" i="6" s="1"/>
  <c r="O232" i="6"/>
  <c r="P232" i="6" s="1"/>
  <c r="M232" i="6"/>
  <c r="N232" i="6" s="1"/>
  <c r="L232" i="6"/>
  <c r="W231" i="6"/>
  <c r="Q231" i="6"/>
  <c r="R231" i="6" s="1"/>
  <c r="O231" i="6"/>
  <c r="P231" i="6" s="1"/>
  <c r="M231" i="6"/>
  <c r="N231" i="6" s="1"/>
  <c r="L231" i="6"/>
  <c r="W230" i="6"/>
  <c r="Q230" i="6"/>
  <c r="R230" i="6" s="1"/>
  <c r="O230" i="6"/>
  <c r="P230" i="6" s="1"/>
  <c r="M230" i="6"/>
  <c r="N230" i="6" s="1"/>
  <c r="L230" i="6"/>
  <c r="W229" i="6"/>
  <c r="Q229" i="6"/>
  <c r="R229" i="6" s="1"/>
  <c r="O229" i="6"/>
  <c r="P229" i="6" s="1"/>
  <c r="M229" i="6"/>
  <c r="N229" i="6" s="1"/>
  <c r="L229" i="6"/>
  <c r="W228" i="6"/>
  <c r="Q228" i="6"/>
  <c r="R228" i="6" s="1"/>
  <c r="O228" i="6"/>
  <c r="P228" i="6" s="1"/>
  <c r="M228" i="6"/>
  <c r="N228" i="6" s="1"/>
  <c r="L228" i="6"/>
  <c r="W227" i="6"/>
  <c r="Q227" i="6"/>
  <c r="R227" i="6" s="1"/>
  <c r="O227" i="6"/>
  <c r="P227" i="6" s="1"/>
  <c r="M227" i="6"/>
  <c r="N227" i="6" s="1"/>
  <c r="L227" i="6"/>
  <c r="W226" i="6"/>
  <c r="Q226" i="6"/>
  <c r="R226" i="6" s="1"/>
  <c r="O226" i="6"/>
  <c r="P226" i="6" s="1"/>
  <c r="M226" i="6"/>
  <c r="N226" i="6" s="1"/>
  <c r="L226" i="6"/>
  <c r="W225" i="6"/>
  <c r="Q225" i="6"/>
  <c r="R225" i="6" s="1"/>
  <c r="O225" i="6"/>
  <c r="P225" i="6" s="1"/>
  <c r="M225" i="6"/>
  <c r="N225" i="6" s="1"/>
  <c r="L225" i="6"/>
  <c r="W224" i="6"/>
  <c r="Q224" i="6"/>
  <c r="R224" i="6" s="1"/>
  <c r="O224" i="6"/>
  <c r="P224" i="6" s="1"/>
  <c r="M224" i="6"/>
  <c r="N224" i="6" s="1"/>
  <c r="L224" i="6"/>
  <c r="W223" i="6"/>
  <c r="Q223" i="6"/>
  <c r="R223" i="6" s="1"/>
  <c r="O223" i="6"/>
  <c r="P223" i="6" s="1"/>
  <c r="M223" i="6"/>
  <c r="N223" i="6" s="1"/>
  <c r="L223" i="6"/>
  <c r="W222" i="6"/>
  <c r="Q222" i="6"/>
  <c r="R222" i="6" s="1"/>
  <c r="O222" i="6"/>
  <c r="P222" i="6" s="1"/>
  <c r="M222" i="6"/>
  <c r="N222" i="6" s="1"/>
  <c r="L222" i="6"/>
  <c r="W221" i="6"/>
  <c r="Q221" i="6"/>
  <c r="R221" i="6" s="1"/>
  <c r="O221" i="6"/>
  <c r="P221" i="6" s="1"/>
  <c r="M221" i="6"/>
  <c r="N221" i="6" s="1"/>
  <c r="L221" i="6"/>
  <c r="W220" i="6"/>
  <c r="Q220" i="6"/>
  <c r="R220" i="6" s="1"/>
  <c r="O220" i="6"/>
  <c r="P220" i="6" s="1"/>
  <c r="M220" i="6"/>
  <c r="N220" i="6" s="1"/>
  <c r="L220" i="6"/>
  <c r="W219" i="6"/>
  <c r="Q219" i="6"/>
  <c r="R219" i="6" s="1"/>
  <c r="O219" i="6"/>
  <c r="P219" i="6" s="1"/>
  <c r="M219" i="6"/>
  <c r="N219" i="6" s="1"/>
  <c r="L219" i="6"/>
  <c r="W218" i="6"/>
  <c r="Q218" i="6"/>
  <c r="R218" i="6" s="1"/>
  <c r="O218" i="6"/>
  <c r="P218" i="6" s="1"/>
  <c r="M218" i="6"/>
  <c r="N218" i="6" s="1"/>
  <c r="L218" i="6"/>
  <c r="W217" i="6"/>
  <c r="Q217" i="6"/>
  <c r="R217" i="6" s="1"/>
  <c r="O217" i="6"/>
  <c r="P217" i="6" s="1"/>
  <c r="M217" i="6"/>
  <c r="N217" i="6" s="1"/>
  <c r="L217" i="6"/>
  <c r="W216" i="6"/>
  <c r="Q216" i="6"/>
  <c r="R216" i="6" s="1"/>
  <c r="O216" i="6"/>
  <c r="P216" i="6" s="1"/>
  <c r="M216" i="6"/>
  <c r="N216" i="6" s="1"/>
  <c r="L216" i="6"/>
  <c r="W215" i="6"/>
  <c r="Q215" i="6"/>
  <c r="R215" i="6" s="1"/>
  <c r="O215" i="6"/>
  <c r="P215" i="6" s="1"/>
  <c r="M215" i="6"/>
  <c r="N215" i="6" s="1"/>
  <c r="L215" i="6"/>
  <c r="W214" i="6"/>
  <c r="Q214" i="6"/>
  <c r="R214" i="6" s="1"/>
  <c r="O214" i="6"/>
  <c r="P214" i="6" s="1"/>
  <c r="M214" i="6"/>
  <c r="N214" i="6" s="1"/>
  <c r="L214" i="6"/>
  <c r="W213" i="6"/>
  <c r="Q213" i="6"/>
  <c r="R213" i="6" s="1"/>
  <c r="O213" i="6"/>
  <c r="P213" i="6" s="1"/>
  <c r="M213" i="6"/>
  <c r="N213" i="6" s="1"/>
  <c r="L213" i="6"/>
  <c r="W212" i="6"/>
  <c r="Q212" i="6"/>
  <c r="R212" i="6" s="1"/>
  <c r="O212" i="6"/>
  <c r="P212" i="6" s="1"/>
  <c r="M212" i="6"/>
  <c r="N212" i="6" s="1"/>
  <c r="L212" i="6"/>
  <c r="W211" i="6"/>
  <c r="Q211" i="6"/>
  <c r="R211" i="6" s="1"/>
  <c r="O211" i="6"/>
  <c r="P211" i="6" s="1"/>
  <c r="M211" i="6"/>
  <c r="N211" i="6" s="1"/>
  <c r="L211" i="6"/>
  <c r="W210" i="6"/>
  <c r="Q210" i="6"/>
  <c r="R210" i="6" s="1"/>
  <c r="O210" i="6"/>
  <c r="P210" i="6" s="1"/>
  <c r="M210" i="6"/>
  <c r="N210" i="6" s="1"/>
  <c r="L210" i="6"/>
  <c r="W209" i="6"/>
  <c r="Q209" i="6"/>
  <c r="R209" i="6" s="1"/>
  <c r="O209" i="6"/>
  <c r="P209" i="6" s="1"/>
  <c r="M209" i="6"/>
  <c r="N209" i="6" s="1"/>
  <c r="L209" i="6"/>
  <c r="W208" i="6"/>
  <c r="Q208" i="6"/>
  <c r="R208" i="6" s="1"/>
  <c r="O208" i="6"/>
  <c r="P208" i="6" s="1"/>
  <c r="M208" i="6"/>
  <c r="N208" i="6" s="1"/>
  <c r="L208" i="6"/>
  <c r="W207" i="6"/>
  <c r="Q207" i="6"/>
  <c r="R207" i="6" s="1"/>
  <c r="O207" i="6"/>
  <c r="P207" i="6" s="1"/>
  <c r="M207" i="6"/>
  <c r="N207" i="6" s="1"/>
  <c r="L207" i="6"/>
  <c r="W206" i="6"/>
  <c r="Q206" i="6"/>
  <c r="R206" i="6" s="1"/>
  <c r="O206" i="6"/>
  <c r="P206" i="6" s="1"/>
  <c r="M206" i="6"/>
  <c r="N206" i="6" s="1"/>
  <c r="L206" i="6"/>
  <c r="W205" i="6"/>
  <c r="Q205" i="6"/>
  <c r="R205" i="6" s="1"/>
  <c r="O205" i="6"/>
  <c r="P205" i="6" s="1"/>
  <c r="M205" i="6"/>
  <c r="N205" i="6" s="1"/>
  <c r="L205" i="6"/>
  <c r="W204" i="6"/>
  <c r="Q204" i="6"/>
  <c r="R204" i="6" s="1"/>
  <c r="O204" i="6"/>
  <c r="P204" i="6" s="1"/>
  <c r="M204" i="6"/>
  <c r="N204" i="6" s="1"/>
  <c r="L204" i="6"/>
  <c r="W203" i="6"/>
  <c r="Q203" i="6"/>
  <c r="R203" i="6" s="1"/>
  <c r="O203" i="6"/>
  <c r="P203" i="6" s="1"/>
  <c r="M203" i="6"/>
  <c r="N203" i="6" s="1"/>
  <c r="L203" i="6"/>
  <c r="W202" i="6"/>
  <c r="Q202" i="6"/>
  <c r="R202" i="6" s="1"/>
  <c r="O202" i="6"/>
  <c r="P202" i="6" s="1"/>
  <c r="M202" i="6"/>
  <c r="N202" i="6" s="1"/>
  <c r="L202" i="6"/>
  <c r="W201" i="6"/>
  <c r="Q201" i="6"/>
  <c r="R201" i="6" s="1"/>
  <c r="O201" i="6"/>
  <c r="P201" i="6" s="1"/>
  <c r="M201" i="6"/>
  <c r="N201" i="6" s="1"/>
  <c r="L201" i="6"/>
  <c r="W200" i="6"/>
  <c r="Q200" i="6"/>
  <c r="R200" i="6" s="1"/>
  <c r="O200" i="6"/>
  <c r="P200" i="6" s="1"/>
  <c r="M200" i="6"/>
  <c r="N200" i="6" s="1"/>
  <c r="L200" i="6"/>
  <c r="W199" i="6"/>
  <c r="Q199" i="6"/>
  <c r="R199" i="6" s="1"/>
  <c r="O199" i="6"/>
  <c r="P199" i="6" s="1"/>
  <c r="M199" i="6"/>
  <c r="N199" i="6" s="1"/>
  <c r="L199" i="6"/>
  <c r="W198" i="6"/>
  <c r="Q198" i="6"/>
  <c r="R198" i="6" s="1"/>
  <c r="O198" i="6"/>
  <c r="P198" i="6" s="1"/>
  <c r="M198" i="6"/>
  <c r="N198" i="6" s="1"/>
  <c r="L198" i="6"/>
  <c r="W197" i="6"/>
  <c r="Q197" i="6"/>
  <c r="R197" i="6" s="1"/>
  <c r="O197" i="6"/>
  <c r="P197" i="6" s="1"/>
  <c r="M197" i="6"/>
  <c r="N197" i="6" s="1"/>
  <c r="L197" i="6"/>
  <c r="W196" i="6"/>
  <c r="Q196" i="6"/>
  <c r="R196" i="6" s="1"/>
  <c r="O196" i="6"/>
  <c r="P196" i="6" s="1"/>
  <c r="M196" i="6"/>
  <c r="N196" i="6" s="1"/>
  <c r="L196" i="6"/>
  <c r="W195" i="6"/>
  <c r="Q195" i="6"/>
  <c r="R195" i="6" s="1"/>
  <c r="O195" i="6"/>
  <c r="P195" i="6" s="1"/>
  <c r="M195" i="6"/>
  <c r="N195" i="6" s="1"/>
  <c r="L195" i="6"/>
  <c r="W194" i="6"/>
  <c r="Q194" i="6"/>
  <c r="R194" i="6" s="1"/>
  <c r="O194" i="6"/>
  <c r="P194" i="6" s="1"/>
  <c r="M194" i="6"/>
  <c r="N194" i="6" s="1"/>
  <c r="L194" i="6"/>
  <c r="W193" i="6"/>
  <c r="Q193" i="6"/>
  <c r="R193" i="6" s="1"/>
  <c r="O193" i="6"/>
  <c r="P193" i="6" s="1"/>
  <c r="M193" i="6"/>
  <c r="N193" i="6" s="1"/>
  <c r="L193" i="6"/>
  <c r="W192" i="6"/>
  <c r="Q192" i="6"/>
  <c r="R192" i="6" s="1"/>
  <c r="O192" i="6"/>
  <c r="P192" i="6" s="1"/>
  <c r="M192" i="6"/>
  <c r="N192" i="6" s="1"/>
  <c r="L192" i="6"/>
  <c r="W191" i="6"/>
  <c r="Q191" i="6"/>
  <c r="R191" i="6" s="1"/>
  <c r="O191" i="6"/>
  <c r="P191" i="6" s="1"/>
  <c r="M191" i="6"/>
  <c r="N191" i="6" s="1"/>
  <c r="L191" i="6"/>
  <c r="W190" i="6"/>
  <c r="Q190" i="6"/>
  <c r="R190" i="6" s="1"/>
  <c r="O190" i="6"/>
  <c r="P190" i="6" s="1"/>
  <c r="M190" i="6"/>
  <c r="N190" i="6" s="1"/>
  <c r="L190" i="6"/>
  <c r="W189" i="6"/>
  <c r="Q189" i="6"/>
  <c r="R189" i="6" s="1"/>
  <c r="O189" i="6"/>
  <c r="P189" i="6" s="1"/>
  <c r="M189" i="6"/>
  <c r="N189" i="6" s="1"/>
  <c r="L189" i="6"/>
  <c r="W188" i="6"/>
  <c r="Q188" i="6"/>
  <c r="R188" i="6" s="1"/>
  <c r="O188" i="6"/>
  <c r="P188" i="6" s="1"/>
  <c r="M188" i="6"/>
  <c r="N188" i="6" s="1"/>
  <c r="L188" i="6"/>
  <c r="W187" i="6"/>
  <c r="Q187" i="6"/>
  <c r="R187" i="6" s="1"/>
  <c r="O187" i="6"/>
  <c r="P187" i="6" s="1"/>
  <c r="M187" i="6"/>
  <c r="N187" i="6" s="1"/>
  <c r="L187" i="6"/>
  <c r="W186" i="6"/>
  <c r="Q186" i="6"/>
  <c r="R186" i="6" s="1"/>
  <c r="O186" i="6"/>
  <c r="P186" i="6" s="1"/>
  <c r="M186" i="6"/>
  <c r="N186" i="6" s="1"/>
  <c r="L186" i="6"/>
  <c r="W185" i="6"/>
  <c r="Q185" i="6"/>
  <c r="R185" i="6" s="1"/>
  <c r="O185" i="6"/>
  <c r="P185" i="6" s="1"/>
  <c r="M185" i="6"/>
  <c r="N185" i="6" s="1"/>
  <c r="L185" i="6"/>
  <c r="W184" i="6"/>
  <c r="Q184" i="6"/>
  <c r="R184" i="6" s="1"/>
  <c r="O184" i="6"/>
  <c r="P184" i="6" s="1"/>
  <c r="M184" i="6"/>
  <c r="N184" i="6" s="1"/>
  <c r="L184" i="6"/>
  <c r="W183" i="6"/>
  <c r="Q183" i="6"/>
  <c r="R183" i="6" s="1"/>
  <c r="O183" i="6"/>
  <c r="P183" i="6" s="1"/>
  <c r="M183" i="6"/>
  <c r="N183" i="6" s="1"/>
  <c r="L183" i="6"/>
  <c r="W182" i="6"/>
  <c r="Q182" i="6"/>
  <c r="R182" i="6" s="1"/>
  <c r="O182" i="6"/>
  <c r="P182" i="6" s="1"/>
  <c r="M182" i="6"/>
  <c r="N182" i="6" s="1"/>
  <c r="L182" i="6"/>
  <c r="W181" i="6"/>
  <c r="Q181" i="6"/>
  <c r="R181" i="6" s="1"/>
  <c r="O181" i="6"/>
  <c r="P181" i="6" s="1"/>
  <c r="M181" i="6"/>
  <c r="N181" i="6" s="1"/>
  <c r="L181" i="6"/>
  <c r="W180" i="6"/>
  <c r="Q180" i="6"/>
  <c r="R180" i="6" s="1"/>
  <c r="O180" i="6"/>
  <c r="P180" i="6" s="1"/>
  <c r="M180" i="6"/>
  <c r="N180" i="6" s="1"/>
  <c r="L180" i="6"/>
  <c r="W179" i="6"/>
  <c r="Q179" i="6"/>
  <c r="R179" i="6" s="1"/>
  <c r="O179" i="6"/>
  <c r="P179" i="6" s="1"/>
  <c r="M179" i="6"/>
  <c r="N179" i="6" s="1"/>
  <c r="L179" i="6"/>
  <c r="W178" i="6"/>
  <c r="Q178" i="6"/>
  <c r="R178" i="6" s="1"/>
  <c r="O178" i="6"/>
  <c r="P178" i="6" s="1"/>
  <c r="M178" i="6"/>
  <c r="N178" i="6" s="1"/>
  <c r="L178" i="6"/>
  <c r="W177" i="6"/>
  <c r="Q177" i="6"/>
  <c r="R177" i="6" s="1"/>
  <c r="O177" i="6"/>
  <c r="P177" i="6" s="1"/>
  <c r="M177" i="6"/>
  <c r="N177" i="6" s="1"/>
  <c r="L177" i="6"/>
  <c r="W176" i="6"/>
  <c r="Q176" i="6"/>
  <c r="R176" i="6" s="1"/>
  <c r="O176" i="6"/>
  <c r="P176" i="6" s="1"/>
  <c r="M176" i="6"/>
  <c r="N176" i="6" s="1"/>
  <c r="L176" i="6"/>
  <c r="W175" i="6"/>
  <c r="Q175" i="6"/>
  <c r="R175" i="6" s="1"/>
  <c r="O175" i="6"/>
  <c r="P175" i="6" s="1"/>
  <c r="M175" i="6"/>
  <c r="N175" i="6" s="1"/>
  <c r="L175" i="6"/>
  <c r="W174" i="6"/>
  <c r="Q174" i="6"/>
  <c r="R174" i="6" s="1"/>
  <c r="O174" i="6"/>
  <c r="P174" i="6" s="1"/>
  <c r="M174" i="6"/>
  <c r="N174" i="6" s="1"/>
  <c r="L174" i="6"/>
  <c r="W173" i="6"/>
  <c r="Q173" i="6"/>
  <c r="R173" i="6" s="1"/>
  <c r="O173" i="6"/>
  <c r="P173" i="6" s="1"/>
  <c r="M173" i="6"/>
  <c r="N173" i="6" s="1"/>
  <c r="L173" i="6"/>
  <c r="W172" i="6"/>
  <c r="Q172" i="6"/>
  <c r="R172" i="6" s="1"/>
  <c r="O172" i="6"/>
  <c r="P172" i="6" s="1"/>
  <c r="M172" i="6"/>
  <c r="N172" i="6" s="1"/>
  <c r="L172" i="6"/>
  <c r="W171" i="6"/>
  <c r="Q171" i="6"/>
  <c r="R171" i="6" s="1"/>
  <c r="O171" i="6"/>
  <c r="P171" i="6" s="1"/>
  <c r="M171" i="6"/>
  <c r="N171" i="6" s="1"/>
  <c r="L171" i="6"/>
  <c r="W170" i="6"/>
  <c r="R170" i="6"/>
  <c r="O170" i="6"/>
  <c r="P170" i="6" s="1"/>
  <c r="M170" i="6"/>
  <c r="N170" i="6" s="1"/>
  <c r="L170" i="6"/>
  <c r="W169" i="6"/>
  <c r="R169" i="6"/>
  <c r="O169" i="6"/>
  <c r="P169" i="6" s="1"/>
  <c r="M169" i="6"/>
  <c r="N169" i="6" s="1"/>
  <c r="L169" i="6"/>
  <c r="W168" i="6"/>
  <c r="R168" i="6"/>
  <c r="O168" i="6"/>
  <c r="P168" i="6" s="1"/>
  <c r="M168" i="6"/>
  <c r="N168" i="6" s="1"/>
  <c r="L168" i="6"/>
  <c r="W167" i="6"/>
  <c r="R167" i="6"/>
  <c r="O167" i="6"/>
  <c r="P167" i="6" s="1"/>
  <c r="M167" i="6"/>
  <c r="N167" i="6" s="1"/>
  <c r="L167" i="6"/>
  <c r="W166" i="6"/>
  <c r="R166" i="6"/>
  <c r="O166" i="6"/>
  <c r="P166" i="6" s="1"/>
  <c r="M166" i="6"/>
  <c r="N166" i="6" s="1"/>
  <c r="L166" i="6"/>
  <c r="W165" i="6"/>
  <c r="R165" i="6"/>
  <c r="O165" i="6"/>
  <c r="P165" i="6" s="1"/>
  <c r="M165" i="6"/>
  <c r="N165" i="6" s="1"/>
  <c r="L165" i="6"/>
  <c r="W164" i="6"/>
  <c r="R164" i="6"/>
  <c r="O164" i="6"/>
  <c r="P164" i="6" s="1"/>
  <c r="M164" i="6"/>
  <c r="N164" i="6" s="1"/>
  <c r="L164" i="6"/>
  <c r="W163" i="6"/>
  <c r="R163" i="6"/>
  <c r="O163" i="6"/>
  <c r="P163" i="6" s="1"/>
  <c r="M163" i="6"/>
  <c r="N163" i="6" s="1"/>
  <c r="L163" i="6"/>
  <c r="W162" i="6"/>
  <c r="R162" i="6"/>
  <c r="O162" i="6"/>
  <c r="P162" i="6" s="1"/>
  <c r="M162" i="6"/>
  <c r="N162" i="6" s="1"/>
  <c r="L162" i="6"/>
  <c r="W161" i="6"/>
  <c r="R161" i="6"/>
  <c r="O161" i="6"/>
  <c r="P161" i="6" s="1"/>
  <c r="M161" i="6"/>
  <c r="N161" i="6" s="1"/>
  <c r="L161" i="6"/>
  <c r="W160" i="6"/>
  <c r="R160" i="6"/>
  <c r="O160" i="6"/>
  <c r="P160" i="6" s="1"/>
  <c r="M160" i="6"/>
  <c r="N160" i="6" s="1"/>
  <c r="L160" i="6"/>
  <c r="W159" i="6"/>
  <c r="R159" i="6"/>
  <c r="O159" i="6"/>
  <c r="P159" i="6" s="1"/>
  <c r="M159" i="6"/>
  <c r="N159" i="6" s="1"/>
  <c r="L159" i="6"/>
  <c r="W158" i="6"/>
  <c r="R158" i="6"/>
  <c r="O158" i="6"/>
  <c r="P158" i="6" s="1"/>
  <c r="M158" i="6"/>
  <c r="N158" i="6" s="1"/>
  <c r="L158" i="6"/>
  <c r="W157" i="6"/>
  <c r="R157" i="6"/>
  <c r="O157" i="6"/>
  <c r="P157" i="6" s="1"/>
  <c r="M157" i="6"/>
  <c r="N157" i="6" s="1"/>
  <c r="L157" i="6"/>
  <c r="W156" i="6"/>
  <c r="R156" i="6"/>
  <c r="O156" i="6"/>
  <c r="P156" i="6" s="1"/>
  <c r="M156" i="6"/>
  <c r="N156" i="6" s="1"/>
  <c r="L156" i="6"/>
  <c r="W155" i="6"/>
  <c r="R155" i="6"/>
  <c r="O155" i="6"/>
  <c r="P155" i="6" s="1"/>
  <c r="M155" i="6"/>
  <c r="N155" i="6" s="1"/>
  <c r="L155" i="6"/>
  <c r="W154" i="6"/>
  <c r="R154" i="6"/>
  <c r="O154" i="6"/>
  <c r="P154" i="6" s="1"/>
  <c r="M154" i="6"/>
  <c r="N154" i="6" s="1"/>
  <c r="L154" i="6"/>
  <c r="W153" i="6"/>
  <c r="R153" i="6"/>
  <c r="O153" i="6"/>
  <c r="P153" i="6" s="1"/>
  <c r="M153" i="6"/>
  <c r="N153" i="6" s="1"/>
  <c r="L153" i="6"/>
  <c r="W152" i="6"/>
  <c r="R152" i="6"/>
  <c r="O152" i="6"/>
  <c r="P152" i="6" s="1"/>
  <c r="M152" i="6"/>
  <c r="N152" i="6" s="1"/>
  <c r="L152" i="6"/>
  <c r="W151" i="6"/>
  <c r="R151" i="6"/>
  <c r="O151" i="6"/>
  <c r="P151" i="6" s="1"/>
  <c r="M151" i="6"/>
  <c r="N151" i="6" s="1"/>
  <c r="L151" i="6"/>
  <c r="W150" i="6"/>
  <c r="R150" i="6"/>
  <c r="O150" i="6"/>
  <c r="P150" i="6" s="1"/>
  <c r="M150" i="6"/>
  <c r="N150" i="6" s="1"/>
  <c r="L150" i="6"/>
  <c r="W149" i="6"/>
  <c r="R149" i="6"/>
  <c r="O149" i="6"/>
  <c r="P149" i="6" s="1"/>
  <c r="M149" i="6"/>
  <c r="N149" i="6" s="1"/>
  <c r="L149" i="6"/>
  <c r="W148" i="6"/>
  <c r="R148" i="6"/>
  <c r="O148" i="6"/>
  <c r="P148" i="6" s="1"/>
  <c r="M148" i="6"/>
  <c r="N148" i="6" s="1"/>
  <c r="L148" i="6"/>
  <c r="W147" i="6"/>
  <c r="R147" i="6"/>
  <c r="O147" i="6"/>
  <c r="P147" i="6" s="1"/>
  <c r="M147" i="6"/>
  <c r="N147" i="6" s="1"/>
  <c r="L147" i="6"/>
  <c r="W146" i="6"/>
  <c r="R146" i="6"/>
  <c r="O146" i="6"/>
  <c r="P146" i="6" s="1"/>
  <c r="M146" i="6"/>
  <c r="N146" i="6" s="1"/>
  <c r="L146" i="6"/>
  <c r="W145" i="6"/>
  <c r="R145" i="6"/>
  <c r="O145" i="6"/>
  <c r="P145" i="6" s="1"/>
  <c r="M145" i="6"/>
  <c r="N145" i="6" s="1"/>
  <c r="L145" i="6"/>
  <c r="W144" i="6"/>
  <c r="R144" i="6"/>
  <c r="O144" i="6"/>
  <c r="P144" i="6" s="1"/>
  <c r="M144" i="6"/>
  <c r="N144" i="6" s="1"/>
  <c r="L144" i="6"/>
  <c r="W143" i="6"/>
  <c r="R143" i="6"/>
  <c r="O143" i="6"/>
  <c r="P143" i="6" s="1"/>
  <c r="M143" i="6"/>
  <c r="N143" i="6" s="1"/>
  <c r="L143" i="6"/>
  <c r="W142" i="6"/>
  <c r="R142" i="6"/>
  <c r="O142" i="6"/>
  <c r="P142" i="6" s="1"/>
  <c r="M142" i="6"/>
  <c r="N142" i="6" s="1"/>
  <c r="L142" i="6"/>
  <c r="W141" i="6"/>
  <c r="R141" i="6"/>
  <c r="O141" i="6"/>
  <c r="P141" i="6" s="1"/>
  <c r="M141" i="6"/>
  <c r="N141" i="6" s="1"/>
  <c r="L141" i="6"/>
  <c r="W140" i="6"/>
  <c r="R140" i="6"/>
  <c r="O140" i="6"/>
  <c r="P140" i="6" s="1"/>
  <c r="M140" i="6"/>
  <c r="N140" i="6" s="1"/>
  <c r="L140" i="6"/>
  <c r="W139" i="6"/>
  <c r="R139" i="6"/>
  <c r="O139" i="6"/>
  <c r="P139" i="6" s="1"/>
  <c r="M139" i="6"/>
  <c r="N139" i="6" s="1"/>
  <c r="L139" i="6"/>
  <c r="W138" i="6"/>
  <c r="R138" i="6"/>
  <c r="O138" i="6"/>
  <c r="P138" i="6" s="1"/>
  <c r="M138" i="6"/>
  <c r="N138" i="6" s="1"/>
  <c r="L138" i="6"/>
  <c r="W137" i="6"/>
  <c r="R137" i="6"/>
  <c r="O137" i="6"/>
  <c r="P137" i="6" s="1"/>
  <c r="M137" i="6"/>
  <c r="N137" i="6" s="1"/>
  <c r="L137" i="6"/>
  <c r="W136" i="6"/>
  <c r="R136" i="6"/>
  <c r="O136" i="6"/>
  <c r="P136" i="6" s="1"/>
  <c r="M136" i="6"/>
  <c r="N136" i="6" s="1"/>
  <c r="L136" i="6"/>
  <c r="W135" i="6"/>
  <c r="R135" i="6"/>
  <c r="O135" i="6"/>
  <c r="P135" i="6" s="1"/>
  <c r="M135" i="6"/>
  <c r="N135" i="6" s="1"/>
  <c r="L135" i="6"/>
  <c r="W134" i="6"/>
  <c r="R134" i="6"/>
  <c r="O134" i="6"/>
  <c r="P134" i="6" s="1"/>
  <c r="M134" i="6"/>
  <c r="N134" i="6" s="1"/>
  <c r="L134" i="6"/>
  <c r="W133" i="6"/>
  <c r="R133" i="6"/>
  <c r="O133" i="6"/>
  <c r="P133" i="6" s="1"/>
  <c r="M133" i="6"/>
  <c r="N133" i="6" s="1"/>
  <c r="L133" i="6"/>
  <c r="W132" i="6"/>
  <c r="R132" i="6"/>
  <c r="O132" i="6"/>
  <c r="P132" i="6" s="1"/>
  <c r="M132" i="6"/>
  <c r="N132" i="6" s="1"/>
  <c r="L132" i="6"/>
  <c r="W131" i="6"/>
  <c r="R131" i="6"/>
  <c r="O131" i="6"/>
  <c r="P131" i="6" s="1"/>
  <c r="M131" i="6"/>
  <c r="N131" i="6" s="1"/>
  <c r="L131" i="6"/>
  <c r="W130" i="6"/>
  <c r="R130" i="6"/>
  <c r="O130" i="6"/>
  <c r="P130" i="6" s="1"/>
  <c r="M130" i="6"/>
  <c r="N130" i="6" s="1"/>
  <c r="L130" i="6"/>
  <c r="W129" i="6"/>
  <c r="R129" i="6"/>
  <c r="O129" i="6"/>
  <c r="P129" i="6" s="1"/>
  <c r="M129" i="6"/>
  <c r="N129" i="6" s="1"/>
  <c r="L129" i="6"/>
  <c r="W128" i="6"/>
  <c r="R128" i="6"/>
  <c r="O128" i="6"/>
  <c r="P128" i="6" s="1"/>
  <c r="M128" i="6"/>
  <c r="N128" i="6" s="1"/>
  <c r="L128" i="6"/>
  <c r="W127" i="6"/>
  <c r="R127" i="6"/>
  <c r="O127" i="6"/>
  <c r="P127" i="6" s="1"/>
  <c r="M127" i="6"/>
  <c r="N127" i="6" s="1"/>
  <c r="L127" i="6"/>
  <c r="W126" i="6"/>
  <c r="R126" i="6"/>
  <c r="O126" i="6"/>
  <c r="P126" i="6" s="1"/>
  <c r="M126" i="6"/>
  <c r="N126" i="6" s="1"/>
  <c r="L126" i="6"/>
  <c r="W125" i="6"/>
  <c r="R125" i="6"/>
  <c r="O125" i="6"/>
  <c r="P125" i="6" s="1"/>
  <c r="M125" i="6"/>
  <c r="N125" i="6" s="1"/>
  <c r="L125" i="6"/>
  <c r="W124" i="6"/>
  <c r="R124" i="6"/>
  <c r="O124" i="6"/>
  <c r="P124" i="6" s="1"/>
  <c r="M124" i="6"/>
  <c r="N124" i="6" s="1"/>
  <c r="L124" i="6"/>
  <c r="W123" i="6"/>
  <c r="R123" i="6"/>
  <c r="O123" i="6"/>
  <c r="P123" i="6" s="1"/>
  <c r="M123" i="6"/>
  <c r="N123" i="6" s="1"/>
  <c r="L123" i="6"/>
  <c r="W122" i="6"/>
  <c r="R122" i="6"/>
  <c r="O122" i="6"/>
  <c r="P122" i="6" s="1"/>
  <c r="M122" i="6"/>
  <c r="N122" i="6" s="1"/>
  <c r="L122" i="6"/>
  <c r="W121" i="6"/>
  <c r="R121" i="6"/>
  <c r="O121" i="6"/>
  <c r="P121" i="6" s="1"/>
  <c r="M121" i="6"/>
  <c r="N121" i="6" s="1"/>
  <c r="L121" i="6"/>
  <c r="W120" i="6"/>
  <c r="R120" i="6"/>
  <c r="O120" i="6"/>
  <c r="P120" i="6" s="1"/>
  <c r="M120" i="6"/>
  <c r="N120" i="6" s="1"/>
  <c r="L120" i="6"/>
  <c r="W119" i="6"/>
  <c r="R119" i="6"/>
  <c r="O119" i="6"/>
  <c r="P119" i="6" s="1"/>
  <c r="M119" i="6"/>
  <c r="N119" i="6" s="1"/>
  <c r="L119" i="6"/>
  <c r="W118" i="6"/>
  <c r="R118" i="6"/>
  <c r="O118" i="6"/>
  <c r="P118" i="6" s="1"/>
  <c r="M118" i="6"/>
  <c r="N118" i="6" s="1"/>
  <c r="L118" i="6"/>
  <c r="W117" i="6"/>
  <c r="R117" i="6"/>
  <c r="O117" i="6"/>
  <c r="P117" i="6" s="1"/>
  <c r="M117" i="6"/>
  <c r="N117" i="6" s="1"/>
  <c r="L117" i="6"/>
  <c r="W116" i="6"/>
  <c r="R116" i="6"/>
  <c r="O116" i="6"/>
  <c r="P116" i="6" s="1"/>
  <c r="M116" i="6"/>
  <c r="N116" i="6" s="1"/>
  <c r="L116" i="6"/>
  <c r="W115" i="6"/>
  <c r="R115" i="6"/>
  <c r="O115" i="6"/>
  <c r="P115" i="6" s="1"/>
  <c r="M115" i="6"/>
  <c r="N115" i="6" s="1"/>
  <c r="L115" i="6"/>
  <c r="W114" i="6"/>
  <c r="R114" i="6"/>
  <c r="O114" i="6"/>
  <c r="P114" i="6" s="1"/>
  <c r="M114" i="6"/>
  <c r="N114" i="6" s="1"/>
  <c r="L114" i="6"/>
  <c r="W113" i="6"/>
  <c r="R113" i="6"/>
  <c r="O113" i="6"/>
  <c r="P113" i="6" s="1"/>
  <c r="M113" i="6"/>
  <c r="N113" i="6" s="1"/>
  <c r="L113" i="6"/>
  <c r="W112" i="6"/>
  <c r="R112" i="6"/>
  <c r="O112" i="6"/>
  <c r="P112" i="6" s="1"/>
  <c r="M112" i="6"/>
  <c r="N112" i="6" s="1"/>
  <c r="L112" i="6"/>
  <c r="W111" i="6"/>
  <c r="R111" i="6"/>
  <c r="O111" i="6"/>
  <c r="P111" i="6" s="1"/>
  <c r="M111" i="6"/>
  <c r="N111" i="6" s="1"/>
  <c r="L111" i="6"/>
  <c r="W110" i="6"/>
  <c r="R110" i="6"/>
  <c r="O110" i="6"/>
  <c r="P110" i="6" s="1"/>
  <c r="M110" i="6"/>
  <c r="N110" i="6" s="1"/>
  <c r="L110" i="6"/>
  <c r="W109" i="6"/>
  <c r="R109" i="6"/>
  <c r="O109" i="6"/>
  <c r="P109" i="6" s="1"/>
  <c r="N109" i="6"/>
  <c r="L109" i="6"/>
  <c r="W108" i="6"/>
  <c r="R108" i="6"/>
  <c r="O108" i="6"/>
  <c r="P108" i="6" s="1"/>
  <c r="N108" i="6"/>
  <c r="L108" i="6"/>
  <c r="W107" i="6"/>
  <c r="R107" i="6"/>
  <c r="O107" i="6"/>
  <c r="P107" i="6" s="1"/>
  <c r="N107" i="6"/>
  <c r="L107" i="6"/>
  <c r="W106" i="6"/>
  <c r="R106" i="6"/>
  <c r="O106" i="6"/>
  <c r="P106" i="6" s="1"/>
  <c r="N106" i="6"/>
  <c r="L106" i="6"/>
  <c r="W105" i="6"/>
  <c r="R105" i="6"/>
  <c r="O105" i="6"/>
  <c r="P105" i="6" s="1"/>
  <c r="N105" i="6"/>
  <c r="L105" i="6"/>
  <c r="W104" i="6"/>
  <c r="R104" i="6"/>
  <c r="O104" i="6"/>
  <c r="P104" i="6" s="1"/>
  <c r="N104" i="6"/>
  <c r="T89" i="6" s="1"/>
  <c r="U89" i="6" s="1"/>
  <c r="V89" i="6" s="1"/>
  <c r="X89" i="6" s="1"/>
  <c r="L104" i="6"/>
  <c r="W103" i="6"/>
  <c r="R103" i="6"/>
  <c r="O103" i="6"/>
  <c r="P103" i="6" s="1"/>
  <c r="N103" i="6"/>
  <c r="T88" i="6" s="1"/>
  <c r="U88" i="6" s="1"/>
  <c r="V88" i="6" s="1"/>
  <c r="X88" i="6" s="1"/>
  <c r="L103" i="6"/>
  <c r="W102" i="6"/>
  <c r="R102" i="6"/>
  <c r="O102" i="6"/>
  <c r="P102" i="6" s="1"/>
  <c r="N102" i="6"/>
  <c r="T87" i="6" s="1"/>
  <c r="U87" i="6" s="1"/>
  <c r="V87" i="6" s="1"/>
  <c r="X87" i="6" s="1"/>
  <c r="L102" i="6"/>
  <c r="W101" i="6"/>
  <c r="R101" i="6"/>
  <c r="O101" i="6"/>
  <c r="P101" i="6" s="1"/>
  <c r="N101" i="6"/>
  <c r="T86" i="6" s="1"/>
  <c r="U86" i="6" s="1"/>
  <c r="V86" i="6" s="1"/>
  <c r="X86" i="6" s="1"/>
  <c r="L101" i="6"/>
  <c r="W100" i="6"/>
  <c r="R100" i="6"/>
  <c r="O100" i="6"/>
  <c r="P100" i="6" s="1"/>
  <c r="N100" i="6"/>
  <c r="T85" i="6" s="1"/>
  <c r="U85" i="6" s="1"/>
  <c r="V85" i="6" s="1"/>
  <c r="X85" i="6" s="1"/>
  <c r="L100" i="6"/>
  <c r="W99" i="6"/>
  <c r="R99" i="6"/>
  <c r="O99" i="6"/>
  <c r="P99" i="6" s="1"/>
  <c r="N99" i="6"/>
  <c r="T84" i="6" s="1"/>
  <c r="U84" i="6" s="1"/>
  <c r="V84" i="6" s="1"/>
  <c r="X84" i="6" s="1"/>
  <c r="L99" i="6"/>
  <c r="W98" i="6"/>
  <c r="R98" i="6"/>
  <c r="O98" i="6"/>
  <c r="P98" i="6" s="1"/>
  <c r="N98" i="6"/>
  <c r="T83" i="6" s="1"/>
  <c r="U83" i="6" s="1"/>
  <c r="V83" i="6" s="1"/>
  <c r="X83" i="6" s="1"/>
  <c r="L98" i="6"/>
  <c r="W97" i="6"/>
  <c r="R97" i="6"/>
  <c r="O97" i="6"/>
  <c r="P97" i="6" s="1"/>
  <c r="N97" i="6"/>
  <c r="T82" i="6" s="1"/>
  <c r="U82" i="6" s="1"/>
  <c r="V82" i="6" s="1"/>
  <c r="X82" i="6" s="1"/>
  <c r="L97" i="6"/>
  <c r="W96" i="6"/>
  <c r="R96" i="6"/>
  <c r="O96" i="6"/>
  <c r="P96" i="6" s="1"/>
  <c r="N96" i="6"/>
  <c r="T81" i="6" s="1"/>
  <c r="U81" i="6" s="1"/>
  <c r="V81" i="6" s="1"/>
  <c r="X81" i="6" s="1"/>
  <c r="L96" i="6"/>
  <c r="W95" i="6"/>
  <c r="R95" i="6"/>
  <c r="O95" i="6"/>
  <c r="P95" i="6" s="1"/>
  <c r="N95" i="6"/>
  <c r="T80" i="6" s="1"/>
  <c r="U80" i="6" s="1"/>
  <c r="V80" i="6" s="1"/>
  <c r="X80" i="6" s="1"/>
  <c r="L95" i="6"/>
  <c r="W94" i="6"/>
  <c r="R94" i="6"/>
  <c r="O94" i="6"/>
  <c r="P94" i="6" s="1"/>
  <c r="N94" i="6"/>
  <c r="T79" i="6" s="1"/>
  <c r="U79" i="6" s="1"/>
  <c r="V79" i="6" s="1"/>
  <c r="X79" i="6" s="1"/>
  <c r="L94" i="6"/>
  <c r="W93" i="6"/>
  <c r="R93" i="6"/>
  <c r="O93" i="6"/>
  <c r="P93" i="6" s="1"/>
  <c r="N93" i="6"/>
  <c r="T78" i="6" s="1"/>
  <c r="U78" i="6" s="1"/>
  <c r="V78" i="6" s="1"/>
  <c r="X78" i="6" s="1"/>
  <c r="L93" i="6"/>
  <c r="W92" i="6"/>
  <c r="R92" i="6"/>
  <c r="O92" i="6"/>
  <c r="P92" i="6" s="1"/>
  <c r="N92" i="6"/>
  <c r="T77" i="6" s="1"/>
  <c r="U77" i="6" s="1"/>
  <c r="V77" i="6" s="1"/>
  <c r="L92" i="6"/>
  <c r="W91" i="6"/>
  <c r="R91" i="6"/>
  <c r="O91" i="6"/>
  <c r="P91" i="6" s="1"/>
  <c r="N91" i="6"/>
  <c r="T76" i="6" s="1"/>
  <c r="U76" i="6" s="1"/>
  <c r="V76" i="6" s="1"/>
  <c r="X76" i="6" s="1"/>
  <c r="L91" i="6"/>
  <c r="P90" i="6"/>
  <c r="N90" i="6"/>
  <c r="T75" i="6" s="1"/>
  <c r="U75" i="6" s="1"/>
  <c r="V75" i="6" s="1"/>
  <c r="X75" i="6" s="1"/>
  <c r="L90" i="6"/>
  <c r="W25" i="6"/>
  <c r="Q25" i="6"/>
  <c r="R25" i="6" s="1"/>
  <c r="O25" i="6"/>
  <c r="P25" i="6" s="1"/>
  <c r="M25" i="6"/>
  <c r="N25" i="6" s="1"/>
  <c r="W24" i="6"/>
  <c r="Q24" i="6"/>
  <c r="R24" i="6" s="1"/>
  <c r="O24" i="6"/>
  <c r="P24" i="6" s="1"/>
  <c r="M24" i="6"/>
  <c r="N24" i="6" s="1"/>
  <c r="W23" i="6"/>
  <c r="Q23" i="6"/>
  <c r="R23" i="6" s="1"/>
  <c r="O23" i="6"/>
  <c r="P23" i="6" s="1"/>
  <c r="M23" i="6"/>
  <c r="N23" i="6" s="1"/>
  <c r="W22" i="6"/>
  <c r="Q22" i="6"/>
  <c r="R22" i="6" s="1"/>
  <c r="O22" i="6"/>
  <c r="P22" i="6" s="1"/>
  <c r="M22" i="6"/>
  <c r="N22" i="6" s="1"/>
  <c r="W21" i="6"/>
  <c r="Q21" i="6"/>
  <c r="R21" i="6" s="1"/>
  <c r="O21" i="6"/>
  <c r="P21" i="6" s="1"/>
  <c r="M21" i="6"/>
  <c r="N21" i="6" s="1"/>
  <c r="W20" i="6"/>
  <c r="Q20" i="6"/>
  <c r="R20" i="6" s="1"/>
  <c r="O20" i="6"/>
  <c r="P20" i="6" s="1"/>
  <c r="M20" i="6"/>
  <c r="N20" i="6" s="1"/>
  <c r="W19" i="6"/>
  <c r="Q19" i="6"/>
  <c r="R19" i="6" s="1"/>
  <c r="O19" i="6"/>
  <c r="P19" i="6" s="1"/>
  <c r="M19" i="6"/>
  <c r="N19" i="6" s="1"/>
  <c r="W18" i="6"/>
  <c r="Q18" i="6"/>
  <c r="R18" i="6" s="1"/>
  <c r="O18" i="6"/>
  <c r="P18" i="6" s="1"/>
  <c r="M18" i="6"/>
  <c r="N18" i="6" s="1"/>
  <c r="W17" i="6"/>
  <c r="Q17" i="6"/>
  <c r="R17" i="6" s="1"/>
  <c r="M17" i="6"/>
  <c r="N17" i="6" s="1"/>
  <c r="W16" i="6"/>
  <c r="Q16" i="6"/>
  <c r="R16" i="6" s="1"/>
  <c r="O16" i="6"/>
  <c r="P16" i="6" s="1"/>
  <c r="M16" i="6"/>
  <c r="N16" i="6" s="1"/>
  <c r="W15" i="6"/>
  <c r="Q15" i="6"/>
  <c r="R15" i="6" s="1"/>
  <c r="O15" i="6"/>
  <c r="P15" i="6" s="1"/>
  <c r="M15" i="6"/>
  <c r="N15" i="6" s="1"/>
  <c r="L15" i="6"/>
  <c r="W14" i="6"/>
  <c r="Q14" i="6"/>
  <c r="R14" i="6" s="1"/>
  <c r="O14" i="6"/>
  <c r="P14" i="6" s="1"/>
  <c r="M14" i="6"/>
  <c r="N14" i="6" s="1"/>
  <c r="L14" i="6"/>
  <c r="W13" i="6"/>
  <c r="Q13" i="6"/>
  <c r="R13" i="6" s="1"/>
  <c r="O13" i="6"/>
  <c r="P13" i="6" s="1"/>
  <c r="M13" i="6"/>
  <c r="N13" i="6" s="1"/>
  <c r="L13" i="6"/>
  <c r="W12" i="6"/>
  <c r="Q12" i="6"/>
  <c r="R12" i="6" s="1"/>
  <c r="O12" i="6"/>
  <c r="P12" i="6" s="1"/>
  <c r="M12" i="6"/>
  <c r="N12" i="6" s="1"/>
  <c r="L12" i="6"/>
  <c r="W11" i="6"/>
  <c r="Q11" i="6"/>
  <c r="R11" i="6" s="1"/>
  <c r="O11" i="6"/>
  <c r="P11" i="6" s="1"/>
  <c r="M11" i="6"/>
  <c r="N11" i="6" s="1"/>
  <c r="L11" i="6"/>
  <c r="W10" i="6"/>
  <c r="Q10" i="6"/>
  <c r="R10" i="6" s="1"/>
  <c r="O10" i="6"/>
  <c r="P10" i="6" s="1"/>
  <c r="M10" i="6"/>
  <c r="N10" i="6" s="1"/>
  <c r="L10" i="6"/>
  <c r="W9" i="6"/>
  <c r="Q9" i="6"/>
  <c r="R9" i="6" s="1"/>
  <c r="O9" i="6"/>
  <c r="P9" i="6" s="1"/>
  <c r="M9" i="6"/>
  <c r="N9" i="6" s="1"/>
  <c r="L9" i="6"/>
  <c r="W8" i="6"/>
  <c r="Q8" i="6"/>
  <c r="R8" i="6" s="1"/>
  <c r="O8" i="6"/>
  <c r="P8" i="6" s="1"/>
  <c r="M8" i="6"/>
  <c r="N8" i="6" s="1"/>
  <c r="L8" i="6"/>
  <c r="W7" i="6"/>
  <c r="Q7" i="6"/>
  <c r="R7" i="6" s="1"/>
  <c r="O7" i="6"/>
  <c r="P7" i="6" s="1"/>
  <c r="M7" i="6"/>
  <c r="N7" i="6" s="1"/>
  <c r="L7" i="6"/>
  <c r="W6" i="6"/>
  <c r="Q6" i="6"/>
  <c r="R6" i="6" s="1"/>
  <c r="O6" i="6"/>
  <c r="P6" i="6" s="1"/>
  <c r="M6" i="6"/>
  <c r="N6" i="6" s="1"/>
  <c r="L6" i="6"/>
  <c r="W5" i="6"/>
  <c r="Q5" i="6"/>
  <c r="R5" i="6" s="1"/>
  <c r="O5" i="6"/>
  <c r="P5" i="6" s="1"/>
  <c r="M5" i="6"/>
  <c r="N5" i="6" s="1"/>
  <c r="L5" i="6"/>
  <c r="W4" i="6"/>
  <c r="Q4" i="6"/>
  <c r="R4" i="6" s="1"/>
  <c r="O4" i="6"/>
  <c r="P4" i="6" s="1"/>
  <c r="M4" i="6"/>
  <c r="N4" i="6" s="1"/>
  <c r="L4" i="6"/>
  <c r="W3" i="6"/>
  <c r="Q3" i="6"/>
  <c r="R3" i="6" s="1"/>
  <c r="O3" i="6"/>
  <c r="P3" i="6" s="1"/>
  <c r="K3" i="6"/>
  <c r="L3" i="6" s="1"/>
  <c r="Q10" i="2"/>
  <c r="R10" i="2" s="1"/>
  <c r="O10" i="2"/>
  <c r="P10" i="2" s="1"/>
  <c r="M10" i="2"/>
  <c r="N10" i="2" s="1"/>
  <c r="K10" i="2"/>
  <c r="L10" i="2" s="1"/>
  <c r="S9" i="2"/>
  <c r="S12" i="2"/>
  <c r="S14" i="2"/>
  <c r="S15" i="2"/>
  <c r="S16" i="2"/>
  <c r="S17" i="2"/>
  <c r="S18" i="2"/>
  <c r="S19" i="2"/>
  <c r="S21" i="2"/>
  <c r="S22" i="2"/>
  <c r="S23" i="2"/>
  <c r="S25" i="2"/>
  <c r="S26" i="2"/>
  <c r="S27" i="2"/>
  <c r="S28" i="2"/>
  <c r="S29" i="2"/>
  <c r="S30" i="2"/>
  <c r="S31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4" i="2"/>
  <c r="S55" i="2"/>
  <c r="S56" i="2"/>
  <c r="S57" i="2"/>
  <c r="S58" i="2"/>
  <c r="S59" i="2"/>
  <c r="S60" i="2"/>
  <c r="S61" i="2"/>
  <c r="S62" i="2"/>
  <c r="S64" i="2"/>
  <c r="S65" i="2"/>
  <c r="S66" i="2"/>
  <c r="S67" i="2"/>
  <c r="S68" i="2"/>
  <c r="S69" i="2"/>
  <c r="S70" i="2"/>
  <c r="S71" i="2"/>
  <c r="S72" i="2"/>
  <c r="S73" i="2"/>
  <c r="S74" i="2"/>
  <c r="S76" i="2"/>
  <c r="S78" i="2"/>
  <c r="S79" i="2"/>
  <c r="S80" i="2"/>
  <c r="S81" i="2"/>
  <c r="S82" i="2"/>
  <c r="S83" i="2"/>
  <c r="S84" i="2"/>
  <c r="S86" i="2"/>
  <c r="S87" i="2"/>
  <c r="S88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3" i="2"/>
  <c r="S4" i="2"/>
  <c r="S5" i="2"/>
  <c r="S6" i="2"/>
  <c r="S7" i="2"/>
  <c r="S8" i="2"/>
  <c r="S10" i="2"/>
  <c r="S105" i="2"/>
  <c r="S106" i="2"/>
  <c r="S107" i="2"/>
  <c r="S108" i="2"/>
  <c r="S109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3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80" i="2"/>
  <c r="S181" i="2"/>
  <c r="S182" i="2"/>
  <c r="S183" i="2"/>
  <c r="S184" i="2"/>
  <c r="S263" i="2"/>
  <c r="T263" i="2" s="1"/>
  <c r="U263" i="2" s="1"/>
  <c r="S264" i="2"/>
  <c r="T264" i="2" s="1"/>
  <c r="U264" i="2" s="1"/>
  <c r="V264" i="2" s="1"/>
  <c r="S265" i="2"/>
  <c r="S266" i="2"/>
  <c r="S267" i="2"/>
  <c r="S269" i="2"/>
  <c r="S270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11" i="2"/>
  <c r="U53" i="1" l="1"/>
  <c r="T95" i="6"/>
  <c r="U95" i="6" s="1"/>
  <c r="V95" i="6" s="1"/>
  <c r="X95" i="6" s="1"/>
  <c r="T96" i="6"/>
  <c r="U96" i="6" s="1"/>
  <c r="V96" i="6" s="1"/>
  <c r="X96" i="6" s="1"/>
  <c r="T94" i="6"/>
  <c r="U94" i="6" s="1"/>
  <c r="V94" i="6" s="1"/>
  <c r="T93" i="6"/>
  <c r="U93" i="6" s="1"/>
  <c r="V93" i="6" s="1"/>
  <c r="X93" i="6" s="1"/>
  <c r="X77" i="6"/>
  <c r="T92" i="6"/>
  <c r="U92" i="6" s="1"/>
  <c r="V92" i="6" s="1"/>
  <c r="X92" i="6" s="1"/>
  <c r="T91" i="6"/>
  <c r="U91" i="6" s="1"/>
  <c r="V91" i="6" s="1"/>
  <c r="T90" i="6"/>
  <c r="U90" i="6" s="1"/>
  <c r="V90" i="6" s="1"/>
  <c r="X90" i="6" s="1"/>
  <c r="T7" i="6"/>
  <c r="U7" i="6" s="1"/>
  <c r="V7" i="6" s="1"/>
  <c r="X7" i="6" s="1"/>
  <c r="T9" i="6"/>
  <c r="U9" i="6" s="1"/>
  <c r="V9" i="6" s="1"/>
  <c r="X9" i="6" s="1"/>
  <c r="T11" i="6"/>
  <c r="U11" i="6" s="1"/>
  <c r="V11" i="6" s="1"/>
  <c r="X11" i="6" s="1"/>
  <c r="T13" i="6"/>
  <c r="U13" i="6" s="1"/>
  <c r="V13" i="6" s="1"/>
  <c r="X13" i="6" s="1"/>
  <c r="T15" i="6"/>
  <c r="U15" i="6" s="1"/>
  <c r="V15" i="6" s="1"/>
  <c r="X15" i="6" s="1"/>
  <c r="T18" i="6"/>
  <c r="U18" i="6" s="1"/>
  <c r="V18" i="6" s="1"/>
  <c r="X18" i="6" s="1"/>
  <c r="U41" i="1" s="1"/>
  <c r="T224" i="6"/>
  <c r="U224" i="6" s="1"/>
  <c r="V224" i="6" s="1"/>
  <c r="X224" i="6" s="1"/>
  <c r="T226" i="6"/>
  <c r="U226" i="6" s="1"/>
  <c r="V226" i="6" s="1"/>
  <c r="X226" i="6" s="1"/>
  <c r="T228" i="6"/>
  <c r="U228" i="6" s="1"/>
  <c r="V228" i="6" s="1"/>
  <c r="X228" i="6" s="1"/>
  <c r="T6" i="6"/>
  <c r="U6" i="6" s="1"/>
  <c r="V6" i="6" s="1"/>
  <c r="X6" i="6" s="1"/>
  <c r="T8" i="6"/>
  <c r="U8" i="6" s="1"/>
  <c r="V8" i="6" s="1"/>
  <c r="X8" i="6" s="1"/>
  <c r="O30" i="1" s="1"/>
  <c r="T10" i="6"/>
  <c r="U10" i="6" s="1"/>
  <c r="V10" i="6" s="1"/>
  <c r="X10" i="6" s="1"/>
  <c r="T12" i="6"/>
  <c r="U12" i="6" s="1"/>
  <c r="V12" i="6" s="1"/>
  <c r="X12" i="6" s="1"/>
  <c r="T14" i="6"/>
  <c r="U14" i="6" s="1"/>
  <c r="V14" i="6" s="1"/>
  <c r="X14" i="6" s="1"/>
  <c r="T16" i="6"/>
  <c r="U16" i="6" s="1"/>
  <c r="V16" i="6" s="1"/>
  <c r="X16" i="6" s="1"/>
  <c r="T17" i="6"/>
  <c r="U17" i="6" s="1"/>
  <c r="V17" i="6" s="1"/>
  <c r="X17" i="6" s="1"/>
  <c r="T20" i="6"/>
  <c r="U20" i="6" s="1"/>
  <c r="V20" i="6" s="1"/>
  <c r="X20" i="6" s="1"/>
  <c r="T225" i="6"/>
  <c r="U225" i="6" s="1"/>
  <c r="V225" i="6" s="1"/>
  <c r="X225" i="6" s="1"/>
  <c r="T227" i="6"/>
  <c r="U227" i="6" s="1"/>
  <c r="V227" i="6" s="1"/>
  <c r="X227" i="6" s="1"/>
  <c r="T5" i="6"/>
  <c r="U5" i="6" s="1"/>
  <c r="V5" i="6" s="1"/>
  <c r="T21" i="6"/>
  <c r="U21" i="6" s="1"/>
  <c r="V21" i="6" s="1"/>
  <c r="X21" i="6" s="1"/>
  <c r="O15" i="1" s="1"/>
  <c r="T22" i="6"/>
  <c r="U22" i="6" s="1"/>
  <c r="V22" i="6" s="1"/>
  <c r="X22" i="6" s="1"/>
  <c r="T23" i="6"/>
  <c r="U23" i="6" s="1"/>
  <c r="V23" i="6" s="1"/>
  <c r="X23" i="6" s="1"/>
  <c r="T229" i="6"/>
  <c r="U229" i="6" s="1"/>
  <c r="V229" i="6" s="1"/>
  <c r="X229" i="6" s="1"/>
  <c r="T230" i="6"/>
  <c r="U230" i="6" s="1"/>
  <c r="V230" i="6" s="1"/>
  <c r="X230" i="6" s="1"/>
  <c r="T231" i="6"/>
  <c r="U231" i="6" s="1"/>
  <c r="V231" i="6" s="1"/>
  <c r="X231" i="6" s="1"/>
  <c r="T232" i="6"/>
  <c r="U232" i="6" s="1"/>
  <c r="V232" i="6" s="1"/>
  <c r="X232" i="6" s="1"/>
  <c r="T233" i="6"/>
  <c r="U233" i="6" s="1"/>
  <c r="V233" i="6" s="1"/>
  <c r="X233" i="6" s="1"/>
  <c r="T234" i="6"/>
  <c r="U234" i="6" s="1"/>
  <c r="V234" i="6" s="1"/>
  <c r="X234" i="6" s="1"/>
  <c r="T235" i="6"/>
  <c r="U235" i="6" s="1"/>
  <c r="V235" i="6" s="1"/>
  <c r="X235" i="6" s="1"/>
  <c r="T236" i="6"/>
  <c r="U236" i="6" s="1"/>
  <c r="V236" i="6" s="1"/>
  <c r="X236" i="6" s="1"/>
  <c r="T237" i="6"/>
  <c r="U237" i="6" s="1"/>
  <c r="V237" i="6" s="1"/>
  <c r="X237" i="6" s="1"/>
  <c r="T238" i="6"/>
  <c r="U238" i="6" s="1"/>
  <c r="V238" i="6" s="1"/>
  <c r="X238" i="6" s="1"/>
  <c r="T239" i="6"/>
  <c r="U239" i="6" s="1"/>
  <c r="V239" i="6" s="1"/>
  <c r="X239" i="6" s="1"/>
  <c r="T240" i="6"/>
  <c r="U240" i="6" s="1"/>
  <c r="V240" i="6" s="1"/>
  <c r="X240" i="6" s="1"/>
  <c r="T241" i="6"/>
  <c r="U241" i="6" s="1"/>
  <c r="V241" i="6" s="1"/>
  <c r="X241" i="6" s="1"/>
  <c r="T242" i="6"/>
  <c r="U242" i="6" s="1"/>
  <c r="V242" i="6" s="1"/>
  <c r="X242" i="6" s="1"/>
  <c r="T243" i="6"/>
  <c r="U243" i="6" s="1"/>
  <c r="V243" i="6" s="1"/>
  <c r="X243" i="6" s="1"/>
  <c r="T244" i="6"/>
  <c r="U244" i="6" s="1"/>
  <c r="V244" i="6" s="1"/>
  <c r="X244" i="6" s="1"/>
  <c r="T245" i="6"/>
  <c r="U245" i="6" s="1"/>
  <c r="V245" i="6" s="1"/>
  <c r="X245" i="6" s="1"/>
  <c r="T246" i="6"/>
  <c r="U246" i="6" s="1"/>
  <c r="V246" i="6" s="1"/>
  <c r="X246" i="6" s="1"/>
  <c r="T247" i="6"/>
  <c r="U247" i="6" s="1"/>
  <c r="V247" i="6" s="1"/>
  <c r="X247" i="6" s="1"/>
  <c r="T248" i="6"/>
  <c r="U248" i="6" s="1"/>
  <c r="V248" i="6" s="1"/>
  <c r="X248" i="6" s="1"/>
  <c r="T249" i="6"/>
  <c r="U249" i="6" s="1"/>
  <c r="V249" i="6" s="1"/>
  <c r="X249" i="6" s="1"/>
  <c r="T250" i="6"/>
  <c r="U250" i="6" s="1"/>
  <c r="V250" i="6" s="1"/>
  <c r="X250" i="6" s="1"/>
  <c r="T251" i="6"/>
  <c r="U251" i="6" s="1"/>
  <c r="V251" i="6" s="1"/>
  <c r="X251" i="6" s="1"/>
  <c r="T252" i="6"/>
  <c r="U252" i="6" s="1"/>
  <c r="V252" i="6" s="1"/>
  <c r="X252" i="6" s="1"/>
  <c r="T253" i="6"/>
  <c r="U253" i="6" s="1"/>
  <c r="V253" i="6" s="1"/>
  <c r="X253" i="6" s="1"/>
  <c r="T254" i="6"/>
  <c r="U254" i="6" s="1"/>
  <c r="V254" i="6" s="1"/>
  <c r="X254" i="6" s="1"/>
  <c r="T256" i="6"/>
  <c r="U256" i="6" s="1"/>
  <c r="V256" i="6" s="1"/>
  <c r="X256" i="6" s="1"/>
  <c r="T257" i="6"/>
  <c r="U257" i="6" s="1"/>
  <c r="V257" i="6" s="1"/>
  <c r="X257" i="6" s="1"/>
  <c r="T258" i="6"/>
  <c r="U258" i="6" s="1"/>
  <c r="V258" i="6" s="1"/>
  <c r="X258" i="6" s="1"/>
  <c r="T259" i="6"/>
  <c r="U259" i="6" s="1"/>
  <c r="V259" i="6" s="1"/>
  <c r="X259" i="6" s="1"/>
  <c r="T260" i="6"/>
  <c r="U260" i="6" s="1"/>
  <c r="V260" i="6" s="1"/>
  <c r="X260" i="6" s="1"/>
  <c r="T261" i="6"/>
  <c r="U261" i="6" s="1"/>
  <c r="V261" i="6" s="1"/>
  <c r="X261" i="6" s="1"/>
  <c r="T262" i="6"/>
  <c r="U262" i="6" s="1"/>
  <c r="V262" i="6" s="1"/>
  <c r="X262" i="6" s="1"/>
  <c r="T263" i="6"/>
  <c r="U263" i="6" s="1"/>
  <c r="V263" i="6" s="1"/>
  <c r="X263" i="6" s="1"/>
  <c r="T264" i="6"/>
  <c r="U264" i="6" s="1"/>
  <c r="V264" i="6" s="1"/>
  <c r="X264" i="6" s="1"/>
  <c r="T265" i="6"/>
  <c r="U265" i="6" s="1"/>
  <c r="V265" i="6" s="1"/>
  <c r="X265" i="6" s="1"/>
  <c r="T266" i="6"/>
  <c r="U266" i="6" s="1"/>
  <c r="V266" i="6" s="1"/>
  <c r="X266" i="6" s="1"/>
  <c r="T267" i="6"/>
  <c r="U267" i="6" s="1"/>
  <c r="V267" i="6" s="1"/>
  <c r="X267" i="6" s="1"/>
  <c r="T268" i="6"/>
  <c r="U268" i="6" s="1"/>
  <c r="V268" i="6" s="1"/>
  <c r="X268" i="6" s="1"/>
  <c r="T269" i="6"/>
  <c r="U269" i="6" s="1"/>
  <c r="V269" i="6" s="1"/>
  <c r="X269" i="6" s="1"/>
  <c r="T270" i="6"/>
  <c r="U270" i="6" s="1"/>
  <c r="V270" i="6" s="1"/>
  <c r="X270" i="6" s="1"/>
  <c r="T271" i="6"/>
  <c r="U271" i="6" s="1"/>
  <c r="V271" i="6" s="1"/>
  <c r="X271" i="6" s="1"/>
  <c r="T272" i="6"/>
  <c r="U272" i="6" s="1"/>
  <c r="V272" i="6" s="1"/>
  <c r="X272" i="6" s="1"/>
  <c r="T273" i="6"/>
  <c r="U273" i="6" s="1"/>
  <c r="V273" i="6" s="1"/>
  <c r="X273" i="6" s="1"/>
  <c r="T274" i="6"/>
  <c r="U274" i="6" s="1"/>
  <c r="V274" i="6" s="1"/>
  <c r="X274" i="6" s="1"/>
  <c r="T275" i="6"/>
  <c r="U275" i="6" s="1"/>
  <c r="V275" i="6" s="1"/>
  <c r="X275" i="6" s="1"/>
  <c r="T276" i="6"/>
  <c r="U276" i="6" s="1"/>
  <c r="V276" i="6" s="1"/>
  <c r="X276" i="6" s="1"/>
  <c r="T277" i="6"/>
  <c r="U277" i="6" s="1"/>
  <c r="V277" i="6" s="1"/>
  <c r="X277" i="6" s="1"/>
  <c r="T278" i="6"/>
  <c r="U278" i="6" s="1"/>
  <c r="V278" i="6" s="1"/>
  <c r="X278" i="6" s="1"/>
  <c r="T279" i="6"/>
  <c r="U279" i="6" s="1"/>
  <c r="V279" i="6" s="1"/>
  <c r="X279" i="6" s="1"/>
  <c r="T280" i="6"/>
  <c r="U280" i="6" s="1"/>
  <c r="V280" i="6" s="1"/>
  <c r="X280" i="6" s="1"/>
  <c r="T281" i="6"/>
  <c r="U281" i="6" s="1"/>
  <c r="V281" i="6" s="1"/>
  <c r="X281" i="6" s="1"/>
  <c r="T282" i="6"/>
  <c r="U282" i="6" s="1"/>
  <c r="V282" i="6" s="1"/>
  <c r="X282" i="6" s="1"/>
  <c r="T283" i="6"/>
  <c r="U283" i="6" s="1"/>
  <c r="V283" i="6" s="1"/>
  <c r="X283" i="6" s="1"/>
  <c r="T284" i="6"/>
  <c r="U284" i="6" s="1"/>
  <c r="V284" i="6" s="1"/>
  <c r="X284" i="6" s="1"/>
  <c r="T285" i="6"/>
  <c r="U285" i="6" s="1"/>
  <c r="V285" i="6" s="1"/>
  <c r="X285" i="6" s="1"/>
  <c r="T286" i="6"/>
  <c r="U286" i="6" s="1"/>
  <c r="V286" i="6" s="1"/>
  <c r="X286" i="6" s="1"/>
  <c r="T287" i="6"/>
  <c r="U287" i="6" s="1"/>
  <c r="V287" i="6" s="1"/>
  <c r="X287" i="6" s="1"/>
  <c r="T288" i="6"/>
  <c r="U288" i="6" s="1"/>
  <c r="V288" i="6" s="1"/>
  <c r="X288" i="6" s="1"/>
  <c r="T289" i="6"/>
  <c r="U289" i="6" s="1"/>
  <c r="V289" i="6" s="1"/>
  <c r="X289" i="6" s="1"/>
  <c r="T290" i="6"/>
  <c r="U290" i="6" s="1"/>
  <c r="V290" i="6" s="1"/>
  <c r="X290" i="6" s="1"/>
  <c r="T291" i="6"/>
  <c r="U291" i="6" s="1"/>
  <c r="V291" i="6" s="1"/>
  <c r="X291" i="6" s="1"/>
  <c r="T292" i="6"/>
  <c r="U292" i="6" s="1"/>
  <c r="V292" i="6" s="1"/>
  <c r="X292" i="6" s="1"/>
  <c r="T293" i="6"/>
  <c r="U293" i="6" s="1"/>
  <c r="V293" i="6" s="1"/>
  <c r="X293" i="6" s="1"/>
  <c r="T294" i="6"/>
  <c r="U294" i="6" s="1"/>
  <c r="V294" i="6" s="1"/>
  <c r="X294" i="6" s="1"/>
  <c r="T295" i="6"/>
  <c r="U295" i="6" s="1"/>
  <c r="V295" i="6" s="1"/>
  <c r="X295" i="6" s="1"/>
  <c r="T296" i="6"/>
  <c r="U296" i="6" s="1"/>
  <c r="V296" i="6" s="1"/>
  <c r="X296" i="6" s="1"/>
  <c r="T297" i="6"/>
  <c r="U297" i="6" s="1"/>
  <c r="V297" i="6" s="1"/>
  <c r="X297" i="6" s="1"/>
  <c r="T298" i="6"/>
  <c r="U298" i="6" s="1"/>
  <c r="V298" i="6" s="1"/>
  <c r="X298" i="6" s="1"/>
  <c r="T299" i="6"/>
  <c r="U299" i="6" s="1"/>
  <c r="V299" i="6" s="1"/>
  <c r="X299" i="6" s="1"/>
  <c r="T300" i="6"/>
  <c r="U300" i="6" s="1"/>
  <c r="V300" i="6" s="1"/>
  <c r="X300" i="6" s="1"/>
  <c r="T301" i="6"/>
  <c r="U301" i="6" s="1"/>
  <c r="V301" i="6" s="1"/>
  <c r="X301" i="6" s="1"/>
  <c r="T302" i="6"/>
  <c r="U302" i="6" s="1"/>
  <c r="V302" i="6" s="1"/>
  <c r="X302" i="6" s="1"/>
  <c r="T303" i="6"/>
  <c r="U303" i="6" s="1"/>
  <c r="V303" i="6" s="1"/>
  <c r="X303" i="6" s="1"/>
  <c r="T304" i="6"/>
  <c r="U304" i="6" s="1"/>
  <c r="V304" i="6" s="1"/>
  <c r="X304" i="6" s="1"/>
  <c r="T305" i="6"/>
  <c r="U305" i="6" s="1"/>
  <c r="V305" i="6" s="1"/>
  <c r="X305" i="6" s="1"/>
  <c r="T306" i="6"/>
  <c r="U306" i="6" s="1"/>
  <c r="V306" i="6" s="1"/>
  <c r="X306" i="6" s="1"/>
  <c r="T307" i="6"/>
  <c r="U307" i="6" s="1"/>
  <c r="V307" i="6" s="1"/>
  <c r="X307" i="6" s="1"/>
  <c r="T308" i="6"/>
  <c r="U308" i="6" s="1"/>
  <c r="V308" i="6" s="1"/>
  <c r="X308" i="6" s="1"/>
  <c r="T309" i="6"/>
  <c r="U309" i="6" s="1"/>
  <c r="V309" i="6" s="1"/>
  <c r="X309" i="6" s="1"/>
  <c r="T310" i="6"/>
  <c r="U310" i="6" s="1"/>
  <c r="V310" i="6" s="1"/>
  <c r="X310" i="6" s="1"/>
  <c r="T311" i="6"/>
  <c r="U311" i="6" s="1"/>
  <c r="V311" i="6" s="1"/>
  <c r="X311" i="6" s="1"/>
  <c r="T312" i="6"/>
  <c r="U312" i="6" s="1"/>
  <c r="V312" i="6" s="1"/>
  <c r="X312" i="6" s="1"/>
  <c r="T313" i="6"/>
  <c r="U313" i="6" s="1"/>
  <c r="V313" i="6" s="1"/>
  <c r="X313" i="6" s="1"/>
  <c r="T314" i="6"/>
  <c r="U314" i="6" s="1"/>
  <c r="V314" i="6" s="1"/>
  <c r="X314" i="6" s="1"/>
  <c r="T315" i="6"/>
  <c r="U315" i="6" s="1"/>
  <c r="V315" i="6" s="1"/>
  <c r="X315" i="6" s="1"/>
  <c r="T316" i="6"/>
  <c r="U316" i="6" s="1"/>
  <c r="V316" i="6" s="1"/>
  <c r="X316" i="6" s="1"/>
  <c r="T317" i="6"/>
  <c r="U317" i="6" s="1"/>
  <c r="V317" i="6" s="1"/>
  <c r="X317" i="6" s="1"/>
  <c r="T318" i="6"/>
  <c r="U318" i="6" s="1"/>
  <c r="V318" i="6" s="1"/>
  <c r="X318" i="6" s="1"/>
  <c r="T319" i="6"/>
  <c r="U319" i="6" s="1"/>
  <c r="V319" i="6" s="1"/>
  <c r="X319" i="6" s="1"/>
  <c r="T320" i="6"/>
  <c r="U320" i="6" s="1"/>
  <c r="V320" i="6" s="1"/>
  <c r="X320" i="6" s="1"/>
  <c r="T321" i="6"/>
  <c r="U321" i="6" s="1"/>
  <c r="V321" i="6" s="1"/>
  <c r="X321" i="6" s="1"/>
  <c r="T322" i="6"/>
  <c r="U322" i="6" s="1"/>
  <c r="V322" i="6" s="1"/>
  <c r="X322" i="6" s="1"/>
  <c r="T323" i="6"/>
  <c r="U323" i="6" s="1"/>
  <c r="V323" i="6" s="1"/>
  <c r="X323" i="6" s="1"/>
  <c r="T324" i="6"/>
  <c r="U324" i="6" s="1"/>
  <c r="V324" i="6" s="1"/>
  <c r="X324" i="6" s="1"/>
  <c r="T325" i="6"/>
  <c r="U325" i="6" s="1"/>
  <c r="V325" i="6" s="1"/>
  <c r="X325" i="6" s="1"/>
  <c r="T326" i="6"/>
  <c r="U326" i="6" s="1"/>
  <c r="V326" i="6" s="1"/>
  <c r="X326" i="6" s="1"/>
  <c r="T327" i="6"/>
  <c r="U327" i="6" s="1"/>
  <c r="V327" i="6" s="1"/>
  <c r="X327" i="6" s="1"/>
  <c r="T328" i="6"/>
  <c r="U328" i="6" s="1"/>
  <c r="V328" i="6" s="1"/>
  <c r="X328" i="6" s="1"/>
  <c r="T329" i="6"/>
  <c r="U329" i="6" s="1"/>
  <c r="V329" i="6" s="1"/>
  <c r="X329" i="6" s="1"/>
  <c r="T330" i="6"/>
  <c r="U330" i="6" s="1"/>
  <c r="V330" i="6" s="1"/>
  <c r="X330" i="6" s="1"/>
  <c r="T331" i="6"/>
  <c r="U331" i="6" s="1"/>
  <c r="V331" i="6" s="1"/>
  <c r="X331" i="6" s="1"/>
  <c r="T332" i="6"/>
  <c r="U332" i="6" s="1"/>
  <c r="V332" i="6" s="1"/>
  <c r="X332" i="6" s="1"/>
  <c r="T333" i="6"/>
  <c r="U333" i="6" s="1"/>
  <c r="V333" i="6" s="1"/>
  <c r="X333" i="6" s="1"/>
  <c r="T334" i="6"/>
  <c r="U334" i="6" s="1"/>
  <c r="V334" i="6" s="1"/>
  <c r="X334" i="6" s="1"/>
  <c r="T335" i="6"/>
  <c r="U335" i="6" s="1"/>
  <c r="V335" i="6" s="1"/>
  <c r="X335" i="6" s="1"/>
  <c r="T336" i="6"/>
  <c r="U336" i="6" s="1"/>
  <c r="V336" i="6" s="1"/>
  <c r="X336" i="6" s="1"/>
  <c r="T337" i="6"/>
  <c r="U337" i="6" s="1"/>
  <c r="V337" i="6" s="1"/>
  <c r="X337" i="6" s="1"/>
  <c r="T338" i="6"/>
  <c r="U338" i="6" s="1"/>
  <c r="V338" i="6" s="1"/>
  <c r="X338" i="6" s="1"/>
  <c r="T339" i="6"/>
  <c r="U339" i="6" s="1"/>
  <c r="V339" i="6" s="1"/>
  <c r="X339" i="6" s="1"/>
  <c r="T340" i="6"/>
  <c r="U340" i="6" s="1"/>
  <c r="V340" i="6" s="1"/>
  <c r="X340" i="6" s="1"/>
  <c r="T341" i="6"/>
  <c r="U341" i="6" s="1"/>
  <c r="V341" i="6" s="1"/>
  <c r="X341" i="6" s="1"/>
  <c r="T342" i="6"/>
  <c r="U342" i="6" s="1"/>
  <c r="V342" i="6" s="1"/>
  <c r="X342" i="6" s="1"/>
  <c r="T343" i="6"/>
  <c r="U343" i="6" s="1"/>
  <c r="V343" i="6" s="1"/>
  <c r="X343" i="6" s="1"/>
  <c r="T344" i="6"/>
  <c r="U344" i="6" s="1"/>
  <c r="V344" i="6" s="1"/>
  <c r="X344" i="6" s="1"/>
  <c r="T345" i="6"/>
  <c r="U345" i="6" s="1"/>
  <c r="V345" i="6" s="1"/>
  <c r="X345" i="6" s="1"/>
  <c r="T346" i="6"/>
  <c r="U346" i="6" s="1"/>
  <c r="V346" i="6" s="1"/>
  <c r="X346" i="6" s="1"/>
  <c r="T347" i="6"/>
  <c r="U347" i="6" s="1"/>
  <c r="V347" i="6" s="1"/>
  <c r="X347" i="6" s="1"/>
  <c r="T348" i="6"/>
  <c r="U348" i="6" s="1"/>
  <c r="V348" i="6" s="1"/>
  <c r="X348" i="6" s="1"/>
  <c r="T349" i="6"/>
  <c r="U349" i="6" s="1"/>
  <c r="V349" i="6" s="1"/>
  <c r="X349" i="6" s="1"/>
  <c r="T350" i="6"/>
  <c r="U350" i="6" s="1"/>
  <c r="V350" i="6" s="1"/>
  <c r="X350" i="6" s="1"/>
  <c r="T351" i="6"/>
  <c r="U351" i="6" s="1"/>
  <c r="V351" i="6" s="1"/>
  <c r="X351" i="6" s="1"/>
  <c r="T352" i="6"/>
  <c r="U352" i="6" s="1"/>
  <c r="V352" i="6" s="1"/>
  <c r="X352" i="6" s="1"/>
  <c r="T353" i="6"/>
  <c r="U353" i="6" s="1"/>
  <c r="V353" i="6" s="1"/>
  <c r="X353" i="6" s="1"/>
  <c r="T354" i="6"/>
  <c r="U354" i="6" s="1"/>
  <c r="V354" i="6" s="1"/>
  <c r="X354" i="6" s="1"/>
  <c r="T355" i="6"/>
  <c r="U355" i="6" s="1"/>
  <c r="V355" i="6" s="1"/>
  <c r="X355" i="6" s="1"/>
  <c r="T356" i="6"/>
  <c r="U356" i="6" s="1"/>
  <c r="V356" i="6" s="1"/>
  <c r="X356" i="6" s="1"/>
  <c r="T357" i="6"/>
  <c r="U357" i="6" s="1"/>
  <c r="V357" i="6" s="1"/>
  <c r="X357" i="6" s="1"/>
  <c r="T358" i="6"/>
  <c r="U358" i="6" s="1"/>
  <c r="V358" i="6" s="1"/>
  <c r="X358" i="6" s="1"/>
  <c r="T359" i="6"/>
  <c r="U359" i="6" s="1"/>
  <c r="V359" i="6" s="1"/>
  <c r="X359" i="6" s="1"/>
  <c r="T360" i="6"/>
  <c r="U360" i="6" s="1"/>
  <c r="V360" i="6" s="1"/>
  <c r="X360" i="6" s="1"/>
  <c r="T361" i="6"/>
  <c r="U361" i="6" s="1"/>
  <c r="V361" i="6" s="1"/>
  <c r="X361" i="6" s="1"/>
  <c r="T362" i="6"/>
  <c r="U362" i="6" s="1"/>
  <c r="V362" i="6" s="1"/>
  <c r="X362" i="6" s="1"/>
  <c r="T363" i="6"/>
  <c r="U363" i="6" s="1"/>
  <c r="V363" i="6" s="1"/>
  <c r="X363" i="6" s="1"/>
  <c r="T364" i="6"/>
  <c r="U364" i="6" s="1"/>
  <c r="V364" i="6" s="1"/>
  <c r="X364" i="6" s="1"/>
  <c r="T365" i="6"/>
  <c r="U365" i="6" s="1"/>
  <c r="V365" i="6" s="1"/>
  <c r="X365" i="6" s="1"/>
  <c r="T366" i="6"/>
  <c r="U366" i="6" s="1"/>
  <c r="V366" i="6" s="1"/>
  <c r="X366" i="6" s="1"/>
  <c r="T367" i="6"/>
  <c r="U367" i="6" s="1"/>
  <c r="V367" i="6" s="1"/>
  <c r="X367" i="6" s="1"/>
  <c r="T368" i="6"/>
  <c r="U368" i="6" s="1"/>
  <c r="V368" i="6" s="1"/>
  <c r="X368" i="6" s="1"/>
  <c r="T369" i="6"/>
  <c r="U369" i="6" s="1"/>
  <c r="V369" i="6" s="1"/>
  <c r="X369" i="6" s="1"/>
  <c r="T370" i="6"/>
  <c r="U370" i="6" s="1"/>
  <c r="V370" i="6" s="1"/>
  <c r="X370" i="6" s="1"/>
  <c r="T371" i="6"/>
  <c r="U371" i="6" s="1"/>
  <c r="V371" i="6" s="1"/>
  <c r="X371" i="6" s="1"/>
  <c r="T372" i="6"/>
  <c r="U372" i="6" s="1"/>
  <c r="V372" i="6" s="1"/>
  <c r="X372" i="6" s="1"/>
  <c r="T373" i="6"/>
  <c r="U373" i="6" s="1"/>
  <c r="V373" i="6" s="1"/>
  <c r="X373" i="6" s="1"/>
  <c r="T374" i="6"/>
  <c r="U374" i="6" s="1"/>
  <c r="V374" i="6" s="1"/>
  <c r="X374" i="6" s="1"/>
  <c r="T375" i="6"/>
  <c r="U375" i="6" s="1"/>
  <c r="V375" i="6" s="1"/>
  <c r="X375" i="6" s="1"/>
  <c r="T376" i="6"/>
  <c r="U376" i="6" s="1"/>
  <c r="V376" i="6" s="1"/>
  <c r="X376" i="6" s="1"/>
  <c r="T377" i="6"/>
  <c r="U377" i="6" s="1"/>
  <c r="V377" i="6" s="1"/>
  <c r="X377" i="6" s="1"/>
  <c r="T378" i="6"/>
  <c r="U378" i="6" s="1"/>
  <c r="V378" i="6" s="1"/>
  <c r="X378" i="6" s="1"/>
  <c r="T379" i="6"/>
  <c r="U379" i="6" s="1"/>
  <c r="V379" i="6" s="1"/>
  <c r="X379" i="6" s="1"/>
  <c r="T380" i="6"/>
  <c r="U380" i="6" s="1"/>
  <c r="V380" i="6" s="1"/>
  <c r="X380" i="6" s="1"/>
  <c r="T381" i="6"/>
  <c r="U381" i="6" s="1"/>
  <c r="V381" i="6" s="1"/>
  <c r="X381" i="6" s="1"/>
  <c r="T382" i="6"/>
  <c r="U382" i="6" s="1"/>
  <c r="V382" i="6" s="1"/>
  <c r="X382" i="6" s="1"/>
  <c r="T383" i="6"/>
  <c r="U383" i="6" s="1"/>
  <c r="V383" i="6" s="1"/>
  <c r="X383" i="6" s="1"/>
  <c r="T384" i="6"/>
  <c r="U384" i="6" s="1"/>
  <c r="V384" i="6" s="1"/>
  <c r="X384" i="6" s="1"/>
  <c r="T385" i="6"/>
  <c r="U385" i="6" s="1"/>
  <c r="V385" i="6" s="1"/>
  <c r="X385" i="6" s="1"/>
  <c r="T386" i="6"/>
  <c r="U386" i="6" s="1"/>
  <c r="V386" i="6" s="1"/>
  <c r="X386" i="6" s="1"/>
  <c r="T387" i="6"/>
  <c r="U387" i="6" s="1"/>
  <c r="V387" i="6" s="1"/>
  <c r="X387" i="6" s="1"/>
  <c r="T388" i="6"/>
  <c r="U388" i="6" s="1"/>
  <c r="V388" i="6" s="1"/>
  <c r="X388" i="6" s="1"/>
  <c r="T389" i="6"/>
  <c r="U389" i="6" s="1"/>
  <c r="V389" i="6" s="1"/>
  <c r="X389" i="6" s="1"/>
  <c r="T390" i="6"/>
  <c r="U390" i="6" s="1"/>
  <c r="V390" i="6" s="1"/>
  <c r="X390" i="6" s="1"/>
  <c r="T391" i="6"/>
  <c r="U391" i="6" s="1"/>
  <c r="V391" i="6" s="1"/>
  <c r="X391" i="6" s="1"/>
  <c r="T392" i="6"/>
  <c r="U392" i="6" s="1"/>
  <c r="V392" i="6" s="1"/>
  <c r="X392" i="6" s="1"/>
  <c r="T393" i="6"/>
  <c r="U393" i="6" s="1"/>
  <c r="V393" i="6" s="1"/>
  <c r="X393" i="6" s="1"/>
  <c r="T394" i="6"/>
  <c r="U394" i="6" s="1"/>
  <c r="V394" i="6" s="1"/>
  <c r="X394" i="6" s="1"/>
  <c r="T395" i="6"/>
  <c r="U395" i="6" s="1"/>
  <c r="V395" i="6" s="1"/>
  <c r="X395" i="6" s="1"/>
  <c r="T396" i="6"/>
  <c r="U396" i="6" s="1"/>
  <c r="V396" i="6" s="1"/>
  <c r="X396" i="6" s="1"/>
  <c r="T397" i="6"/>
  <c r="U397" i="6" s="1"/>
  <c r="V397" i="6" s="1"/>
  <c r="X397" i="6" s="1"/>
  <c r="T398" i="6"/>
  <c r="U398" i="6" s="1"/>
  <c r="V398" i="6" s="1"/>
  <c r="X398" i="6" s="1"/>
  <c r="T399" i="6"/>
  <c r="U399" i="6" s="1"/>
  <c r="V399" i="6" s="1"/>
  <c r="X399" i="6" s="1"/>
  <c r="T400" i="6"/>
  <c r="U400" i="6" s="1"/>
  <c r="V400" i="6" s="1"/>
  <c r="X400" i="6" s="1"/>
  <c r="T401" i="6"/>
  <c r="U401" i="6" s="1"/>
  <c r="V401" i="6" s="1"/>
  <c r="X401" i="6" s="1"/>
  <c r="T402" i="6"/>
  <c r="U402" i="6" s="1"/>
  <c r="V402" i="6" s="1"/>
  <c r="X402" i="6" s="1"/>
  <c r="T403" i="6"/>
  <c r="U403" i="6" s="1"/>
  <c r="V403" i="6" s="1"/>
  <c r="X403" i="6" s="1"/>
  <c r="T404" i="6"/>
  <c r="U404" i="6" s="1"/>
  <c r="V404" i="6" s="1"/>
  <c r="X404" i="6" s="1"/>
  <c r="T405" i="6"/>
  <c r="U405" i="6" s="1"/>
  <c r="V405" i="6" s="1"/>
  <c r="X405" i="6" s="1"/>
  <c r="T406" i="6"/>
  <c r="U406" i="6" s="1"/>
  <c r="V406" i="6" s="1"/>
  <c r="X406" i="6" s="1"/>
  <c r="T407" i="6"/>
  <c r="U407" i="6" s="1"/>
  <c r="V407" i="6" s="1"/>
  <c r="X407" i="6" s="1"/>
  <c r="T408" i="6"/>
  <c r="U408" i="6" s="1"/>
  <c r="V408" i="6" s="1"/>
  <c r="X408" i="6" s="1"/>
  <c r="T409" i="6"/>
  <c r="U409" i="6" s="1"/>
  <c r="V409" i="6" s="1"/>
  <c r="X409" i="6" s="1"/>
  <c r="T410" i="6"/>
  <c r="U410" i="6" s="1"/>
  <c r="V410" i="6" s="1"/>
  <c r="X410" i="6" s="1"/>
  <c r="T411" i="6"/>
  <c r="U411" i="6" s="1"/>
  <c r="V411" i="6" s="1"/>
  <c r="X411" i="6" s="1"/>
  <c r="T412" i="6"/>
  <c r="U412" i="6" s="1"/>
  <c r="V412" i="6" s="1"/>
  <c r="X412" i="6" s="1"/>
  <c r="T413" i="6"/>
  <c r="U413" i="6" s="1"/>
  <c r="V413" i="6" s="1"/>
  <c r="X413" i="6" s="1"/>
  <c r="T414" i="6"/>
  <c r="U414" i="6" s="1"/>
  <c r="V414" i="6" s="1"/>
  <c r="X414" i="6" s="1"/>
  <c r="T415" i="6"/>
  <c r="U415" i="6" s="1"/>
  <c r="V415" i="6" s="1"/>
  <c r="X415" i="6" s="1"/>
  <c r="T416" i="6"/>
  <c r="U416" i="6" s="1"/>
  <c r="V416" i="6" s="1"/>
  <c r="X416" i="6" s="1"/>
  <c r="T417" i="6"/>
  <c r="U417" i="6" s="1"/>
  <c r="V417" i="6" s="1"/>
  <c r="X417" i="6" s="1"/>
  <c r="T418" i="6"/>
  <c r="U418" i="6" s="1"/>
  <c r="V418" i="6" s="1"/>
  <c r="X418" i="6" s="1"/>
  <c r="T419" i="6"/>
  <c r="U419" i="6" s="1"/>
  <c r="V419" i="6" s="1"/>
  <c r="X419" i="6" s="1"/>
  <c r="T420" i="6"/>
  <c r="U420" i="6" s="1"/>
  <c r="V420" i="6" s="1"/>
  <c r="X420" i="6" s="1"/>
  <c r="T421" i="6"/>
  <c r="U421" i="6" s="1"/>
  <c r="V421" i="6" s="1"/>
  <c r="X421" i="6" s="1"/>
  <c r="T422" i="6"/>
  <c r="U422" i="6" s="1"/>
  <c r="V422" i="6" s="1"/>
  <c r="X422" i="6" s="1"/>
  <c r="T423" i="6"/>
  <c r="U423" i="6" s="1"/>
  <c r="V423" i="6" s="1"/>
  <c r="X423" i="6" s="1"/>
  <c r="T424" i="6"/>
  <c r="U424" i="6" s="1"/>
  <c r="V424" i="6" s="1"/>
  <c r="X424" i="6" s="1"/>
  <c r="T425" i="6"/>
  <c r="U425" i="6" s="1"/>
  <c r="V425" i="6" s="1"/>
  <c r="X425" i="6" s="1"/>
  <c r="T426" i="6"/>
  <c r="U426" i="6" s="1"/>
  <c r="V426" i="6" s="1"/>
  <c r="X426" i="6" s="1"/>
  <c r="T427" i="6"/>
  <c r="U427" i="6" s="1"/>
  <c r="V427" i="6" s="1"/>
  <c r="X427" i="6" s="1"/>
  <c r="T428" i="6"/>
  <c r="U428" i="6" s="1"/>
  <c r="V428" i="6" s="1"/>
  <c r="X428" i="6" s="1"/>
  <c r="T429" i="6"/>
  <c r="U429" i="6" s="1"/>
  <c r="V429" i="6" s="1"/>
  <c r="X429" i="6" s="1"/>
  <c r="T430" i="6"/>
  <c r="U430" i="6" s="1"/>
  <c r="V430" i="6" s="1"/>
  <c r="X430" i="6" s="1"/>
  <c r="T431" i="6"/>
  <c r="U431" i="6" s="1"/>
  <c r="V431" i="6" s="1"/>
  <c r="X431" i="6" s="1"/>
  <c r="T432" i="6"/>
  <c r="U432" i="6" s="1"/>
  <c r="V432" i="6" s="1"/>
  <c r="X432" i="6" s="1"/>
  <c r="T433" i="6"/>
  <c r="U433" i="6" s="1"/>
  <c r="V433" i="6" s="1"/>
  <c r="X433" i="6" s="1"/>
  <c r="T434" i="6"/>
  <c r="U434" i="6" s="1"/>
  <c r="V434" i="6" s="1"/>
  <c r="X434" i="6" s="1"/>
  <c r="T435" i="6"/>
  <c r="U435" i="6" s="1"/>
  <c r="V435" i="6" s="1"/>
  <c r="X435" i="6" s="1"/>
  <c r="T436" i="6"/>
  <c r="U436" i="6" s="1"/>
  <c r="V436" i="6" s="1"/>
  <c r="X436" i="6" s="1"/>
  <c r="T437" i="6"/>
  <c r="U437" i="6" s="1"/>
  <c r="V437" i="6" s="1"/>
  <c r="X437" i="6" s="1"/>
  <c r="T438" i="6"/>
  <c r="U438" i="6" s="1"/>
  <c r="V438" i="6" s="1"/>
  <c r="X438" i="6" s="1"/>
  <c r="T439" i="6"/>
  <c r="U439" i="6" s="1"/>
  <c r="V439" i="6" s="1"/>
  <c r="X439" i="6" s="1"/>
  <c r="T440" i="6"/>
  <c r="U440" i="6" s="1"/>
  <c r="V440" i="6" s="1"/>
  <c r="X440" i="6" s="1"/>
  <c r="T441" i="6"/>
  <c r="U441" i="6" s="1"/>
  <c r="V441" i="6" s="1"/>
  <c r="X441" i="6" s="1"/>
  <c r="T442" i="6"/>
  <c r="U442" i="6" s="1"/>
  <c r="V442" i="6" s="1"/>
  <c r="X442" i="6" s="1"/>
  <c r="T444" i="6"/>
  <c r="U444" i="6" s="1"/>
  <c r="V444" i="6" s="1"/>
  <c r="X444" i="6" s="1"/>
  <c r="T446" i="6"/>
  <c r="U446" i="6" s="1"/>
  <c r="V446" i="6" s="1"/>
  <c r="X446" i="6" s="1"/>
  <c r="T448" i="6"/>
  <c r="U448" i="6" s="1"/>
  <c r="V448" i="6" s="1"/>
  <c r="X448" i="6" s="1"/>
  <c r="T450" i="6"/>
  <c r="U450" i="6" s="1"/>
  <c r="V450" i="6" s="1"/>
  <c r="X450" i="6" s="1"/>
  <c r="T452" i="6"/>
  <c r="U452" i="6" s="1"/>
  <c r="V452" i="6" s="1"/>
  <c r="X452" i="6" s="1"/>
  <c r="T454" i="6"/>
  <c r="U454" i="6" s="1"/>
  <c r="V454" i="6" s="1"/>
  <c r="X454" i="6" s="1"/>
  <c r="T456" i="6"/>
  <c r="U456" i="6" s="1"/>
  <c r="V456" i="6" s="1"/>
  <c r="X456" i="6" s="1"/>
  <c r="T458" i="6"/>
  <c r="U458" i="6" s="1"/>
  <c r="V458" i="6" s="1"/>
  <c r="X458" i="6" s="1"/>
  <c r="T460" i="6"/>
  <c r="U460" i="6" s="1"/>
  <c r="V460" i="6" s="1"/>
  <c r="X460" i="6" s="1"/>
  <c r="T24" i="6"/>
  <c r="U24" i="6" s="1"/>
  <c r="V24" i="6" s="1"/>
  <c r="X24" i="6" s="1"/>
  <c r="O27" i="1" s="1"/>
  <c r="X91" i="6"/>
  <c r="T97" i="6"/>
  <c r="T99" i="6"/>
  <c r="T101" i="6"/>
  <c r="U101" i="6" s="1"/>
  <c r="V101" i="6" s="1"/>
  <c r="X101" i="6" s="1"/>
  <c r="T103" i="6"/>
  <c r="U103" i="6" s="1"/>
  <c r="V103" i="6" s="1"/>
  <c r="X103" i="6" s="1"/>
  <c r="T105" i="6"/>
  <c r="U105" i="6" s="1"/>
  <c r="V105" i="6" s="1"/>
  <c r="X105" i="6" s="1"/>
  <c r="T107" i="6"/>
  <c r="U107" i="6" s="1"/>
  <c r="V107" i="6" s="1"/>
  <c r="X107" i="6" s="1"/>
  <c r="U15" i="1" s="1"/>
  <c r="T109" i="6"/>
  <c r="U109" i="6" s="1"/>
  <c r="V109" i="6" s="1"/>
  <c r="X109" i="6" s="1"/>
  <c r="T111" i="6"/>
  <c r="U111" i="6" s="1"/>
  <c r="V111" i="6" s="1"/>
  <c r="X111" i="6" s="1"/>
  <c r="T113" i="6"/>
  <c r="U113" i="6" s="1"/>
  <c r="V113" i="6" s="1"/>
  <c r="X113" i="6" s="1"/>
  <c r="T115" i="6"/>
  <c r="U115" i="6" s="1"/>
  <c r="V115" i="6" s="1"/>
  <c r="X115" i="6" s="1"/>
  <c r="O63" i="1" s="1"/>
  <c r="T117" i="6"/>
  <c r="U117" i="6" s="1"/>
  <c r="V117" i="6" s="1"/>
  <c r="X117" i="6" s="1"/>
  <c r="O64" i="1" s="1"/>
  <c r="T119" i="6"/>
  <c r="U119" i="6" s="1"/>
  <c r="V119" i="6" s="1"/>
  <c r="X119" i="6" s="1"/>
  <c r="U52" i="1" s="1"/>
  <c r="T121" i="6"/>
  <c r="U121" i="6" s="1"/>
  <c r="V121" i="6" s="1"/>
  <c r="X121" i="6" s="1"/>
  <c r="T123" i="6"/>
  <c r="U123" i="6" s="1"/>
  <c r="V123" i="6" s="1"/>
  <c r="X123" i="6" s="1"/>
  <c r="O42" i="1" s="1"/>
  <c r="T125" i="6"/>
  <c r="U125" i="6" s="1"/>
  <c r="V125" i="6" s="1"/>
  <c r="X125" i="6" s="1"/>
  <c r="O54" i="1" s="1"/>
  <c r="T127" i="6"/>
  <c r="U127" i="6" s="1"/>
  <c r="V127" i="6" s="1"/>
  <c r="X127" i="6" s="1"/>
  <c r="T129" i="6"/>
  <c r="U129" i="6" s="1"/>
  <c r="V129" i="6" s="1"/>
  <c r="X129" i="6" s="1"/>
  <c r="T131" i="6"/>
  <c r="U131" i="6" s="1"/>
  <c r="V131" i="6" s="1"/>
  <c r="X131" i="6" s="1"/>
  <c r="T133" i="6"/>
  <c r="U133" i="6" s="1"/>
  <c r="V133" i="6" s="1"/>
  <c r="X133" i="6" s="1"/>
  <c r="T135" i="6"/>
  <c r="U135" i="6" s="1"/>
  <c r="V135" i="6" s="1"/>
  <c r="X135" i="6" s="1"/>
  <c r="T137" i="6"/>
  <c r="U137" i="6" s="1"/>
  <c r="V137" i="6" s="1"/>
  <c r="X137" i="6" s="1"/>
  <c r="T139" i="6"/>
  <c r="U139" i="6" s="1"/>
  <c r="V139" i="6" s="1"/>
  <c r="X139" i="6" s="1"/>
  <c r="T141" i="6"/>
  <c r="U141" i="6" s="1"/>
  <c r="V141" i="6" s="1"/>
  <c r="X141" i="6" s="1"/>
  <c r="T143" i="6"/>
  <c r="U143" i="6" s="1"/>
  <c r="V143" i="6" s="1"/>
  <c r="X143" i="6" s="1"/>
  <c r="T145" i="6"/>
  <c r="U145" i="6" s="1"/>
  <c r="V145" i="6" s="1"/>
  <c r="X145" i="6" s="1"/>
  <c r="T147" i="6"/>
  <c r="U147" i="6" s="1"/>
  <c r="V147" i="6" s="1"/>
  <c r="X147" i="6" s="1"/>
  <c r="T149" i="6"/>
  <c r="U149" i="6" s="1"/>
  <c r="V149" i="6" s="1"/>
  <c r="X149" i="6" s="1"/>
  <c r="T151" i="6"/>
  <c r="U151" i="6" s="1"/>
  <c r="V151" i="6" s="1"/>
  <c r="X151" i="6" s="1"/>
  <c r="T153" i="6"/>
  <c r="U153" i="6" s="1"/>
  <c r="V153" i="6" s="1"/>
  <c r="X153" i="6" s="1"/>
  <c r="T155" i="6"/>
  <c r="U155" i="6" s="1"/>
  <c r="V155" i="6" s="1"/>
  <c r="X155" i="6" s="1"/>
  <c r="T157" i="6"/>
  <c r="U157" i="6" s="1"/>
  <c r="V157" i="6" s="1"/>
  <c r="X157" i="6" s="1"/>
  <c r="T159" i="6"/>
  <c r="U159" i="6" s="1"/>
  <c r="V159" i="6" s="1"/>
  <c r="X159" i="6" s="1"/>
  <c r="T161" i="6"/>
  <c r="U161" i="6" s="1"/>
  <c r="V161" i="6" s="1"/>
  <c r="X161" i="6" s="1"/>
  <c r="T163" i="6"/>
  <c r="U163" i="6" s="1"/>
  <c r="V163" i="6" s="1"/>
  <c r="X163" i="6" s="1"/>
  <c r="T165" i="6"/>
  <c r="U165" i="6" s="1"/>
  <c r="V165" i="6" s="1"/>
  <c r="X165" i="6" s="1"/>
  <c r="T167" i="6"/>
  <c r="U167" i="6" s="1"/>
  <c r="V167" i="6" s="1"/>
  <c r="X167" i="6" s="1"/>
  <c r="T169" i="6"/>
  <c r="U169" i="6" s="1"/>
  <c r="V169" i="6" s="1"/>
  <c r="X169" i="6" s="1"/>
  <c r="T171" i="6"/>
  <c r="U171" i="6" s="1"/>
  <c r="V171" i="6" s="1"/>
  <c r="X171" i="6" s="1"/>
  <c r="T172" i="6"/>
  <c r="U172" i="6" s="1"/>
  <c r="V172" i="6" s="1"/>
  <c r="X172" i="6" s="1"/>
  <c r="T173" i="6"/>
  <c r="U173" i="6" s="1"/>
  <c r="V173" i="6" s="1"/>
  <c r="X173" i="6" s="1"/>
  <c r="T174" i="6"/>
  <c r="U174" i="6" s="1"/>
  <c r="V174" i="6" s="1"/>
  <c r="X174" i="6" s="1"/>
  <c r="T175" i="6"/>
  <c r="U175" i="6" s="1"/>
  <c r="V175" i="6" s="1"/>
  <c r="X175" i="6" s="1"/>
  <c r="T176" i="6"/>
  <c r="U176" i="6" s="1"/>
  <c r="V176" i="6" s="1"/>
  <c r="X176" i="6" s="1"/>
  <c r="T177" i="6"/>
  <c r="U177" i="6" s="1"/>
  <c r="V177" i="6" s="1"/>
  <c r="X177" i="6" s="1"/>
  <c r="T178" i="6"/>
  <c r="U178" i="6" s="1"/>
  <c r="V178" i="6" s="1"/>
  <c r="X178" i="6" s="1"/>
  <c r="T179" i="6"/>
  <c r="U179" i="6" s="1"/>
  <c r="V179" i="6" s="1"/>
  <c r="X179" i="6" s="1"/>
  <c r="T180" i="6"/>
  <c r="U180" i="6" s="1"/>
  <c r="V180" i="6" s="1"/>
  <c r="X180" i="6" s="1"/>
  <c r="T181" i="6"/>
  <c r="U181" i="6" s="1"/>
  <c r="V181" i="6" s="1"/>
  <c r="X181" i="6" s="1"/>
  <c r="T194" i="6"/>
  <c r="U194" i="6" s="1"/>
  <c r="V194" i="6" s="1"/>
  <c r="X194" i="6" s="1"/>
  <c r="T196" i="6"/>
  <c r="U196" i="6" s="1"/>
  <c r="V196" i="6" s="1"/>
  <c r="X196" i="6" s="1"/>
  <c r="T198" i="6"/>
  <c r="U198" i="6" s="1"/>
  <c r="V198" i="6" s="1"/>
  <c r="X198" i="6" s="1"/>
  <c r="T200" i="6"/>
  <c r="U200" i="6" s="1"/>
  <c r="V200" i="6" s="1"/>
  <c r="X200" i="6" s="1"/>
  <c r="T202" i="6"/>
  <c r="U202" i="6" s="1"/>
  <c r="V202" i="6" s="1"/>
  <c r="X202" i="6" s="1"/>
  <c r="T204" i="6"/>
  <c r="U204" i="6" s="1"/>
  <c r="V204" i="6" s="1"/>
  <c r="X204" i="6" s="1"/>
  <c r="T206" i="6"/>
  <c r="U206" i="6" s="1"/>
  <c r="V206" i="6" s="1"/>
  <c r="X206" i="6" s="1"/>
  <c r="T208" i="6"/>
  <c r="U208" i="6" s="1"/>
  <c r="V208" i="6" s="1"/>
  <c r="X208" i="6" s="1"/>
  <c r="T210" i="6"/>
  <c r="U210" i="6" s="1"/>
  <c r="V210" i="6" s="1"/>
  <c r="X210" i="6" s="1"/>
  <c r="T212" i="6"/>
  <c r="U212" i="6" s="1"/>
  <c r="V212" i="6" s="1"/>
  <c r="X212" i="6" s="1"/>
  <c r="T214" i="6"/>
  <c r="U214" i="6" s="1"/>
  <c r="V214" i="6" s="1"/>
  <c r="X214" i="6" s="1"/>
  <c r="T216" i="6"/>
  <c r="U216" i="6" s="1"/>
  <c r="V216" i="6" s="1"/>
  <c r="X216" i="6" s="1"/>
  <c r="T218" i="6"/>
  <c r="U218" i="6" s="1"/>
  <c r="V218" i="6" s="1"/>
  <c r="X218" i="6" s="1"/>
  <c r="T255" i="6"/>
  <c r="U255" i="6" s="1"/>
  <c r="V255" i="6" s="1"/>
  <c r="X255" i="6" s="1"/>
  <c r="T4" i="6"/>
  <c r="U4" i="6" s="1"/>
  <c r="V4" i="6" s="1"/>
  <c r="T182" i="6"/>
  <c r="U182" i="6" s="1"/>
  <c r="V182" i="6" s="1"/>
  <c r="X182" i="6" s="1"/>
  <c r="T183" i="6"/>
  <c r="U183" i="6" s="1"/>
  <c r="V183" i="6" s="1"/>
  <c r="X183" i="6" s="1"/>
  <c r="T184" i="6"/>
  <c r="U184" i="6" s="1"/>
  <c r="V184" i="6" s="1"/>
  <c r="X184" i="6" s="1"/>
  <c r="T185" i="6"/>
  <c r="U185" i="6" s="1"/>
  <c r="V185" i="6" s="1"/>
  <c r="X185" i="6" s="1"/>
  <c r="T186" i="6"/>
  <c r="U186" i="6" s="1"/>
  <c r="V186" i="6" s="1"/>
  <c r="X186" i="6" s="1"/>
  <c r="T187" i="6"/>
  <c r="U187" i="6" s="1"/>
  <c r="V187" i="6" s="1"/>
  <c r="X187" i="6" s="1"/>
  <c r="T188" i="6"/>
  <c r="U188" i="6" s="1"/>
  <c r="V188" i="6" s="1"/>
  <c r="X188" i="6" s="1"/>
  <c r="T189" i="6"/>
  <c r="U189" i="6" s="1"/>
  <c r="V189" i="6" s="1"/>
  <c r="X189" i="6" s="1"/>
  <c r="T190" i="6"/>
  <c r="U190" i="6" s="1"/>
  <c r="V190" i="6" s="1"/>
  <c r="X190" i="6" s="1"/>
  <c r="T191" i="6"/>
  <c r="U191" i="6" s="1"/>
  <c r="V191" i="6" s="1"/>
  <c r="X191" i="6" s="1"/>
  <c r="T192" i="6"/>
  <c r="U192" i="6" s="1"/>
  <c r="V192" i="6" s="1"/>
  <c r="X192" i="6" s="1"/>
  <c r="T25" i="6"/>
  <c r="U25" i="6" s="1"/>
  <c r="V25" i="6" s="1"/>
  <c r="X25" i="6" s="1"/>
  <c r="X94" i="6"/>
  <c r="O4" i="1" s="1"/>
  <c r="T98" i="6"/>
  <c r="T100" i="6"/>
  <c r="U100" i="6" s="1"/>
  <c r="V100" i="6" s="1"/>
  <c r="X100" i="6" s="1"/>
  <c r="T102" i="6"/>
  <c r="U102" i="6" s="1"/>
  <c r="V102" i="6" s="1"/>
  <c r="X102" i="6" s="1"/>
  <c r="T104" i="6"/>
  <c r="U104" i="6" s="1"/>
  <c r="V104" i="6" s="1"/>
  <c r="X104" i="6" s="1"/>
  <c r="T106" i="6"/>
  <c r="U106" i="6" s="1"/>
  <c r="V106" i="6" s="1"/>
  <c r="X106" i="6" s="1"/>
  <c r="T108" i="6"/>
  <c r="U108" i="6" s="1"/>
  <c r="V108" i="6" s="1"/>
  <c r="X108" i="6" s="1"/>
  <c r="T110" i="6"/>
  <c r="U110" i="6" s="1"/>
  <c r="V110" i="6" s="1"/>
  <c r="X110" i="6" s="1"/>
  <c r="T112" i="6"/>
  <c r="U112" i="6" s="1"/>
  <c r="V112" i="6" s="1"/>
  <c r="X112" i="6" s="1"/>
  <c r="O40" i="1" s="1"/>
  <c r="T114" i="6"/>
  <c r="U114" i="6" s="1"/>
  <c r="V114" i="6" s="1"/>
  <c r="X114" i="6" s="1"/>
  <c r="O78" i="1" s="1"/>
  <c r="T116" i="6"/>
  <c r="U116" i="6" s="1"/>
  <c r="V116" i="6" s="1"/>
  <c r="X116" i="6" s="1"/>
  <c r="O65" i="1" s="1"/>
  <c r="T118" i="6"/>
  <c r="U118" i="6" s="1"/>
  <c r="V118" i="6" s="1"/>
  <c r="X118" i="6" s="1"/>
  <c r="T120" i="6"/>
  <c r="U120" i="6" s="1"/>
  <c r="V120" i="6" s="1"/>
  <c r="X120" i="6" s="1"/>
  <c r="T122" i="6"/>
  <c r="U122" i="6" s="1"/>
  <c r="V122" i="6" s="1"/>
  <c r="X122" i="6" s="1"/>
  <c r="U39" i="1" s="1"/>
  <c r="T124" i="6"/>
  <c r="U124" i="6" s="1"/>
  <c r="V124" i="6" s="1"/>
  <c r="X124" i="6" s="1"/>
  <c r="T126" i="6"/>
  <c r="U126" i="6" s="1"/>
  <c r="V126" i="6" s="1"/>
  <c r="X126" i="6" s="1"/>
  <c r="U65" i="1" s="1"/>
  <c r="T128" i="6"/>
  <c r="U128" i="6" s="1"/>
  <c r="V128" i="6" s="1"/>
  <c r="X128" i="6" s="1"/>
  <c r="T130" i="6"/>
  <c r="U130" i="6" s="1"/>
  <c r="V130" i="6" s="1"/>
  <c r="X130" i="6" s="1"/>
  <c r="T132" i="6"/>
  <c r="U132" i="6" s="1"/>
  <c r="V132" i="6" s="1"/>
  <c r="X132" i="6" s="1"/>
  <c r="T134" i="6"/>
  <c r="U134" i="6" s="1"/>
  <c r="V134" i="6" s="1"/>
  <c r="X134" i="6" s="1"/>
  <c r="T136" i="6"/>
  <c r="U136" i="6" s="1"/>
  <c r="V136" i="6" s="1"/>
  <c r="X136" i="6" s="1"/>
  <c r="T138" i="6"/>
  <c r="U138" i="6" s="1"/>
  <c r="V138" i="6" s="1"/>
  <c r="X138" i="6" s="1"/>
  <c r="T140" i="6"/>
  <c r="U140" i="6" s="1"/>
  <c r="V140" i="6" s="1"/>
  <c r="X140" i="6" s="1"/>
  <c r="T142" i="6"/>
  <c r="U142" i="6" s="1"/>
  <c r="V142" i="6" s="1"/>
  <c r="X142" i="6" s="1"/>
  <c r="T144" i="6"/>
  <c r="U144" i="6" s="1"/>
  <c r="V144" i="6" s="1"/>
  <c r="X144" i="6" s="1"/>
  <c r="T146" i="6"/>
  <c r="U146" i="6" s="1"/>
  <c r="V146" i="6" s="1"/>
  <c r="X146" i="6" s="1"/>
  <c r="T148" i="6"/>
  <c r="U148" i="6" s="1"/>
  <c r="V148" i="6" s="1"/>
  <c r="X148" i="6" s="1"/>
  <c r="T150" i="6"/>
  <c r="U150" i="6" s="1"/>
  <c r="V150" i="6" s="1"/>
  <c r="X150" i="6" s="1"/>
  <c r="T152" i="6"/>
  <c r="U152" i="6" s="1"/>
  <c r="V152" i="6" s="1"/>
  <c r="X152" i="6" s="1"/>
  <c r="T154" i="6"/>
  <c r="U154" i="6" s="1"/>
  <c r="V154" i="6" s="1"/>
  <c r="X154" i="6" s="1"/>
  <c r="T156" i="6"/>
  <c r="U156" i="6" s="1"/>
  <c r="V156" i="6" s="1"/>
  <c r="X156" i="6" s="1"/>
  <c r="T158" i="6"/>
  <c r="U158" i="6" s="1"/>
  <c r="V158" i="6" s="1"/>
  <c r="X158" i="6" s="1"/>
  <c r="T160" i="6"/>
  <c r="U160" i="6" s="1"/>
  <c r="V160" i="6" s="1"/>
  <c r="X160" i="6" s="1"/>
  <c r="T162" i="6"/>
  <c r="U162" i="6" s="1"/>
  <c r="V162" i="6" s="1"/>
  <c r="X162" i="6" s="1"/>
  <c r="T164" i="6"/>
  <c r="U164" i="6" s="1"/>
  <c r="V164" i="6" s="1"/>
  <c r="X164" i="6" s="1"/>
  <c r="T166" i="6"/>
  <c r="U166" i="6" s="1"/>
  <c r="V166" i="6" s="1"/>
  <c r="X166" i="6" s="1"/>
  <c r="T168" i="6"/>
  <c r="U168" i="6" s="1"/>
  <c r="V168" i="6" s="1"/>
  <c r="X168" i="6" s="1"/>
  <c r="T170" i="6"/>
  <c r="U170" i="6" s="1"/>
  <c r="V170" i="6" s="1"/>
  <c r="X170" i="6" s="1"/>
  <c r="T193" i="6"/>
  <c r="U193" i="6" s="1"/>
  <c r="V193" i="6" s="1"/>
  <c r="X193" i="6" s="1"/>
  <c r="T195" i="6"/>
  <c r="U195" i="6" s="1"/>
  <c r="V195" i="6" s="1"/>
  <c r="X195" i="6" s="1"/>
  <c r="T197" i="6"/>
  <c r="U197" i="6" s="1"/>
  <c r="V197" i="6" s="1"/>
  <c r="X197" i="6" s="1"/>
  <c r="T199" i="6"/>
  <c r="U199" i="6" s="1"/>
  <c r="V199" i="6" s="1"/>
  <c r="X199" i="6" s="1"/>
  <c r="T201" i="6"/>
  <c r="U201" i="6" s="1"/>
  <c r="V201" i="6" s="1"/>
  <c r="X201" i="6" s="1"/>
  <c r="T203" i="6"/>
  <c r="U203" i="6" s="1"/>
  <c r="V203" i="6" s="1"/>
  <c r="X203" i="6" s="1"/>
  <c r="T205" i="6"/>
  <c r="U205" i="6" s="1"/>
  <c r="V205" i="6" s="1"/>
  <c r="X205" i="6" s="1"/>
  <c r="T207" i="6"/>
  <c r="U207" i="6" s="1"/>
  <c r="V207" i="6" s="1"/>
  <c r="X207" i="6" s="1"/>
  <c r="T209" i="6"/>
  <c r="U209" i="6" s="1"/>
  <c r="V209" i="6" s="1"/>
  <c r="X209" i="6" s="1"/>
  <c r="T211" i="6"/>
  <c r="U211" i="6" s="1"/>
  <c r="V211" i="6" s="1"/>
  <c r="X211" i="6" s="1"/>
  <c r="T213" i="6"/>
  <c r="U213" i="6" s="1"/>
  <c r="V213" i="6" s="1"/>
  <c r="X213" i="6" s="1"/>
  <c r="T215" i="6"/>
  <c r="U215" i="6" s="1"/>
  <c r="V215" i="6" s="1"/>
  <c r="X215" i="6" s="1"/>
  <c r="T217" i="6"/>
  <c r="U217" i="6" s="1"/>
  <c r="V217" i="6" s="1"/>
  <c r="X217" i="6" s="1"/>
  <c r="T219" i="6"/>
  <c r="U219" i="6" s="1"/>
  <c r="V219" i="6" s="1"/>
  <c r="X219" i="6" s="1"/>
  <c r="T220" i="6"/>
  <c r="U220" i="6" s="1"/>
  <c r="V220" i="6" s="1"/>
  <c r="X220" i="6" s="1"/>
  <c r="T221" i="6"/>
  <c r="U221" i="6" s="1"/>
  <c r="V221" i="6" s="1"/>
  <c r="X221" i="6" s="1"/>
  <c r="T222" i="6"/>
  <c r="U222" i="6" s="1"/>
  <c r="V222" i="6" s="1"/>
  <c r="X222" i="6" s="1"/>
  <c r="T223" i="6"/>
  <c r="U223" i="6" s="1"/>
  <c r="V223" i="6" s="1"/>
  <c r="X223" i="6" s="1"/>
  <c r="T443" i="6"/>
  <c r="U443" i="6" s="1"/>
  <c r="V443" i="6" s="1"/>
  <c r="X443" i="6" s="1"/>
  <c r="T445" i="6"/>
  <c r="U445" i="6" s="1"/>
  <c r="V445" i="6" s="1"/>
  <c r="X445" i="6" s="1"/>
  <c r="T447" i="6"/>
  <c r="U447" i="6" s="1"/>
  <c r="V447" i="6" s="1"/>
  <c r="X447" i="6" s="1"/>
  <c r="T449" i="6"/>
  <c r="U449" i="6" s="1"/>
  <c r="V449" i="6" s="1"/>
  <c r="X449" i="6" s="1"/>
  <c r="T451" i="6"/>
  <c r="U451" i="6" s="1"/>
  <c r="V451" i="6" s="1"/>
  <c r="X451" i="6" s="1"/>
  <c r="T453" i="6"/>
  <c r="U453" i="6" s="1"/>
  <c r="V453" i="6" s="1"/>
  <c r="X453" i="6" s="1"/>
  <c r="T455" i="6"/>
  <c r="U455" i="6" s="1"/>
  <c r="V455" i="6" s="1"/>
  <c r="X455" i="6" s="1"/>
  <c r="T457" i="6"/>
  <c r="U457" i="6" s="1"/>
  <c r="V457" i="6" s="1"/>
  <c r="X457" i="6" s="1"/>
  <c r="T459" i="6"/>
  <c r="U459" i="6" s="1"/>
  <c r="V459" i="6" s="1"/>
  <c r="X459" i="6" s="1"/>
  <c r="T461" i="6"/>
  <c r="U461" i="6" s="1"/>
  <c r="V461" i="6" s="1"/>
  <c r="X461" i="6" s="1"/>
  <c r="T462" i="6"/>
  <c r="U462" i="6" s="1"/>
  <c r="V462" i="6" s="1"/>
  <c r="X462" i="6" s="1"/>
  <c r="T463" i="6"/>
  <c r="U463" i="6" s="1"/>
  <c r="V463" i="6" s="1"/>
  <c r="X463" i="6" s="1"/>
  <c r="T464" i="6"/>
  <c r="U464" i="6" s="1"/>
  <c r="V464" i="6" s="1"/>
  <c r="X464" i="6" s="1"/>
  <c r="T465" i="6"/>
  <c r="U465" i="6" s="1"/>
  <c r="V465" i="6" s="1"/>
  <c r="X465" i="6" s="1"/>
  <c r="T466" i="6"/>
  <c r="U466" i="6" s="1"/>
  <c r="V466" i="6" s="1"/>
  <c r="X466" i="6" s="1"/>
  <c r="T467" i="6"/>
  <c r="U467" i="6" s="1"/>
  <c r="V467" i="6" s="1"/>
  <c r="X467" i="6" s="1"/>
  <c r="T468" i="6"/>
  <c r="U468" i="6" s="1"/>
  <c r="V468" i="6" s="1"/>
  <c r="X468" i="6" s="1"/>
  <c r="T469" i="6"/>
  <c r="U469" i="6" s="1"/>
  <c r="V469" i="6" s="1"/>
  <c r="X469" i="6" s="1"/>
  <c r="T470" i="6"/>
  <c r="U470" i="6" s="1"/>
  <c r="V470" i="6" s="1"/>
  <c r="X470" i="6" s="1"/>
  <c r="T471" i="6"/>
  <c r="U471" i="6" s="1"/>
  <c r="V471" i="6" s="1"/>
  <c r="X471" i="6" s="1"/>
  <c r="T472" i="6"/>
  <c r="U472" i="6" s="1"/>
  <c r="V472" i="6" s="1"/>
  <c r="X472" i="6" s="1"/>
  <c r="T473" i="6"/>
  <c r="U473" i="6" s="1"/>
  <c r="V473" i="6" s="1"/>
  <c r="X473" i="6" s="1"/>
  <c r="T474" i="6"/>
  <c r="U474" i="6" s="1"/>
  <c r="V474" i="6" s="1"/>
  <c r="X474" i="6" s="1"/>
  <c r="T475" i="6"/>
  <c r="U475" i="6" s="1"/>
  <c r="V475" i="6" s="1"/>
  <c r="X475" i="6" s="1"/>
  <c r="T476" i="6"/>
  <c r="U476" i="6" s="1"/>
  <c r="V476" i="6" s="1"/>
  <c r="X476" i="6" s="1"/>
  <c r="T477" i="6"/>
  <c r="U477" i="6" s="1"/>
  <c r="V477" i="6" s="1"/>
  <c r="X477" i="6" s="1"/>
  <c r="T478" i="6"/>
  <c r="U478" i="6" s="1"/>
  <c r="V478" i="6" s="1"/>
  <c r="X478" i="6" s="1"/>
  <c r="M4" i="2"/>
  <c r="N4" i="2" s="1"/>
  <c r="K4" i="2"/>
  <c r="L4" i="2" s="1"/>
  <c r="O66" i="1" l="1"/>
  <c r="O5" i="1"/>
  <c r="U28" i="1"/>
  <c r="U5" i="1"/>
  <c r="U27" i="1"/>
  <c r="O52" i="1"/>
  <c r="O41" i="1"/>
  <c r="U76" i="1"/>
  <c r="O75" i="1"/>
  <c r="O77" i="1"/>
  <c r="U40" i="1"/>
  <c r="U16" i="1"/>
  <c r="O28" i="1"/>
  <c r="O29" i="1"/>
  <c r="U63" i="1"/>
  <c r="U3" i="1"/>
  <c r="U99" i="6"/>
  <c r="V99" i="6" s="1"/>
  <c r="X99" i="6" s="1"/>
  <c r="O3" i="1" s="1"/>
  <c r="U98" i="6"/>
  <c r="V98" i="6" s="1"/>
  <c r="X98" i="6" s="1"/>
  <c r="U97" i="6"/>
  <c r="V97" i="6" s="1"/>
  <c r="X97" i="6" s="1"/>
  <c r="X4" i="6"/>
  <c r="O76" i="1" s="1"/>
  <c r="X5" i="6"/>
  <c r="W447" i="5"/>
  <c r="Q447" i="5"/>
  <c r="R447" i="5" s="1"/>
  <c r="O447" i="5"/>
  <c r="P447" i="5" s="1"/>
  <c r="M447" i="5"/>
  <c r="N447" i="5" s="1"/>
  <c r="K447" i="5"/>
  <c r="L447" i="5" s="1"/>
  <c r="W446" i="5"/>
  <c r="Q446" i="5"/>
  <c r="R446" i="5" s="1"/>
  <c r="O446" i="5"/>
  <c r="P446" i="5" s="1"/>
  <c r="M446" i="5"/>
  <c r="N446" i="5" s="1"/>
  <c r="K446" i="5"/>
  <c r="L446" i="5" s="1"/>
  <c r="W445" i="5"/>
  <c r="Q445" i="5"/>
  <c r="R445" i="5" s="1"/>
  <c r="O445" i="5"/>
  <c r="P445" i="5" s="1"/>
  <c r="M445" i="5"/>
  <c r="N445" i="5" s="1"/>
  <c r="K445" i="5"/>
  <c r="L445" i="5" s="1"/>
  <c r="W444" i="5"/>
  <c r="Q444" i="5"/>
  <c r="R444" i="5" s="1"/>
  <c r="O444" i="5"/>
  <c r="P444" i="5" s="1"/>
  <c r="M444" i="5"/>
  <c r="N444" i="5" s="1"/>
  <c r="K444" i="5"/>
  <c r="L444" i="5" s="1"/>
  <c r="W443" i="5"/>
  <c r="Q443" i="5"/>
  <c r="R443" i="5" s="1"/>
  <c r="O443" i="5"/>
  <c r="P443" i="5" s="1"/>
  <c r="M443" i="5"/>
  <c r="N443" i="5" s="1"/>
  <c r="K443" i="5"/>
  <c r="L443" i="5" s="1"/>
  <c r="W442" i="5"/>
  <c r="Q442" i="5"/>
  <c r="R442" i="5" s="1"/>
  <c r="O442" i="5"/>
  <c r="P442" i="5" s="1"/>
  <c r="M442" i="5"/>
  <c r="N442" i="5" s="1"/>
  <c r="K442" i="5"/>
  <c r="L442" i="5" s="1"/>
  <c r="W441" i="5"/>
  <c r="Q441" i="5"/>
  <c r="R441" i="5" s="1"/>
  <c r="O441" i="5"/>
  <c r="P441" i="5" s="1"/>
  <c r="M441" i="5"/>
  <c r="N441" i="5" s="1"/>
  <c r="K441" i="5"/>
  <c r="L441" i="5" s="1"/>
  <c r="W440" i="5"/>
  <c r="Q440" i="5"/>
  <c r="R440" i="5" s="1"/>
  <c r="O440" i="5"/>
  <c r="P440" i="5" s="1"/>
  <c r="M440" i="5"/>
  <c r="N440" i="5" s="1"/>
  <c r="K440" i="5"/>
  <c r="L440" i="5" s="1"/>
  <c r="W439" i="5"/>
  <c r="Q439" i="5"/>
  <c r="R439" i="5" s="1"/>
  <c r="O439" i="5"/>
  <c r="P439" i="5" s="1"/>
  <c r="M439" i="5"/>
  <c r="N439" i="5" s="1"/>
  <c r="K439" i="5"/>
  <c r="L439" i="5" s="1"/>
  <c r="W438" i="5"/>
  <c r="Q438" i="5"/>
  <c r="R438" i="5" s="1"/>
  <c r="O438" i="5"/>
  <c r="P438" i="5" s="1"/>
  <c r="M438" i="5"/>
  <c r="N438" i="5" s="1"/>
  <c r="K438" i="5"/>
  <c r="L438" i="5" s="1"/>
  <c r="W437" i="5"/>
  <c r="Q437" i="5"/>
  <c r="R437" i="5" s="1"/>
  <c r="O437" i="5"/>
  <c r="P437" i="5" s="1"/>
  <c r="M437" i="5"/>
  <c r="N437" i="5" s="1"/>
  <c r="K437" i="5"/>
  <c r="L437" i="5" s="1"/>
  <c r="W436" i="5"/>
  <c r="Q436" i="5"/>
  <c r="R436" i="5" s="1"/>
  <c r="O436" i="5"/>
  <c r="P436" i="5" s="1"/>
  <c r="M436" i="5"/>
  <c r="N436" i="5" s="1"/>
  <c r="K436" i="5"/>
  <c r="L436" i="5" s="1"/>
  <c r="W435" i="5"/>
  <c r="Q435" i="5"/>
  <c r="R435" i="5" s="1"/>
  <c r="O435" i="5"/>
  <c r="P435" i="5" s="1"/>
  <c r="M435" i="5"/>
  <c r="N435" i="5" s="1"/>
  <c r="K435" i="5"/>
  <c r="L435" i="5" s="1"/>
  <c r="W434" i="5"/>
  <c r="Q434" i="5"/>
  <c r="R434" i="5" s="1"/>
  <c r="O434" i="5"/>
  <c r="P434" i="5" s="1"/>
  <c r="M434" i="5"/>
  <c r="N434" i="5" s="1"/>
  <c r="K434" i="5"/>
  <c r="L434" i="5" s="1"/>
  <c r="W433" i="5"/>
  <c r="Q433" i="5"/>
  <c r="R433" i="5" s="1"/>
  <c r="O433" i="5"/>
  <c r="P433" i="5" s="1"/>
  <c r="M433" i="5"/>
  <c r="N433" i="5" s="1"/>
  <c r="K433" i="5"/>
  <c r="L433" i="5" s="1"/>
  <c r="W432" i="5"/>
  <c r="Q432" i="5"/>
  <c r="R432" i="5" s="1"/>
  <c r="O432" i="5"/>
  <c r="P432" i="5" s="1"/>
  <c r="M432" i="5"/>
  <c r="N432" i="5" s="1"/>
  <c r="K432" i="5"/>
  <c r="L432" i="5" s="1"/>
  <c r="W431" i="5"/>
  <c r="Q431" i="5"/>
  <c r="R431" i="5" s="1"/>
  <c r="O431" i="5"/>
  <c r="P431" i="5" s="1"/>
  <c r="M431" i="5"/>
  <c r="N431" i="5" s="1"/>
  <c r="K431" i="5"/>
  <c r="L431" i="5" s="1"/>
  <c r="W430" i="5"/>
  <c r="Q430" i="5"/>
  <c r="R430" i="5" s="1"/>
  <c r="O430" i="5"/>
  <c r="P430" i="5" s="1"/>
  <c r="M430" i="5"/>
  <c r="N430" i="5" s="1"/>
  <c r="K430" i="5"/>
  <c r="L430" i="5" s="1"/>
  <c r="W429" i="5"/>
  <c r="Q429" i="5"/>
  <c r="R429" i="5" s="1"/>
  <c r="O429" i="5"/>
  <c r="P429" i="5" s="1"/>
  <c r="M429" i="5"/>
  <c r="N429" i="5" s="1"/>
  <c r="K429" i="5"/>
  <c r="L429" i="5" s="1"/>
  <c r="W428" i="5"/>
  <c r="Q428" i="5"/>
  <c r="R428" i="5" s="1"/>
  <c r="O428" i="5"/>
  <c r="P428" i="5" s="1"/>
  <c r="M428" i="5"/>
  <c r="N428" i="5" s="1"/>
  <c r="K428" i="5"/>
  <c r="L428" i="5" s="1"/>
  <c r="W427" i="5"/>
  <c r="Q427" i="5"/>
  <c r="R427" i="5" s="1"/>
  <c r="O427" i="5"/>
  <c r="P427" i="5" s="1"/>
  <c r="M427" i="5"/>
  <c r="N427" i="5" s="1"/>
  <c r="K427" i="5"/>
  <c r="L427" i="5" s="1"/>
  <c r="W426" i="5"/>
  <c r="Q426" i="5"/>
  <c r="R426" i="5" s="1"/>
  <c r="O426" i="5"/>
  <c r="P426" i="5" s="1"/>
  <c r="M426" i="5"/>
  <c r="N426" i="5" s="1"/>
  <c r="K426" i="5"/>
  <c r="L426" i="5" s="1"/>
  <c r="W425" i="5"/>
  <c r="Q425" i="5"/>
  <c r="R425" i="5" s="1"/>
  <c r="O425" i="5"/>
  <c r="P425" i="5" s="1"/>
  <c r="M425" i="5"/>
  <c r="N425" i="5" s="1"/>
  <c r="K425" i="5"/>
  <c r="L425" i="5" s="1"/>
  <c r="W424" i="5"/>
  <c r="Q424" i="5"/>
  <c r="R424" i="5" s="1"/>
  <c r="O424" i="5"/>
  <c r="P424" i="5" s="1"/>
  <c r="M424" i="5"/>
  <c r="N424" i="5" s="1"/>
  <c r="K424" i="5"/>
  <c r="L424" i="5" s="1"/>
  <c r="W423" i="5"/>
  <c r="Q423" i="5"/>
  <c r="R423" i="5" s="1"/>
  <c r="O423" i="5"/>
  <c r="P423" i="5" s="1"/>
  <c r="M423" i="5"/>
  <c r="N423" i="5" s="1"/>
  <c r="K423" i="5"/>
  <c r="L423" i="5" s="1"/>
  <c r="W422" i="5"/>
  <c r="Q422" i="5"/>
  <c r="R422" i="5" s="1"/>
  <c r="O422" i="5"/>
  <c r="P422" i="5" s="1"/>
  <c r="M422" i="5"/>
  <c r="N422" i="5" s="1"/>
  <c r="K422" i="5"/>
  <c r="L422" i="5" s="1"/>
  <c r="W421" i="5"/>
  <c r="Q421" i="5"/>
  <c r="R421" i="5" s="1"/>
  <c r="O421" i="5"/>
  <c r="P421" i="5" s="1"/>
  <c r="M421" i="5"/>
  <c r="N421" i="5" s="1"/>
  <c r="K421" i="5"/>
  <c r="L421" i="5" s="1"/>
  <c r="W420" i="5"/>
  <c r="Q420" i="5"/>
  <c r="R420" i="5" s="1"/>
  <c r="O420" i="5"/>
  <c r="P420" i="5" s="1"/>
  <c r="M420" i="5"/>
  <c r="N420" i="5" s="1"/>
  <c r="K420" i="5"/>
  <c r="L420" i="5" s="1"/>
  <c r="W419" i="5"/>
  <c r="Q419" i="5"/>
  <c r="R419" i="5" s="1"/>
  <c r="O419" i="5"/>
  <c r="P419" i="5" s="1"/>
  <c r="M419" i="5"/>
  <c r="N419" i="5" s="1"/>
  <c r="K419" i="5"/>
  <c r="L419" i="5" s="1"/>
  <c r="W418" i="5"/>
  <c r="Q418" i="5"/>
  <c r="R418" i="5" s="1"/>
  <c r="O418" i="5"/>
  <c r="P418" i="5" s="1"/>
  <c r="M418" i="5"/>
  <c r="N418" i="5" s="1"/>
  <c r="K418" i="5"/>
  <c r="L418" i="5" s="1"/>
  <c r="W417" i="5"/>
  <c r="Q417" i="5"/>
  <c r="R417" i="5" s="1"/>
  <c r="O417" i="5"/>
  <c r="P417" i="5" s="1"/>
  <c r="M417" i="5"/>
  <c r="N417" i="5" s="1"/>
  <c r="K417" i="5"/>
  <c r="L417" i="5" s="1"/>
  <c r="W416" i="5"/>
  <c r="Q416" i="5"/>
  <c r="R416" i="5" s="1"/>
  <c r="O416" i="5"/>
  <c r="P416" i="5" s="1"/>
  <c r="M416" i="5"/>
  <c r="N416" i="5" s="1"/>
  <c r="K416" i="5"/>
  <c r="L416" i="5" s="1"/>
  <c r="W415" i="5"/>
  <c r="Q415" i="5"/>
  <c r="R415" i="5" s="1"/>
  <c r="O415" i="5"/>
  <c r="P415" i="5" s="1"/>
  <c r="M415" i="5"/>
  <c r="N415" i="5" s="1"/>
  <c r="K415" i="5"/>
  <c r="L415" i="5" s="1"/>
  <c r="W414" i="5"/>
  <c r="Q414" i="5"/>
  <c r="R414" i="5" s="1"/>
  <c r="O414" i="5"/>
  <c r="P414" i="5" s="1"/>
  <c r="M414" i="5"/>
  <c r="N414" i="5" s="1"/>
  <c r="K414" i="5"/>
  <c r="L414" i="5" s="1"/>
  <c r="W413" i="5"/>
  <c r="Q413" i="5"/>
  <c r="R413" i="5" s="1"/>
  <c r="O413" i="5"/>
  <c r="P413" i="5" s="1"/>
  <c r="M413" i="5"/>
  <c r="N413" i="5" s="1"/>
  <c r="K413" i="5"/>
  <c r="L413" i="5" s="1"/>
  <c r="W412" i="5"/>
  <c r="Q412" i="5"/>
  <c r="R412" i="5" s="1"/>
  <c r="O412" i="5"/>
  <c r="P412" i="5" s="1"/>
  <c r="M412" i="5"/>
  <c r="N412" i="5" s="1"/>
  <c r="K412" i="5"/>
  <c r="L412" i="5" s="1"/>
  <c r="W411" i="5"/>
  <c r="Q411" i="5"/>
  <c r="R411" i="5" s="1"/>
  <c r="O411" i="5"/>
  <c r="P411" i="5" s="1"/>
  <c r="M411" i="5"/>
  <c r="N411" i="5" s="1"/>
  <c r="K411" i="5"/>
  <c r="L411" i="5" s="1"/>
  <c r="W410" i="5"/>
  <c r="Q410" i="5"/>
  <c r="R410" i="5" s="1"/>
  <c r="O410" i="5"/>
  <c r="P410" i="5" s="1"/>
  <c r="M410" i="5"/>
  <c r="N410" i="5" s="1"/>
  <c r="K410" i="5"/>
  <c r="L410" i="5" s="1"/>
  <c r="W409" i="5"/>
  <c r="Q409" i="5"/>
  <c r="R409" i="5" s="1"/>
  <c r="O409" i="5"/>
  <c r="P409" i="5" s="1"/>
  <c r="M409" i="5"/>
  <c r="N409" i="5" s="1"/>
  <c r="K409" i="5"/>
  <c r="L409" i="5" s="1"/>
  <c r="W408" i="5"/>
  <c r="Q408" i="5"/>
  <c r="R408" i="5" s="1"/>
  <c r="O408" i="5"/>
  <c r="P408" i="5" s="1"/>
  <c r="M408" i="5"/>
  <c r="N408" i="5" s="1"/>
  <c r="K408" i="5"/>
  <c r="L408" i="5" s="1"/>
  <c r="W407" i="5"/>
  <c r="Q407" i="5"/>
  <c r="R407" i="5" s="1"/>
  <c r="O407" i="5"/>
  <c r="P407" i="5" s="1"/>
  <c r="M407" i="5"/>
  <c r="N407" i="5" s="1"/>
  <c r="K407" i="5"/>
  <c r="L407" i="5" s="1"/>
  <c r="W406" i="5"/>
  <c r="Q406" i="5"/>
  <c r="R406" i="5" s="1"/>
  <c r="O406" i="5"/>
  <c r="P406" i="5" s="1"/>
  <c r="M406" i="5"/>
  <c r="N406" i="5" s="1"/>
  <c r="K406" i="5"/>
  <c r="L406" i="5" s="1"/>
  <c r="W405" i="5"/>
  <c r="Q405" i="5"/>
  <c r="R405" i="5" s="1"/>
  <c r="O405" i="5"/>
  <c r="P405" i="5" s="1"/>
  <c r="M405" i="5"/>
  <c r="N405" i="5" s="1"/>
  <c r="K405" i="5"/>
  <c r="L405" i="5" s="1"/>
  <c r="W404" i="5"/>
  <c r="Q404" i="5"/>
  <c r="R404" i="5" s="1"/>
  <c r="O404" i="5"/>
  <c r="P404" i="5" s="1"/>
  <c r="M404" i="5"/>
  <c r="N404" i="5" s="1"/>
  <c r="K404" i="5"/>
  <c r="L404" i="5" s="1"/>
  <c r="W403" i="5"/>
  <c r="Q403" i="5"/>
  <c r="R403" i="5" s="1"/>
  <c r="O403" i="5"/>
  <c r="P403" i="5" s="1"/>
  <c r="M403" i="5"/>
  <c r="N403" i="5" s="1"/>
  <c r="K403" i="5"/>
  <c r="L403" i="5" s="1"/>
  <c r="W402" i="5"/>
  <c r="Q402" i="5"/>
  <c r="R402" i="5" s="1"/>
  <c r="O402" i="5"/>
  <c r="P402" i="5" s="1"/>
  <c r="M402" i="5"/>
  <c r="N402" i="5" s="1"/>
  <c r="K402" i="5"/>
  <c r="L402" i="5" s="1"/>
  <c r="W401" i="5"/>
  <c r="Q401" i="5"/>
  <c r="R401" i="5" s="1"/>
  <c r="O401" i="5"/>
  <c r="P401" i="5" s="1"/>
  <c r="M401" i="5"/>
  <c r="N401" i="5" s="1"/>
  <c r="K401" i="5"/>
  <c r="L401" i="5" s="1"/>
  <c r="W400" i="5"/>
  <c r="Q400" i="5"/>
  <c r="R400" i="5" s="1"/>
  <c r="O400" i="5"/>
  <c r="P400" i="5" s="1"/>
  <c r="M400" i="5"/>
  <c r="N400" i="5" s="1"/>
  <c r="K400" i="5"/>
  <c r="L400" i="5" s="1"/>
  <c r="W399" i="5"/>
  <c r="Q399" i="5"/>
  <c r="R399" i="5" s="1"/>
  <c r="O399" i="5"/>
  <c r="P399" i="5" s="1"/>
  <c r="M399" i="5"/>
  <c r="N399" i="5" s="1"/>
  <c r="K399" i="5"/>
  <c r="L399" i="5" s="1"/>
  <c r="W398" i="5"/>
  <c r="Q398" i="5"/>
  <c r="R398" i="5" s="1"/>
  <c r="O398" i="5"/>
  <c r="P398" i="5" s="1"/>
  <c r="M398" i="5"/>
  <c r="N398" i="5" s="1"/>
  <c r="K398" i="5"/>
  <c r="L398" i="5" s="1"/>
  <c r="W397" i="5"/>
  <c r="Q397" i="5"/>
  <c r="R397" i="5" s="1"/>
  <c r="O397" i="5"/>
  <c r="P397" i="5" s="1"/>
  <c r="M397" i="5"/>
  <c r="N397" i="5" s="1"/>
  <c r="K397" i="5"/>
  <c r="L397" i="5" s="1"/>
  <c r="W396" i="5"/>
  <c r="Q396" i="5"/>
  <c r="R396" i="5" s="1"/>
  <c r="O396" i="5"/>
  <c r="P396" i="5" s="1"/>
  <c r="M396" i="5"/>
  <c r="N396" i="5" s="1"/>
  <c r="K396" i="5"/>
  <c r="L396" i="5" s="1"/>
  <c r="W395" i="5"/>
  <c r="Q395" i="5"/>
  <c r="R395" i="5" s="1"/>
  <c r="O395" i="5"/>
  <c r="P395" i="5" s="1"/>
  <c r="M395" i="5"/>
  <c r="N395" i="5" s="1"/>
  <c r="K395" i="5"/>
  <c r="L395" i="5" s="1"/>
  <c r="W394" i="5"/>
  <c r="Q394" i="5"/>
  <c r="R394" i="5" s="1"/>
  <c r="O394" i="5"/>
  <c r="P394" i="5" s="1"/>
  <c r="M394" i="5"/>
  <c r="N394" i="5" s="1"/>
  <c r="K394" i="5"/>
  <c r="L394" i="5" s="1"/>
  <c r="W393" i="5"/>
  <c r="Q393" i="5"/>
  <c r="R393" i="5" s="1"/>
  <c r="O393" i="5"/>
  <c r="P393" i="5" s="1"/>
  <c r="M393" i="5"/>
  <c r="N393" i="5" s="1"/>
  <c r="K393" i="5"/>
  <c r="L393" i="5" s="1"/>
  <c r="W392" i="5"/>
  <c r="Q392" i="5"/>
  <c r="R392" i="5" s="1"/>
  <c r="O392" i="5"/>
  <c r="P392" i="5" s="1"/>
  <c r="M392" i="5"/>
  <c r="N392" i="5" s="1"/>
  <c r="K392" i="5"/>
  <c r="L392" i="5" s="1"/>
  <c r="W391" i="5"/>
  <c r="Q391" i="5"/>
  <c r="R391" i="5" s="1"/>
  <c r="O391" i="5"/>
  <c r="P391" i="5" s="1"/>
  <c r="M391" i="5"/>
  <c r="N391" i="5" s="1"/>
  <c r="K391" i="5"/>
  <c r="L391" i="5" s="1"/>
  <c r="W390" i="5"/>
  <c r="Q390" i="5"/>
  <c r="R390" i="5" s="1"/>
  <c r="O390" i="5"/>
  <c r="P390" i="5" s="1"/>
  <c r="M390" i="5"/>
  <c r="N390" i="5" s="1"/>
  <c r="K390" i="5"/>
  <c r="L390" i="5" s="1"/>
  <c r="W389" i="5"/>
  <c r="Q389" i="5"/>
  <c r="R389" i="5" s="1"/>
  <c r="O389" i="5"/>
  <c r="P389" i="5" s="1"/>
  <c r="M389" i="5"/>
  <c r="N389" i="5" s="1"/>
  <c r="K389" i="5"/>
  <c r="L389" i="5" s="1"/>
  <c r="W388" i="5"/>
  <c r="Q388" i="5"/>
  <c r="R388" i="5" s="1"/>
  <c r="O388" i="5"/>
  <c r="P388" i="5" s="1"/>
  <c r="M388" i="5"/>
  <c r="N388" i="5" s="1"/>
  <c r="K388" i="5"/>
  <c r="L388" i="5" s="1"/>
  <c r="W387" i="5"/>
  <c r="Q387" i="5"/>
  <c r="R387" i="5" s="1"/>
  <c r="O387" i="5"/>
  <c r="P387" i="5" s="1"/>
  <c r="M387" i="5"/>
  <c r="N387" i="5" s="1"/>
  <c r="K387" i="5"/>
  <c r="L387" i="5" s="1"/>
  <c r="W386" i="5"/>
  <c r="Q386" i="5"/>
  <c r="R386" i="5" s="1"/>
  <c r="O386" i="5"/>
  <c r="P386" i="5" s="1"/>
  <c r="M386" i="5"/>
  <c r="N386" i="5" s="1"/>
  <c r="K386" i="5"/>
  <c r="L386" i="5" s="1"/>
  <c r="W385" i="5"/>
  <c r="Q385" i="5"/>
  <c r="R385" i="5" s="1"/>
  <c r="O385" i="5"/>
  <c r="P385" i="5" s="1"/>
  <c r="M385" i="5"/>
  <c r="N385" i="5" s="1"/>
  <c r="K385" i="5"/>
  <c r="L385" i="5" s="1"/>
  <c r="W384" i="5"/>
  <c r="Q384" i="5"/>
  <c r="R384" i="5" s="1"/>
  <c r="O384" i="5"/>
  <c r="P384" i="5" s="1"/>
  <c r="M384" i="5"/>
  <c r="N384" i="5" s="1"/>
  <c r="K384" i="5"/>
  <c r="L384" i="5" s="1"/>
  <c r="W383" i="5"/>
  <c r="Q383" i="5"/>
  <c r="R383" i="5" s="1"/>
  <c r="O383" i="5"/>
  <c r="P383" i="5" s="1"/>
  <c r="M383" i="5"/>
  <c r="N383" i="5" s="1"/>
  <c r="K383" i="5"/>
  <c r="L383" i="5" s="1"/>
  <c r="W382" i="5"/>
  <c r="Q382" i="5"/>
  <c r="R382" i="5" s="1"/>
  <c r="O382" i="5"/>
  <c r="P382" i="5" s="1"/>
  <c r="M382" i="5"/>
  <c r="N382" i="5" s="1"/>
  <c r="K382" i="5"/>
  <c r="L382" i="5" s="1"/>
  <c r="W381" i="5"/>
  <c r="Q381" i="5"/>
  <c r="R381" i="5" s="1"/>
  <c r="O381" i="5"/>
  <c r="P381" i="5" s="1"/>
  <c r="M381" i="5"/>
  <c r="N381" i="5" s="1"/>
  <c r="K381" i="5"/>
  <c r="L381" i="5" s="1"/>
  <c r="W380" i="5"/>
  <c r="Q380" i="5"/>
  <c r="R380" i="5" s="1"/>
  <c r="O380" i="5"/>
  <c r="P380" i="5" s="1"/>
  <c r="M380" i="5"/>
  <c r="N380" i="5" s="1"/>
  <c r="K380" i="5"/>
  <c r="L380" i="5" s="1"/>
  <c r="W379" i="5"/>
  <c r="Q379" i="5"/>
  <c r="R379" i="5" s="1"/>
  <c r="O379" i="5"/>
  <c r="P379" i="5" s="1"/>
  <c r="M379" i="5"/>
  <c r="N379" i="5" s="1"/>
  <c r="K379" i="5"/>
  <c r="L379" i="5" s="1"/>
  <c r="W378" i="5"/>
  <c r="Q378" i="5"/>
  <c r="R378" i="5" s="1"/>
  <c r="O378" i="5"/>
  <c r="P378" i="5" s="1"/>
  <c r="M378" i="5"/>
  <c r="N378" i="5" s="1"/>
  <c r="K378" i="5"/>
  <c r="L378" i="5" s="1"/>
  <c r="W377" i="5"/>
  <c r="Q377" i="5"/>
  <c r="R377" i="5" s="1"/>
  <c r="O377" i="5"/>
  <c r="P377" i="5" s="1"/>
  <c r="M377" i="5"/>
  <c r="N377" i="5" s="1"/>
  <c r="K377" i="5"/>
  <c r="L377" i="5" s="1"/>
  <c r="W376" i="5"/>
  <c r="Q376" i="5"/>
  <c r="R376" i="5" s="1"/>
  <c r="O376" i="5"/>
  <c r="P376" i="5" s="1"/>
  <c r="M376" i="5"/>
  <c r="N376" i="5" s="1"/>
  <c r="K376" i="5"/>
  <c r="L376" i="5" s="1"/>
  <c r="W375" i="5"/>
  <c r="Q375" i="5"/>
  <c r="R375" i="5" s="1"/>
  <c r="O375" i="5"/>
  <c r="P375" i="5" s="1"/>
  <c r="M375" i="5"/>
  <c r="N375" i="5" s="1"/>
  <c r="K375" i="5"/>
  <c r="L375" i="5" s="1"/>
  <c r="W374" i="5"/>
  <c r="Q374" i="5"/>
  <c r="R374" i="5" s="1"/>
  <c r="O374" i="5"/>
  <c r="P374" i="5" s="1"/>
  <c r="M374" i="5"/>
  <c r="N374" i="5" s="1"/>
  <c r="K374" i="5"/>
  <c r="L374" i="5" s="1"/>
  <c r="W373" i="5"/>
  <c r="Q373" i="5"/>
  <c r="R373" i="5" s="1"/>
  <c r="O373" i="5"/>
  <c r="P373" i="5" s="1"/>
  <c r="M373" i="5"/>
  <c r="N373" i="5" s="1"/>
  <c r="K373" i="5"/>
  <c r="L373" i="5" s="1"/>
  <c r="W372" i="5"/>
  <c r="Q372" i="5"/>
  <c r="R372" i="5" s="1"/>
  <c r="O372" i="5"/>
  <c r="P372" i="5" s="1"/>
  <c r="M372" i="5"/>
  <c r="N372" i="5" s="1"/>
  <c r="K372" i="5"/>
  <c r="L372" i="5" s="1"/>
  <c r="W371" i="5"/>
  <c r="Q371" i="5"/>
  <c r="R371" i="5" s="1"/>
  <c r="O371" i="5"/>
  <c r="P371" i="5" s="1"/>
  <c r="M371" i="5"/>
  <c r="N371" i="5" s="1"/>
  <c r="K371" i="5"/>
  <c r="L371" i="5" s="1"/>
  <c r="W370" i="5"/>
  <c r="Q370" i="5"/>
  <c r="R370" i="5" s="1"/>
  <c r="O370" i="5"/>
  <c r="P370" i="5" s="1"/>
  <c r="M370" i="5"/>
  <c r="N370" i="5" s="1"/>
  <c r="K370" i="5"/>
  <c r="L370" i="5" s="1"/>
  <c r="W369" i="5"/>
  <c r="Q369" i="5"/>
  <c r="R369" i="5" s="1"/>
  <c r="O369" i="5"/>
  <c r="P369" i="5" s="1"/>
  <c r="M369" i="5"/>
  <c r="N369" i="5" s="1"/>
  <c r="K369" i="5"/>
  <c r="L369" i="5" s="1"/>
  <c r="W368" i="5"/>
  <c r="Q368" i="5"/>
  <c r="R368" i="5" s="1"/>
  <c r="O368" i="5"/>
  <c r="P368" i="5" s="1"/>
  <c r="M368" i="5"/>
  <c r="N368" i="5" s="1"/>
  <c r="K368" i="5"/>
  <c r="L368" i="5" s="1"/>
  <c r="W367" i="5"/>
  <c r="Q367" i="5"/>
  <c r="R367" i="5" s="1"/>
  <c r="O367" i="5"/>
  <c r="P367" i="5" s="1"/>
  <c r="M367" i="5"/>
  <c r="N367" i="5" s="1"/>
  <c r="K367" i="5"/>
  <c r="L367" i="5" s="1"/>
  <c r="W366" i="5"/>
  <c r="Q366" i="5"/>
  <c r="R366" i="5" s="1"/>
  <c r="O366" i="5"/>
  <c r="P366" i="5" s="1"/>
  <c r="M366" i="5"/>
  <c r="N366" i="5" s="1"/>
  <c r="K366" i="5"/>
  <c r="L366" i="5" s="1"/>
  <c r="W365" i="5"/>
  <c r="Q365" i="5"/>
  <c r="R365" i="5" s="1"/>
  <c r="O365" i="5"/>
  <c r="P365" i="5" s="1"/>
  <c r="M365" i="5"/>
  <c r="N365" i="5" s="1"/>
  <c r="K365" i="5"/>
  <c r="L365" i="5" s="1"/>
  <c r="W364" i="5"/>
  <c r="Q364" i="5"/>
  <c r="R364" i="5" s="1"/>
  <c r="O364" i="5"/>
  <c r="P364" i="5" s="1"/>
  <c r="M364" i="5"/>
  <c r="N364" i="5" s="1"/>
  <c r="K364" i="5"/>
  <c r="L364" i="5" s="1"/>
  <c r="W363" i="5"/>
  <c r="Q363" i="5"/>
  <c r="R363" i="5" s="1"/>
  <c r="O363" i="5"/>
  <c r="P363" i="5" s="1"/>
  <c r="M363" i="5"/>
  <c r="N363" i="5" s="1"/>
  <c r="K363" i="5"/>
  <c r="L363" i="5" s="1"/>
  <c r="W362" i="5"/>
  <c r="Q362" i="5"/>
  <c r="R362" i="5" s="1"/>
  <c r="O362" i="5"/>
  <c r="P362" i="5" s="1"/>
  <c r="M362" i="5"/>
  <c r="N362" i="5" s="1"/>
  <c r="K362" i="5"/>
  <c r="L362" i="5" s="1"/>
  <c r="W361" i="5"/>
  <c r="Q361" i="5"/>
  <c r="R361" i="5" s="1"/>
  <c r="O361" i="5"/>
  <c r="P361" i="5" s="1"/>
  <c r="M361" i="5"/>
  <c r="N361" i="5" s="1"/>
  <c r="K361" i="5"/>
  <c r="L361" i="5" s="1"/>
  <c r="W360" i="5"/>
  <c r="Q360" i="5"/>
  <c r="R360" i="5" s="1"/>
  <c r="O360" i="5"/>
  <c r="P360" i="5" s="1"/>
  <c r="M360" i="5"/>
  <c r="N360" i="5" s="1"/>
  <c r="K360" i="5"/>
  <c r="L360" i="5" s="1"/>
  <c r="W359" i="5"/>
  <c r="Q359" i="5"/>
  <c r="R359" i="5" s="1"/>
  <c r="O359" i="5"/>
  <c r="P359" i="5" s="1"/>
  <c r="M359" i="5"/>
  <c r="N359" i="5" s="1"/>
  <c r="K359" i="5"/>
  <c r="L359" i="5" s="1"/>
  <c r="W358" i="5"/>
  <c r="Q358" i="5"/>
  <c r="R358" i="5" s="1"/>
  <c r="O358" i="5"/>
  <c r="P358" i="5" s="1"/>
  <c r="M358" i="5"/>
  <c r="N358" i="5" s="1"/>
  <c r="K358" i="5"/>
  <c r="L358" i="5" s="1"/>
  <c r="W357" i="5"/>
  <c r="Q357" i="5"/>
  <c r="R357" i="5" s="1"/>
  <c r="O357" i="5"/>
  <c r="P357" i="5" s="1"/>
  <c r="M357" i="5"/>
  <c r="N357" i="5" s="1"/>
  <c r="K357" i="5"/>
  <c r="L357" i="5" s="1"/>
  <c r="W356" i="5"/>
  <c r="Q356" i="5"/>
  <c r="R356" i="5" s="1"/>
  <c r="O356" i="5"/>
  <c r="P356" i="5" s="1"/>
  <c r="M356" i="5"/>
  <c r="N356" i="5" s="1"/>
  <c r="K356" i="5"/>
  <c r="L356" i="5" s="1"/>
  <c r="W355" i="5"/>
  <c r="Q355" i="5"/>
  <c r="R355" i="5" s="1"/>
  <c r="O355" i="5"/>
  <c r="P355" i="5" s="1"/>
  <c r="M355" i="5"/>
  <c r="N355" i="5" s="1"/>
  <c r="K355" i="5"/>
  <c r="L355" i="5" s="1"/>
  <c r="W354" i="5"/>
  <c r="Q354" i="5"/>
  <c r="R354" i="5" s="1"/>
  <c r="O354" i="5"/>
  <c r="P354" i="5" s="1"/>
  <c r="M354" i="5"/>
  <c r="N354" i="5" s="1"/>
  <c r="K354" i="5"/>
  <c r="L354" i="5" s="1"/>
  <c r="W353" i="5"/>
  <c r="Q353" i="5"/>
  <c r="R353" i="5" s="1"/>
  <c r="O353" i="5"/>
  <c r="P353" i="5" s="1"/>
  <c r="M353" i="5"/>
  <c r="N353" i="5" s="1"/>
  <c r="K353" i="5"/>
  <c r="L353" i="5" s="1"/>
  <c r="W352" i="5"/>
  <c r="Q352" i="5"/>
  <c r="R352" i="5" s="1"/>
  <c r="O352" i="5"/>
  <c r="P352" i="5" s="1"/>
  <c r="M352" i="5"/>
  <c r="N352" i="5" s="1"/>
  <c r="K352" i="5"/>
  <c r="L352" i="5" s="1"/>
  <c r="W351" i="5"/>
  <c r="Q351" i="5"/>
  <c r="R351" i="5" s="1"/>
  <c r="O351" i="5"/>
  <c r="P351" i="5" s="1"/>
  <c r="M351" i="5"/>
  <c r="N351" i="5" s="1"/>
  <c r="K351" i="5"/>
  <c r="L351" i="5" s="1"/>
  <c r="W350" i="5"/>
  <c r="Q350" i="5"/>
  <c r="R350" i="5" s="1"/>
  <c r="O350" i="5"/>
  <c r="P350" i="5" s="1"/>
  <c r="M350" i="5"/>
  <c r="N350" i="5" s="1"/>
  <c r="K350" i="5"/>
  <c r="L350" i="5" s="1"/>
  <c r="W349" i="5"/>
  <c r="Q349" i="5"/>
  <c r="R349" i="5" s="1"/>
  <c r="O349" i="5"/>
  <c r="P349" i="5" s="1"/>
  <c r="M349" i="5"/>
  <c r="N349" i="5" s="1"/>
  <c r="K349" i="5"/>
  <c r="L349" i="5" s="1"/>
  <c r="W348" i="5"/>
  <c r="Q348" i="5"/>
  <c r="R348" i="5" s="1"/>
  <c r="O348" i="5"/>
  <c r="P348" i="5" s="1"/>
  <c r="M348" i="5"/>
  <c r="N348" i="5" s="1"/>
  <c r="K348" i="5"/>
  <c r="L348" i="5" s="1"/>
  <c r="W347" i="5"/>
  <c r="Q347" i="5"/>
  <c r="R347" i="5" s="1"/>
  <c r="O347" i="5"/>
  <c r="P347" i="5" s="1"/>
  <c r="M347" i="5"/>
  <c r="N347" i="5" s="1"/>
  <c r="K347" i="5"/>
  <c r="L347" i="5" s="1"/>
  <c r="W346" i="5"/>
  <c r="Q346" i="5"/>
  <c r="R346" i="5" s="1"/>
  <c r="O346" i="5"/>
  <c r="P346" i="5" s="1"/>
  <c r="M346" i="5"/>
  <c r="N346" i="5" s="1"/>
  <c r="K346" i="5"/>
  <c r="L346" i="5" s="1"/>
  <c r="W345" i="5"/>
  <c r="Q345" i="5"/>
  <c r="R345" i="5" s="1"/>
  <c r="O345" i="5"/>
  <c r="P345" i="5" s="1"/>
  <c r="M345" i="5"/>
  <c r="N345" i="5" s="1"/>
  <c r="K345" i="5"/>
  <c r="L345" i="5" s="1"/>
  <c r="W344" i="5"/>
  <c r="Q344" i="5"/>
  <c r="R344" i="5" s="1"/>
  <c r="O344" i="5"/>
  <c r="P344" i="5" s="1"/>
  <c r="M344" i="5"/>
  <c r="N344" i="5" s="1"/>
  <c r="K344" i="5"/>
  <c r="L344" i="5" s="1"/>
  <c r="W343" i="5"/>
  <c r="Q343" i="5"/>
  <c r="R343" i="5" s="1"/>
  <c r="O343" i="5"/>
  <c r="P343" i="5" s="1"/>
  <c r="M343" i="5"/>
  <c r="N343" i="5" s="1"/>
  <c r="K343" i="5"/>
  <c r="L343" i="5" s="1"/>
  <c r="W342" i="5"/>
  <c r="Q342" i="5"/>
  <c r="R342" i="5" s="1"/>
  <c r="O342" i="5"/>
  <c r="P342" i="5" s="1"/>
  <c r="M342" i="5"/>
  <c r="N342" i="5" s="1"/>
  <c r="K342" i="5"/>
  <c r="L342" i="5" s="1"/>
  <c r="W341" i="5"/>
  <c r="Q341" i="5"/>
  <c r="R341" i="5" s="1"/>
  <c r="O341" i="5"/>
  <c r="P341" i="5" s="1"/>
  <c r="M341" i="5"/>
  <c r="N341" i="5" s="1"/>
  <c r="K341" i="5"/>
  <c r="L341" i="5" s="1"/>
  <c r="W340" i="5"/>
  <c r="Q340" i="5"/>
  <c r="R340" i="5" s="1"/>
  <c r="O340" i="5"/>
  <c r="P340" i="5" s="1"/>
  <c r="M340" i="5"/>
  <c r="N340" i="5" s="1"/>
  <c r="K340" i="5"/>
  <c r="L340" i="5" s="1"/>
  <c r="W339" i="5"/>
  <c r="Q339" i="5"/>
  <c r="R339" i="5" s="1"/>
  <c r="O339" i="5"/>
  <c r="P339" i="5" s="1"/>
  <c r="M339" i="5"/>
  <c r="N339" i="5" s="1"/>
  <c r="K339" i="5"/>
  <c r="L339" i="5" s="1"/>
  <c r="W338" i="5"/>
  <c r="Q338" i="5"/>
  <c r="R338" i="5" s="1"/>
  <c r="O338" i="5"/>
  <c r="P338" i="5" s="1"/>
  <c r="M338" i="5"/>
  <c r="N338" i="5" s="1"/>
  <c r="K338" i="5"/>
  <c r="L338" i="5" s="1"/>
  <c r="W337" i="5"/>
  <c r="Q337" i="5"/>
  <c r="R337" i="5" s="1"/>
  <c r="O337" i="5"/>
  <c r="P337" i="5" s="1"/>
  <c r="M337" i="5"/>
  <c r="N337" i="5" s="1"/>
  <c r="K337" i="5"/>
  <c r="L337" i="5" s="1"/>
  <c r="W336" i="5"/>
  <c r="Q336" i="5"/>
  <c r="R336" i="5" s="1"/>
  <c r="O336" i="5"/>
  <c r="P336" i="5" s="1"/>
  <c r="M336" i="5"/>
  <c r="N336" i="5" s="1"/>
  <c r="K336" i="5"/>
  <c r="L336" i="5" s="1"/>
  <c r="W335" i="5"/>
  <c r="Q335" i="5"/>
  <c r="R335" i="5" s="1"/>
  <c r="O335" i="5"/>
  <c r="P335" i="5" s="1"/>
  <c r="M335" i="5"/>
  <c r="N335" i="5" s="1"/>
  <c r="K335" i="5"/>
  <c r="L335" i="5" s="1"/>
  <c r="W334" i="5"/>
  <c r="Q334" i="5"/>
  <c r="R334" i="5" s="1"/>
  <c r="O334" i="5"/>
  <c r="P334" i="5" s="1"/>
  <c r="M334" i="5"/>
  <c r="N334" i="5" s="1"/>
  <c r="K334" i="5"/>
  <c r="L334" i="5" s="1"/>
  <c r="W333" i="5"/>
  <c r="Q333" i="5"/>
  <c r="R333" i="5" s="1"/>
  <c r="O333" i="5"/>
  <c r="P333" i="5" s="1"/>
  <c r="M333" i="5"/>
  <c r="N333" i="5" s="1"/>
  <c r="K333" i="5"/>
  <c r="L333" i="5" s="1"/>
  <c r="W332" i="5"/>
  <c r="Q332" i="5"/>
  <c r="R332" i="5" s="1"/>
  <c r="O332" i="5"/>
  <c r="P332" i="5" s="1"/>
  <c r="M332" i="5"/>
  <c r="N332" i="5" s="1"/>
  <c r="K332" i="5"/>
  <c r="L332" i="5" s="1"/>
  <c r="W331" i="5"/>
  <c r="Q331" i="5"/>
  <c r="R331" i="5" s="1"/>
  <c r="O331" i="5"/>
  <c r="P331" i="5" s="1"/>
  <c r="M331" i="5"/>
  <c r="N331" i="5" s="1"/>
  <c r="K331" i="5"/>
  <c r="L331" i="5" s="1"/>
  <c r="W330" i="5"/>
  <c r="Q330" i="5"/>
  <c r="R330" i="5" s="1"/>
  <c r="O330" i="5"/>
  <c r="P330" i="5" s="1"/>
  <c r="M330" i="5"/>
  <c r="N330" i="5" s="1"/>
  <c r="K330" i="5"/>
  <c r="L330" i="5" s="1"/>
  <c r="W329" i="5"/>
  <c r="Q329" i="5"/>
  <c r="R329" i="5" s="1"/>
  <c r="O329" i="5"/>
  <c r="P329" i="5" s="1"/>
  <c r="M329" i="5"/>
  <c r="N329" i="5" s="1"/>
  <c r="K329" i="5"/>
  <c r="L329" i="5" s="1"/>
  <c r="W328" i="5"/>
  <c r="Q328" i="5"/>
  <c r="R328" i="5" s="1"/>
  <c r="O328" i="5"/>
  <c r="P328" i="5" s="1"/>
  <c r="M328" i="5"/>
  <c r="N328" i="5" s="1"/>
  <c r="K328" i="5"/>
  <c r="L328" i="5" s="1"/>
  <c r="W327" i="5"/>
  <c r="Q327" i="5"/>
  <c r="R327" i="5" s="1"/>
  <c r="O327" i="5"/>
  <c r="P327" i="5" s="1"/>
  <c r="M327" i="5"/>
  <c r="N327" i="5" s="1"/>
  <c r="K327" i="5"/>
  <c r="L327" i="5" s="1"/>
  <c r="W326" i="5"/>
  <c r="Q326" i="5"/>
  <c r="R326" i="5" s="1"/>
  <c r="O326" i="5"/>
  <c r="P326" i="5" s="1"/>
  <c r="M326" i="5"/>
  <c r="N326" i="5" s="1"/>
  <c r="K326" i="5"/>
  <c r="L326" i="5" s="1"/>
  <c r="W325" i="5"/>
  <c r="Q325" i="5"/>
  <c r="R325" i="5" s="1"/>
  <c r="O325" i="5"/>
  <c r="P325" i="5" s="1"/>
  <c r="M325" i="5"/>
  <c r="N325" i="5" s="1"/>
  <c r="K325" i="5"/>
  <c r="L325" i="5" s="1"/>
  <c r="W324" i="5"/>
  <c r="Q324" i="5"/>
  <c r="R324" i="5" s="1"/>
  <c r="O324" i="5"/>
  <c r="P324" i="5" s="1"/>
  <c r="M324" i="5"/>
  <c r="N324" i="5" s="1"/>
  <c r="K324" i="5"/>
  <c r="L324" i="5" s="1"/>
  <c r="W323" i="5"/>
  <c r="Q323" i="5"/>
  <c r="R323" i="5" s="1"/>
  <c r="O323" i="5"/>
  <c r="P323" i="5" s="1"/>
  <c r="M323" i="5"/>
  <c r="N323" i="5" s="1"/>
  <c r="K323" i="5"/>
  <c r="L323" i="5" s="1"/>
  <c r="W322" i="5"/>
  <c r="Q322" i="5"/>
  <c r="R322" i="5" s="1"/>
  <c r="O322" i="5"/>
  <c r="P322" i="5" s="1"/>
  <c r="M322" i="5"/>
  <c r="N322" i="5" s="1"/>
  <c r="K322" i="5"/>
  <c r="L322" i="5" s="1"/>
  <c r="W321" i="5"/>
  <c r="Q321" i="5"/>
  <c r="R321" i="5" s="1"/>
  <c r="O321" i="5"/>
  <c r="P321" i="5" s="1"/>
  <c r="M321" i="5"/>
  <c r="N321" i="5" s="1"/>
  <c r="K321" i="5"/>
  <c r="L321" i="5" s="1"/>
  <c r="W320" i="5"/>
  <c r="Q320" i="5"/>
  <c r="R320" i="5" s="1"/>
  <c r="O320" i="5"/>
  <c r="P320" i="5" s="1"/>
  <c r="M320" i="5"/>
  <c r="N320" i="5" s="1"/>
  <c r="K320" i="5"/>
  <c r="L320" i="5" s="1"/>
  <c r="W319" i="5"/>
  <c r="Q319" i="5"/>
  <c r="R319" i="5" s="1"/>
  <c r="O319" i="5"/>
  <c r="P319" i="5" s="1"/>
  <c r="M319" i="5"/>
  <c r="N319" i="5" s="1"/>
  <c r="K319" i="5"/>
  <c r="L319" i="5" s="1"/>
  <c r="W318" i="5"/>
  <c r="Q318" i="5"/>
  <c r="R318" i="5" s="1"/>
  <c r="O318" i="5"/>
  <c r="P318" i="5" s="1"/>
  <c r="M318" i="5"/>
  <c r="N318" i="5" s="1"/>
  <c r="K318" i="5"/>
  <c r="L318" i="5" s="1"/>
  <c r="W317" i="5"/>
  <c r="Q317" i="5"/>
  <c r="R317" i="5" s="1"/>
  <c r="O317" i="5"/>
  <c r="P317" i="5" s="1"/>
  <c r="M317" i="5"/>
  <c r="N317" i="5" s="1"/>
  <c r="K317" i="5"/>
  <c r="L317" i="5" s="1"/>
  <c r="W316" i="5"/>
  <c r="Q316" i="5"/>
  <c r="R316" i="5" s="1"/>
  <c r="O316" i="5"/>
  <c r="P316" i="5" s="1"/>
  <c r="M316" i="5"/>
  <c r="N316" i="5" s="1"/>
  <c r="K316" i="5"/>
  <c r="L316" i="5" s="1"/>
  <c r="W315" i="5"/>
  <c r="Q315" i="5"/>
  <c r="R315" i="5" s="1"/>
  <c r="O315" i="5"/>
  <c r="P315" i="5" s="1"/>
  <c r="M315" i="5"/>
  <c r="N315" i="5" s="1"/>
  <c r="K315" i="5"/>
  <c r="L315" i="5" s="1"/>
  <c r="W314" i="5"/>
  <c r="Q314" i="5"/>
  <c r="R314" i="5" s="1"/>
  <c r="O314" i="5"/>
  <c r="P314" i="5" s="1"/>
  <c r="M314" i="5"/>
  <c r="N314" i="5" s="1"/>
  <c r="K314" i="5"/>
  <c r="L314" i="5" s="1"/>
  <c r="W313" i="5"/>
  <c r="Q313" i="5"/>
  <c r="R313" i="5" s="1"/>
  <c r="O313" i="5"/>
  <c r="P313" i="5" s="1"/>
  <c r="M313" i="5"/>
  <c r="N313" i="5" s="1"/>
  <c r="K313" i="5"/>
  <c r="L313" i="5" s="1"/>
  <c r="W312" i="5"/>
  <c r="Q312" i="5"/>
  <c r="R312" i="5" s="1"/>
  <c r="O312" i="5"/>
  <c r="P312" i="5" s="1"/>
  <c r="M312" i="5"/>
  <c r="N312" i="5" s="1"/>
  <c r="K312" i="5"/>
  <c r="L312" i="5" s="1"/>
  <c r="W311" i="5"/>
  <c r="Q311" i="5"/>
  <c r="R311" i="5" s="1"/>
  <c r="O311" i="5"/>
  <c r="P311" i="5" s="1"/>
  <c r="M311" i="5"/>
  <c r="N311" i="5" s="1"/>
  <c r="K311" i="5"/>
  <c r="L311" i="5" s="1"/>
  <c r="W310" i="5"/>
  <c r="Q310" i="5"/>
  <c r="R310" i="5" s="1"/>
  <c r="O310" i="5"/>
  <c r="P310" i="5" s="1"/>
  <c r="M310" i="5"/>
  <c r="N310" i="5" s="1"/>
  <c r="K310" i="5"/>
  <c r="L310" i="5" s="1"/>
  <c r="W309" i="5"/>
  <c r="Q309" i="5"/>
  <c r="R309" i="5" s="1"/>
  <c r="O309" i="5"/>
  <c r="P309" i="5" s="1"/>
  <c r="M309" i="5"/>
  <c r="N309" i="5" s="1"/>
  <c r="K309" i="5"/>
  <c r="L309" i="5" s="1"/>
  <c r="W308" i="5"/>
  <c r="Q308" i="5"/>
  <c r="R308" i="5" s="1"/>
  <c r="O308" i="5"/>
  <c r="P308" i="5" s="1"/>
  <c r="M308" i="5"/>
  <c r="N308" i="5" s="1"/>
  <c r="K308" i="5"/>
  <c r="L308" i="5" s="1"/>
  <c r="W307" i="5"/>
  <c r="Q307" i="5"/>
  <c r="R307" i="5" s="1"/>
  <c r="O307" i="5"/>
  <c r="P307" i="5" s="1"/>
  <c r="M307" i="5"/>
  <c r="N307" i="5" s="1"/>
  <c r="K307" i="5"/>
  <c r="L307" i="5" s="1"/>
  <c r="W306" i="5"/>
  <c r="Q306" i="5"/>
  <c r="R306" i="5" s="1"/>
  <c r="O306" i="5"/>
  <c r="P306" i="5" s="1"/>
  <c r="M306" i="5"/>
  <c r="N306" i="5" s="1"/>
  <c r="K306" i="5"/>
  <c r="L306" i="5" s="1"/>
  <c r="W305" i="5"/>
  <c r="Q305" i="5"/>
  <c r="R305" i="5" s="1"/>
  <c r="O305" i="5"/>
  <c r="P305" i="5" s="1"/>
  <c r="M305" i="5"/>
  <c r="N305" i="5" s="1"/>
  <c r="K305" i="5"/>
  <c r="L305" i="5" s="1"/>
  <c r="W304" i="5"/>
  <c r="Q304" i="5"/>
  <c r="R304" i="5" s="1"/>
  <c r="O304" i="5"/>
  <c r="P304" i="5" s="1"/>
  <c r="M304" i="5"/>
  <c r="N304" i="5" s="1"/>
  <c r="K304" i="5"/>
  <c r="L304" i="5" s="1"/>
  <c r="W303" i="5"/>
  <c r="Q303" i="5"/>
  <c r="R303" i="5" s="1"/>
  <c r="O303" i="5"/>
  <c r="P303" i="5" s="1"/>
  <c r="M303" i="5"/>
  <c r="N303" i="5" s="1"/>
  <c r="K303" i="5"/>
  <c r="L303" i="5" s="1"/>
  <c r="W302" i="5"/>
  <c r="Q302" i="5"/>
  <c r="R302" i="5" s="1"/>
  <c r="O302" i="5"/>
  <c r="P302" i="5" s="1"/>
  <c r="M302" i="5"/>
  <c r="N302" i="5" s="1"/>
  <c r="K302" i="5"/>
  <c r="L302" i="5" s="1"/>
  <c r="W301" i="5"/>
  <c r="Q301" i="5"/>
  <c r="R301" i="5" s="1"/>
  <c r="O301" i="5"/>
  <c r="P301" i="5" s="1"/>
  <c r="M301" i="5"/>
  <c r="N301" i="5" s="1"/>
  <c r="K301" i="5"/>
  <c r="L301" i="5" s="1"/>
  <c r="W300" i="5"/>
  <c r="Q300" i="5"/>
  <c r="R300" i="5" s="1"/>
  <c r="O300" i="5"/>
  <c r="P300" i="5" s="1"/>
  <c r="M300" i="5"/>
  <c r="N300" i="5" s="1"/>
  <c r="K300" i="5"/>
  <c r="L300" i="5" s="1"/>
  <c r="W299" i="5"/>
  <c r="Q299" i="5"/>
  <c r="R299" i="5" s="1"/>
  <c r="O299" i="5"/>
  <c r="P299" i="5" s="1"/>
  <c r="M299" i="5"/>
  <c r="N299" i="5" s="1"/>
  <c r="K299" i="5"/>
  <c r="L299" i="5" s="1"/>
  <c r="W298" i="5"/>
  <c r="Q298" i="5"/>
  <c r="R298" i="5" s="1"/>
  <c r="O298" i="5"/>
  <c r="P298" i="5" s="1"/>
  <c r="M298" i="5"/>
  <c r="N298" i="5" s="1"/>
  <c r="K298" i="5"/>
  <c r="L298" i="5" s="1"/>
  <c r="W297" i="5"/>
  <c r="Q297" i="5"/>
  <c r="R297" i="5" s="1"/>
  <c r="O297" i="5"/>
  <c r="P297" i="5" s="1"/>
  <c r="M297" i="5"/>
  <c r="N297" i="5" s="1"/>
  <c r="K297" i="5"/>
  <c r="L297" i="5" s="1"/>
  <c r="W296" i="5"/>
  <c r="Q296" i="5"/>
  <c r="R296" i="5" s="1"/>
  <c r="O296" i="5"/>
  <c r="P296" i="5" s="1"/>
  <c r="M296" i="5"/>
  <c r="N296" i="5" s="1"/>
  <c r="K296" i="5"/>
  <c r="L296" i="5" s="1"/>
  <c r="W295" i="5"/>
  <c r="Q295" i="5"/>
  <c r="R295" i="5" s="1"/>
  <c r="O295" i="5"/>
  <c r="P295" i="5" s="1"/>
  <c r="M295" i="5"/>
  <c r="N295" i="5" s="1"/>
  <c r="K295" i="5"/>
  <c r="L295" i="5" s="1"/>
  <c r="W294" i="5"/>
  <c r="Q294" i="5"/>
  <c r="R294" i="5" s="1"/>
  <c r="O294" i="5"/>
  <c r="P294" i="5" s="1"/>
  <c r="M294" i="5"/>
  <c r="N294" i="5" s="1"/>
  <c r="K294" i="5"/>
  <c r="L294" i="5" s="1"/>
  <c r="W293" i="5"/>
  <c r="Q293" i="5"/>
  <c r="R293" i="5" s="1"/>
  <c r="O293" i="5"/>
  <c r="P293" i="5" s="1"/>
  <c r="M293" i="5"/>
  <c r="N293" i="5" s="1"/>
  <c r="K293" i="5"/>
  <c r="L293" i="5" s="1"/>
  <c r="W292" i="5"/>
  <c r="Q292" i="5"/>
  <c r="R292" i="5" s="1"/>
  <c r="O292" i="5"/>
  <c r="P292" i="5" s="1"/>
  <c r="M292" i="5"/>
  <c r="N292" i="5" s="1"/>
  <c r="K292" i="5"/>
  <c r="L292" i="5" s="1"/>
  <c r="W291" i="5"/>
  <c r="Q291" i="5"/>
  <c r="R291" i="5" s="1"/>
  <c r="O291" i="5"/>
  <c r="P291" i="5" s="1"/>
  <c r="M291" i="5"/>
  <c r="N291" i="5" s="1"/>
  <c r="K291" i="5"/>
  <c r="L291" i="5" s="1"/>
  <c r="W290" i="5"/>
  <c r="Q290" i="5"/>
  <c r="R290" i="5" s="1"/>
  <c r="O290" i="5"/>
  <c r="P290" i="5" s="1"/>
  <c r="M290" i="5"/>
  <c r="N290" i="5" s="1"/>
  <c r="K290" i="5"/>
  <c r="L290" i="5" s="1"/>
  <c r="W289" i="5"/>
  <c r="Q289" i="5"/>
  <c r="R289" i="5" s="1"/>
  <c r="O289" i="5"/>
  <c r="P289" i="5" s="1"/>
  <c r="M289" i="5"/>
  <c r="N289" i="5" s="1"/>
  <c r="K289" i="5"/>
  <c r="L289" i="5" s="1"/>
  <c r="W288" i="5"/>
  <c r="Q288" i="5"/>
  <c r="R288" i="5" s="1"/>
  <c r="O288" i="5"/>
  <c r="P288" i="5" s="1"/>
  <c r="M288" i="5"/>
  <c r="N288" i="5" s="1"/>
  <c r="K288" i="5"/>
  <c r="L288" i="5" s="1"/>
  <c r="W287" i="5"/>
  <c r="Q287" i="5"/>
  <c r="R287" i="5" s="1"/>
  <c r="O287" i="5"/>
  <c r="P287" i="5" s="1"/>
  <c r="M287" i="5"/>
  <c r="N287" i="5" s="1"/>
  <c r="K287" i="5"/>
  <c r="L287" i="5" s="1"/>
  <c r="W286" i="5"/>
  <c r="Q286" i="5"/>
  <c r="R286" i="5" s="1"/>
  <c r="O286" i="5"/>
  <c r="P286" i="5" s="1"/>
  <c r="M286" i="5"/>
  <c r="N286" i="5" s="1"/>
  <c r="K286" i="5"/>
  <c r="L286" i="5" s="1"/>
  <c r="W285" i="5"/>
  <c r="Q285" i="5"/>
  <c r="R285" i="5" s="1"/>
  <c r="O285" i="5"/>
  <c r="P285" i="5" s="1"/>
  <c r="M285" i="5"/>
  <c r="N285" i="5" s="1"/>
  <c r="K285" i="5"/>
  <c r="L285" i="5" s="1"/>
  <c r="W284" i="5"/>
  <c r="Q284" i="5"/>
  <c r="R284" i="5" s="1"/>
  <c r="O284" i="5"/>
  <c r="P284" i="5" s="1"/>
  <c r="M284" i="5"/>
  <c r="N284" i="5" s="1"/>
  <c r="K284" i="5"/>
  <c r="L284" i="5" s="1"/>
  <c r="W283" i="5"/>
  <c r="Q283" i="5"/>
  <c r="R283" i="5" s="1"/>
  <c r="O283" i="5"/>
  <c r="P283" i="5" s="1"/>
  <c r="M283" i="5"/>
  <c r="N283" i="5" s="1"/>
  <c r="K283" i="5"/>
  <c r="L283" i="5" s="1"/>
  <c r="W282" i="5"/>
  <c r="Q282" i="5"/>
  <c r="R282" i="5" s="1"/>
  <c r="O282" i="5"/>
  <c r="P282" i="5" s="1"/>
  <c r="M282" i="5"/>
  <c r="N282" i="5" s="1"/>
  <c r="K282" i="5"/>
  <c r="L282" i="5" s="1"/>
  <c r="W281" i="5"/>
  <c r="Q281" i="5"/>
  <c r="R281" i="5" s="1"/>
  <c r="O281" i="5"/>
  <c r="P281" i="5" s="1"/>
  <c r="M281" i="5"/>
  <c r="N281" i="5" s="1"/>
  <c r="K281" i="5"/>
  <c r="L281" i="5" s="1"/>
  <c r="W280" i="5"/>
  <c r="Q280" i="5"/>
  <c r="R280" i="5" s="1"/>
  <c r="O280" i="5"/>
  <c r="P280" i="5" s="1"/>
  <c r="M280" i="5"/>
  <c r="N280" i="5" s="1"/>
  <c r="K280" i="5"/>
  <c r="L280" i="5" s="1"/>
  <c r="W279" i="5"/>
  <c r="Q279" i="5"/>
  <c r="R279" i="5" s="1"/>
  <c r="O279" i="5"/>
  <c r="P279" i="5" s="1"/>
  <c r="M279" i="5"/>
  <c r="N279" i="5" s="1"/>
  <c r="K279" i="5"/>
  <c r="L279" i="5" s="1"/>
  <c r="W278" i="5"/>
  <c r="Q278" i="5"/>
  <c r="R278" i="5" s="1"/>
  <c r="O278" i="5"/>
  <c r="P278" i="5" s="1"/>
  <c r="M278" i="5"/>
  <c r="N278" i="5" s="1"/>
  <c r="K278" i="5"/>
  <c r="L278" i="5" s="1"/>
  <c r="W277" i="5"/>
  <c r="Q277" i="5"/>
  <c r="R277" i="5" s="1"/>
  <c r="O277" i="5"/>
  <c r="P277" i="5" s="1"/>
  <c r="M277" i="5"/>
  <c r="N277" i="5" s="1"/>
  <c r="K277" i="5"/>
  <c r="L277" i="5" s="1"/>
  <c r="W276" i="5"/>
  <c r="Q276" i="5"/>
  <c r="R276" i="5" s="1"/>
  <c r="O276" i="5"/>
  <c r="P276" i="5" s="1"/>
  <c r="M276" i="5"/>
  <c r="N276" i="5" s="1"/>
  <c r="K276" i="5"/>
  <c r="L276" i="5" s="1"/>
  <c r="W275" i="5"/>
  <c r="Q275" i="5"/>
  <c r="R275" i="5" s="1"/>
  <c r="O275" i="5"/>
  <c r="P275" i="5" s="1"/>
  <c r="M275" i="5"/>
  <c r="N275" i="5" s="1"/>
  <c r="K275" i="5"/>
  <c r="L275" i="5" s="1"/>
  <c r="W274" i="5"/>
  <c r="Q274" i="5"/>
  <c r="R274" i="5" s="1"/>
  <c r="O274" i="5"/>
  <c r="P274" i="5" s="1"/>
  <c r="M274" i="5"/>
  <c r="N274" i="5" s="1"/>
  <c r="K274" i="5"/>
  <c r="L274" i="5" s="1"/>
  <c r="W273" i="5"/>
  <c r="Q273" i="5"/>
  <c r="R273" i="5" s="1"/>
  <c r="O273" i="5"/>
  <c r="P273" i="5" s="1"/>
  <c r="M273" i="5"/>
  <c r="N273" i="5" s="1"/>
  <c r="K273" i="5"/>
  <c r="L273" i="5" s="1"/>
  <c r="W272" i="5"/>
  <c r="Q272" i="5"/>
  <c r="R272" i="5" s="1"/>
  <c r="O272" i="5"/>
  <c r="P272" i="5" s="1"/>
  <c r="M272" i="5"/>
  <c r="N272" i="5" s="1"/>
  <c r="K272" i="5"/>
  <c r="L272" i="5" s="1"/>
  <c r="W271" i="5"/>
  <c r="Q271" i="5"/>
  <c r="R271" i="5" s="1"/>
  <c r="O271" i="5"/>
  <c r="P271" i="5" s="1"/>
  <c r="M271" i="5"/>
  <c r="N271" i="5" s="1"/>
  <c r="K271" i="5"/>
  <c r="L271" i="5" s="1"/>
  <c r="W270" i="5"/>
  <c r="Q270" i="5"/>
  <c r="R270" i="5" s="1"/>
  <c r="O270" i="5"/>
  <c r="P270" i="5" s="1"/>
  <c r="M270" i="5"/>
  <c r="N270" i="5" s="1"/>
  <c r="K270" i="5"/>
  <c r="L270" i="5" s="1"/>
  <c r="W269" i="5"/>
  <c r="Q269" i="5"/>
  <c r="R269" i="5" s="1"/>
  <c r="O269" i="5"/>
  <c r="P269" i="5" s="1"/>
  <c r="M269" i="5"/>
  <c r="N269" i="5" s="1"/>
  <c r="K269" i="5"/>
  <c r="L269" i="5" s="1"/>
  <c r="W268" i="5"/>
  <c r="Q268" i="5"/>
  <c r="R268" i="5" s="1"/>
  <c r="O268" i="5"/>
  <c r="P268" i="5" s="1"/>
  <c r="M268" i="5"/>
  <c r="N268" i="5" s="1"/>
  <c r="K268" i="5"/>
  <c r="L268" i="5" s="1"/>
  <c r="W267" i="5"/>
  <c r="Q267" i="5"/>
  <c r="R267" i="5" s="1"/>
  <c r="O267" i="5"/>
  <c r="P267" i="5" s="1"/>
  <c r="M267" i="5"/>
  <c r="N267" i="5" s="1"/>
  <c r="K267" i="5"/>
  <c r="L267" i="5" s="1"/>
  <c r="W266" i="5"/>
  <c r="Q266" i="5"/>
  <c r="R266" i="5" s="1"/>
  <c r="O266" i="5"/>
  <c r="P266" i="5" s="1"/>
  <c r="M266" i="5"/>
  <c r="N266" i="5" s="1"/>
  <c r="K266" i="5"/>
  <c r="L266" i="5" s="1"/>
  <c r="W265" i="5"/>
  <c r="Q265" i="5"/>
  <c r="R265" i="5" s="1"/>
  <c r="O265" i="5"/>
  <c r="P265" i="5" s="1"/>
  <c r="M265" i="5"/>
  <c r="N265" i="5" s="1"/>
  <c r="K265" i="5"/>
  <c r="L265" i="5" s="1"/>
  <c r="W264" i="5"/>
  <c r="Q264" i="5"/>
  <c r="R264" i="5" s="1"/>
  <c r="O264" i="5"/>
  <c r="P264" i="5" s="1"/>
  <c r="M264" i="5"/>
  <c r="N264" i="5" s="1"/>
  <c r="K264" i="5"/>
  <c r="L264" i="5" s="1"/>
  <c r="W263" i="5"/>
  <c r="Q263" i="5"/>
  <c r="R263" i="5" s="1"/>
  <c r="O263" i="5"/>
  <c r="P263" i="5" s="1"/>
  <c r="M263" i="5"/>
  <c r="N263" i="5" s="1"/>
  <c r="K263" i="5"/>
  <c r="L263" i="5" s="1"/>
  <c r="W262" i="5"/>
  <c r="Q262" i="5"/>
  <c r="R262" i="5" s="1"/>
  <c r="O262" i="5"/>
  <c r="P262" i="5" s="1"/>
  <c r="M262" i="5"/>
  <c r="N262" i="5" s="1"/>
  <c r="K262" i="5"/>
  <c r="L262" i="5" s="1"/>
  <c r="W261" i="5"/>
  <c r="Q261" i="5"/>
  <c r="R261" i="5" s="1"/>
  <c r="O261" i="5"/>
  <c r="P261" i="5" s="1"/>
  <c r="M261" i="5"/>
  <c r="N261" i="5" s="1"/>
  <c r="K261" i="5"/>
  <c r="L261" i="5" s="1"/>
  <c r="W260" i="5"/>
  <c r="Q260" i="5"/>
  <c r="R260" i="5" s="1"/>
  <c r="O260" i="5"/>
  <c r="P260" i="5" s="1"/>
  <c r="M260" i="5"/>
  <c r="N260" i="5" s="1"/>
  <c r="K260" i="5"/>
  <c r="L260" i="5" s="1"/>
  <c r="W259" i="5"/>
  <c r="Q259" i="5"/>
  <c r="R259" i="5" s="1"/>
  <c r="O259" i="5"/>
  <c r="P259" i="5" s="1"/>
  <c r="M259" i="5"/>
  <c r="N259" i="5" s="1"/>
  <c r="K259" i="5"/>
  <c r="L259" i="5" s="1"/>
  <c r="W258" i="5"/>
  <c r="Q258" i="5"/>
  <c r="R258" i="5" s="1"/>
  <c r="O258" i="5"/>
  <c r="P258" i="5" s="1"/>
  <c r="M258" i="5"/>
  <c r="N258" i="5" s="1"/>
  <c r="K258" i="5"/>
  <c r="L258" i="5" s="1"/>
  <c r="W257" i="5"/>
  <c r="Q257" i="5"/>
  <c r="R257" i="5" s="1"/>
  <c r="O257" i="5"/>
  <c r="P257" i="5" s="1"/>
  <c r="M257" i="5"/>
  <c r="N257" i="5" s="1"/>
  <c r="K257" i="5"/>
  <c r="L257" i="5" s="1"/>
  <c r="W256" i="5"/>
  <c r="Q256" i="5"/>
  <c r="R256" i="5" s="1"/>
  <c r="O256" i="5"/>
  <c r="P256" i="5" s="1"/>
  <c r="M256" i="5"/>
  <c r="N256" i="5" s="1"/>
  <c r="K256" i="5"/>
  <c r="L256" i="5" s="1"/>
  <c r="W255" i="5"/>
  <c r="Q255" i="5"/>
  <c r="R255" i="5" s="1"/>
  <c r="O255" i="5"/>
  <c r="P255" i="5" s="1"/>
  <c r="M255" i="5"/>
  <c r="N255" i="5" s="1"/>
  <c r="K255" i="5"/>
  <c r="L255" i="5" s="1"/>
  <c r="W254" i="5"/>
  <c r="Q254" i="5"/>
  <c r="R254" i="5" s="1"/>
  <c r="O254" i="5"/>
  <c r="P254" i="5" s="1"/>
  <c r="M254" i="5"/>
  <c r="N254" i="5" s="1"/>
  <c r="K254" i="5"/>
  <c r="L254" i="5" s="1"/>
  <c r="W253" i="5"/>
  <c r="Q253" i="5"/>
  <c r="R253" i="5" s="1"/>
  <c r="O253" i="5"/>
  <c r="P253" i="5" s="1"/>
  <c r="M253" i="5"/>
  <c r="N253" i="5" s="1"/>
  <c r="K253" i="5"/>
  <c r="L253" i="5" s="1"/>
  <c r="W252" i="5"/>
  <c r="Q252" i="5"/>
  <c r="R252" i="5" s="1"/>
  <c r="O252" i="5"/>
  <c r="P252" i="5" s="1"/>
  <c r="M252" i="5"/>
  <c r="N252" i="5" s="1"/>
  <c r="K252" i="5"/>
  <c r="L252" i="5" s="1"/>
  <c r="W251" i="5"/>
  <c r="Q251" i="5"/>
  <c r="R251" i="5" s="1"/>
  <c r="O251" i="5"/>
  <c r="P251" i="5" s="1"/>
  <c r="M251" i="5"/>
  <c r="N251" i="5" s="1"/>
  <c r="K251" i="5"/>
  <c r="L251" i="5" s="1"/>
  <c r="W250" i="5"/>
  <c r="Q250" i="5"/>
  <c r="R250" i="5" s="1"/>
  <c r="O250" i="5"/>
  <c r="P250" i="5" s="1"/>
  <c r="M250" i="5"/>
  <c r="N250" i="5" s="1"/>
  <c r="K250" i="5"/>
  <c r="L250" i="5" s="1"/>
  <c r="W249" i="5"/>
  <c r="Q249" i="5"/>
  <c r="R249" i="5" s="1"/>
  <c r="O249" i="5"/>
  <c r="P249" i="5" s="1"/>
  <c r="M249" i="5"/>
  <c r="N249" i="5" s="1"/>
  <c r="K249" i="5"/>
  <c r="L249" i="5" s="1"/>
  <c r="W248" i="5"/>
  <c r="Q248" i="5"/>
  <c r="R248" i="5" s="1"/>
  <c r="O248" i="5"/>
  <c r="P248" i="5" s="1"/>
  <c r="M248" i="5"/>
  <c r="N248" i="5" s="1"/>
  <c r="K248" i="5"/>
  <c r="L248" i="5" s="1"/>
  <c r="W247" i="5"/>
  <c r="Q247" i="5"/>
  <c r="R247" i="5" s="1"/>
  <c r="O247" i="5"/>
  <c r="P247" i="5" s="1"/>
  <c r="M247" i="5"/>
  <c r="N247" i="5" s="1"/>
  <c r="K247" i="5"/>
  <c r="L247" i="5" s="1"/>
  <c r="W246" i="5"/>
  <c r="Q246" i="5"/>
  <c r="R246" i="5" s="1"/>
  <c r="O246" i="5"/>
  <c r="P246" i="5" s="1"/>
  <c r="M246" i="5"/>
  <c r="N246" i="5" s="1"/>
  <c r="K246" i="5"/>
  <c r="L246" i="5" s="1"/>
  <c r="W245" i="5"/>
  <c r="Q245" i="5"/>
  <c r="R245" i="5" s="1"/>
  <c r="O245" i="5"/>
  <c r="P245" i="5" s="1"/>
  <c r="M245" i="5"/>
  <c r="N245" i="5" s="1"/>
  <c r="K245" i="5"/>
  <c r="L245" i="5" s="1"/>
  <c r="W244" i="5"/>
  <c r="Q244" i="5"/>
  <c r="R244" i="5" s="1"/>
  <c r="O244" i="5"/>
  <c r="P244" i="5" s="1"/>
  <c r="M244" i="5"/>
  <c r="N244" i="5" s="1"/>
  <c r="K244" i="5"/>
  <c r="L244" i="5" s="1"/>
  <c r="W243" i="5"/>
  <c r="Q243" i="5"/>
  <c r="R243" i="5" s="1"/>
  <c r="O243" i="5"/>
  <c r="P243" i="5" s="1"/>
  <c r="M243" i="5"/>
  <c r="N243" i="5" s="1"/>
  <c r="K243" i="5"/>
  <c r="L243" i="5" s="1"/>
  <c r="W242" i="5"/>
  <c r="Q242" i="5"/>
  <c r="R242" i="5" s="1"/>
  <c r="O242" i="5"/>
  <c r="P242" i="5" s="1"/>
  <c r="M242" i="5"/>
  <c r="N242" i="5" s="1"/>
  <c r="K242" i="5"/>
  <c r="L242" i="5" s="1"/>
  <c r="W241" i="5"/>
  <c r="Q241" i="5"/>
  <c r="R241" i="5" s="1"/>
  <c r="O241" i="5"/>
  <c r="P241" i="5" s="1"/>
  <c r="M241" i="5"/>
  <c r="N241" i="5" s="1"/>
  <c r="K241" i="5"/>
  <c r="L241" i="5" s="1"/>
  <c r="W240" i="5"/>
  <c r="Q240" i="5"/>
  <c r="R240" i="5" s="1"/>
  <c r="O240" i="5"/>
  <c r="P240" i="5" s="1"/>
  <c r="M240" i="5"/>
  <c r="N240" i="5" s="1"/>
  <c r="K240" i="5"/>
  <c r="L240" i="5" s="1"/>
  <c r="W239" i="5"/>
  <c r="Q239" i="5"/>
  <c r="R239" i="5" s="1"/>
  <c r="O239" i="5"/>
  <c r="P239" i="5" s="1"/>
  <c r="M239" i="5"/>
  <c r="N239" i="5" s="1"/>
  <c r="K239" i="5"/>
  <c r="L239" i="5" s="1"/>
  <c r="W238" i="5"/>
  <c r="Q238" i="5"/>
  <c r="R238" i="5" s="1"/>
  <c r="O238" i="5"/>
  <c r="P238" i="5" s="1"/>
  <c r="M238" i="5"/>
  <c r="N238" i="5" s="1"/>
  <c r="K238" i="5"/>
  <c r="L238" i="5" s="1"/>
  <c r="W237" i="5"/>
  <c r="Q237" i="5"/>
  <c r="R237" i="5" s="1"/>
  <c r="O237" i="5"/>
  <c r="P237" i="5" s="1"/>
  <c r="M237" i="5"/>
  <c r="N237" i="5" s="1"/>
  <c r="K237" i="5"/>
  <c r="L237" i="5" s="1"/>
  <c r="W236" i="5"/>
  <c r="Q236" i="5"/>
  <c r="R236" i="5" s="1"/>
  <c r="O236" i="5"/>
  <c r="P236" i="5" s="1"/>
  <c r="M236" i="5"/>
  <c r="N236" i="5" s="1"/>
  <c r="K236" i="5"/>
  <c r="L236" i="5" s="1"/>
  <c r="W235" i="5"/>
  <c r="Q235" i="5"/>
  <c r="R235" i="5" s="1"/>
  <c r="O235" i="5"/>
  <c r="P235" i="5" s="1"/>
  <c r="M235" i="5"/>
  <c r="N235" i="5" s="1"/>
  <c r="K235" i="5"/>
  <c r="L235" i="5" s="1"/>
  <c r="W234" i="5"/>
  <c r="Q234" i="5"/>
  <c r="R234" i="5" s="1"/>
  <c r="O234" i="5"/>
  <c r="P234" i="5" s="1"/>
  <c r="M234" i="5"/>
  <c r="N234" i="5" s="1"/>
  <c r="K234" i="5"/>
  <c r="L234" i="5" s="1"/>
  <c r="W233" i="5"/>
  <c r="Q233" i="5"/>
  <c r="R233" i="5" s="1"/>
  <c r="O233" i="5"/>
  <c r="P233" i="5" s="1"/>
  <c r="M233" i="5"/>
  <c r="N233" i="5" s="1"/>
  <c r="K233" i="5"/>
  <c r="L233" i="5" s="1"/>
  <c r="W232" i="5"/>
  <c r="Q232" i="5"/>
  <c r="R232" i="5" s="1"/>
  <c r="O232" i="5"/>
  <c r="P232" i="5" s="1"/>
  <c r="M232" i="5"/>
  <c r="N232" i="5" s="1"/>
  <c r="K232" i="5"/>
  <c r="L232" i="5" s="1"/>
  <c r="W231" i="5"/>
  <c r="Q231" i="5"/>
  <c r="R231" i="5" s="1"/>
  <c r="O231" i="5"/>
  <c r="P231" i="5" s="1"/>
  <c r="M231" i="5"/>
  <c r="N231" i="5" s="1"/>
  <c r="K231" i="5"/>
  <c r="L231" i="5" s="1"/>
  <c r="W230" i="5"/>
  <c r="Q230" i="5"/>
  <c r="R230" i="5" s="1"/>
  <c r="O230" i="5"/>
  <c r="P230" i="5" s="1"/>
  <c r="M230" i="5"/>
  <c r="N230" i="5" s="1"/>
  <c r="K230" i="5"/>
  <c r="L230" i="5" s="1"/>
  <c r="W229" i="5"/>
  <c r="Q229" i="5"/>
  <c r="R229" i="5" s="1"/>
  <c r="O229" i="5"/>
  <c r="P229" i="5" s="1"/>
  <c r="M229" i="5"/>
  <c r="N229" i="5" s="1"/>
  <c r="K229" i="5"/>
  <c r="L229" i="5" s="1"/>
  <c r="W228" i="5"/>
  <c r="Q228" i="5"/>
  <c r="R228" i="5" s="1"/>
  <c r="O228" i="5"/>
  <c r="P228" i="5" s="1"/>
  <c r="M228" i="5"/>
  <c r="N228" i="5" s="1"/>
  <c r="K228" i="5"/>
  <c r="L228" i="5" s="1"/>
  <c r="W227" i="5"/>
  <c r="Q227" i="5"/>
  <c r="R227" i="5" s="1"/>
  <c r="O227" i="5"/>
  <c r="P227" i="5" s="1"/>
  <c r="M227" i="5"/>
  <c r="N227" i="5" s="1"/>
  <c r="K227" i="5"/>
  <c r="L227" i="5" s="1"/>
  <c r="W226" i="5"/>
  <c r="Q226" i="5"/>
  <c r="R226" i="5" s="1"/>
  <c r="O226" i="5"/>
  <c r="P226" i="5" s="1"/>
  <c r="M226" i="5"/>
  <c r="N226" i="5" s="1"/>
  <c r="K226" i="5"/>
  <c r="L226" i="5" s="1"/>
  <c r="W225" i="5"/>
  <c r="Q225" i="5"/>
  <c r="R225" i="5" s="1"/>
  <c r="O225" i="5"/>
  <c r="P225" i="5" s="1"/>
  <c r="M225" i="5"/>
  <c r="N225" i="5" s="1"/>
  <c r="K225" i="5"/>
  <c r="L225" i="5" s="1"/>
  <c r="W224" i="5"/>
  <c r="Q224" i="5"/>
  <c r="R224" i="5" s="1"/>
  <c r="O224" i="5"/>
  <c r="P224" i="5" s="1"/>
  <c r="M224" i="5"/>
  <c r="N224" i="5" s="1"/>
  <c r="K224" i="5"/>
  <c r="L224" i="5" s="1"/>
  <c r="W223" i="5"/>
  <c r="Q223" i="5"/>
  <c r="R223" i="5" s="1"/>
  <c r="O223" i="5"/>
  <c r="P223" i="5" s="1"/>
  <c r="M223" i="5"/>
  <c r="N223" i="5" s="1"/>
  <c r="K223" i="5"/>
  <c r="L223" i="5" s="1"/>
  <c r="W222" i="5"/>
  <c r="Q222" i="5"/>
  <c r="R222" i="5" s="1"/>
  <c r="O222" i="5"/>
  <c r="P222" i="5" s="1"/>
  <c r="M222" i="5"/>
  <c r="N222" i="5" s="1"/>
  <c r="K222" i="5"/>
  <c r="L222" i="5" s="1"/>
  <c r="W219" i="5"/>
  <c r="Q219" i="5"/>
  <c r="R219" i="5" s="1"/>
  <c r="O219" i="5"/>
  <c r="P219" i="5" s="1"/>
  <c r="M219" i="5"/>
  <c r="N219" i="5" s="1"/>
  <c r="K219" i="5"/>
  <c r="L219" i="5" s="1"/>
  <c r="W218" i="5"/>
  <c r="Q218" i="5"/>
  <c r="R218" i="5" s="1"/>
  <c r="O218" i="5"/>
  <c r="P218" i="5" s="1"/>
  <c r="M218" i="5"/>
  <c r="N218" i="5" s="1"/>
  <c r="K218" i="5"/>
  <c r="L218" i="5" s="1"/>
  <c r="W217" i="5"/>
  <c r="Q217" i="5"/>
  <c r="R217" i="5" s="1"/>
  <c r="O217" i="5"/>
  <c r="P217" i="5" s="1"/>
  <c r="M217" i="5"/>
  <c r="N217" i="5" s="1"/>
  <c r="K217" i="5"/>
  <c r="L217" i="5" s="1"/>
  <c r="W216" i="5"/>
  <c r="Q216" i="5"/>
  <c r="R216" i="5" s="1"/>
  <c r="O216" i="5"/>
  <c r="P216" i="5" s="1"/>
  <c r="M216" i="5"/>
  <c r="N216" i="5" s="1"/>
  <c r="K216" i="5"/>
  <c r="L216" i="5" s="1"/>
  <c r="W215" i="5"/>
  <c r="Q215" i="5"/>
  <c r="R215" i="5" s="1"/>
  <c r="O215" i="5"/>
  <c r="P215" i="5" s="1"/>
  <c r="M215" i="5"/>
  <c r="N215" i="5" s="1"/>
  <c r="K215" i="5"/>
  <c r="L215" i="5" s="1"/>
  <c r="W214" i="5"/>
  <c r="Q214" i="5"/>
  <c r="R214" i="5" s="1"/>
  <c r="O214" i="5"/>
  <c r="P214" i="5" s="1"/>
  <c r="M214" i="5"/>
  <c r="N214" i="5" s="1"/>
  <c r="K214" i="5"/>
  <c r="L214" i="5" s="1"/>
  <c r="W213" i="5"/>
  <c r="Q213" i="5"/>
  <c r="R213" i="5" s="1"/>
  <c r="O213" i="5"/>
  <c r="P213" i="5" s="1"/>
  <c r="M213" i="5"/>
  <c r="N213" i="5" s="1"/>
  <c r="K213" i="5"/>
  <c r="L213" i="5" s="1"/>
  <c r="W212" i="5"/>
  <c r="Q212" i="5"/>
  <c r="R212" i="5" s="1"/>
  <c r="O212" i="5"/>
  <c r="P212" i="5" s="1"/>
  <c r="M212" i="5"/>
  <c r="N212" i="5" s="1"/>
  <c r="K212" i="5"/>
  <c r="L212" i="5" s="1"/>
  <c r="W211" i="5"/>
  <c r="Q211" i="5"/>
  <c r="R211" i="5" s="1"/>
  <c r="O211" i="5"/>
  <c r="P211" i="5" s="1"/>
  <c r="M211" i="5"/>
  <c r="N211" i="5" s="1"/>
  <c r="K211" i="5"/>
  <c r="L211" i="5" s="1"/>
  <c r="W210" i="5"/>
  <c r="Q210" i="5"/>
  <c r="R210" i="5" s="1"/>
  <c r="O210" i="5"/>
  <c r="P210" i="5" s="1"/>
  <c r="M210" i="5"/>
  <c r="N210" i="5" s="1"/>
  <c r="K210" i="5"/>
  <c r="L210" i="5" s="1"/>
  <c r="W209" i="5"/>
  <c r="Q209" i="5"/>
  <c r="R209" i="5" s="1"/>
  <c r="O209" i="5"/>
  <c r="P209" i="5" s="1"/>
  <c r="M209" i="5"/>
  <c r="N209" i="5" s="1"/>
  <c r="K209" i="5"/>
  <c r="L209" i="5" s="1"/>
  <c r="W208" i="5"/>
  <c r="Q208" i="5"/>
  <c r="R208" i="5" s="1"/>
  <c r="O208" i="5"/>
  <c r="P208" i="5" s="1"/>
  <c r="M208" i="5"/>
  <c r="N208" i="5" s="1"/>
  <c r="K208" i="5"/>
  <c r="L208" i="5" s="1"/>
  <c r="W207" i="5"/>
  <c r="Q207" i="5"/>
  <c r="R207" i="5" s="1"/>
  <c r="O207" i="5"/>
  <c r="P207" i="5" s="1"/>
  <c r="M207" i="5"/>
  <c r="N207" i="5" s="1"/>
  <c r="K207" i="5"/>
  <c r="L207" i="5" s="1"/>
  <c r="W206" i="5"/>
  <c r="Q206" i="5"/>
  <c r="R206" i="5" s="1"/>
  <c r="O206" i="5"/>
  <c r="P206" i="5" s="1"/>
  <c r="M206" i="5"/>
  <c r="N206" i="5" s="1"/>
  <c r="K206" i="5"/>
  <c r="L206" i="5" s="1"/>
  <c r="W205" i="5"/>
  <c r="Q205" i="5"/>
  <c r="R205" i="5" s="1"/>
  <c r="O205" i="5"/>
  <c r="P205" i="5" s="1"/>
  <c r="M205" i="5"/>
  <c r="N205" i="5" s="1"/>
  <c r="K205" i="5"/>
  <c r="L205" i="5" s="1"/>
  <c r="W204" i="5"/>
  <c r="Q204" i="5"/>
  <c r="R204" i="5" s="1"/>
  <c r="O204" i="5"/>
  <c r="P204" i="5" s="1"/>
  <c r="M204" i="5"/>
  <c r="N204" i="5" s="1"/>
  <c r="K204" i="5"/>
  <c r="L204" i="5" s="1"/>
  <c r="W203" i="5"/>
  <c r="Q203" i="5"/>
  <c r="R203" i="5" s="1"/>
  <c r="O203" i="5"/>
  <c r="P203" i="5" s="1"/>
  <c r="M203" i="5"/>
  <c r="N203" i="5" s="1"/>
  <c r="K203" i="5"/>
  <c r="L203" i="5" s="1"/>
  <c r="W202" i="5"/>
  <c r="Q202" i="5"/>
  <c r="R202" i="5" s="1"/>
  <c r="O202" i="5"/>
  <c r="P202" i="5" s="1"/>
  <c r="M202" i="5"/>
  <c r="N202" i="5" s="1"/>
  <c r="K202" i="5"/>
  <c r="L202" i="5" s="1"/>
  <c r="W201" i="5"/>
  <c r="Q201" i="5"/>
  <c r="R201" i="5" s="1"/>
  <c r="O201" i="5"/>
  <c r="P201" i="5" s="1"/>
  <c r="M201" i="5"/>
  <c r="N201" i="5" s="1"/>
  <c r="K201" i="5"/>
  <c r="L201" i="5" s="1"/>
  <c r="W200" i="5"/>
  <c r="Q200" i="5"/>
  <c r="R200" i="5" s="1"/>
  <c r="O200" i="5"/>
  <c r="P200" i="5" s="1"/>
  <c r="M200" i="5"/>
  <c r="N200" i="5" s="1"/>
  <c r="K200" i="5"/>
  <c r="L200" i="5" s="1"/>
  <c r="W199" i="5"/>
  <c r="Q199" i="5"/>
  <c r="R199" i="5" s="1"/>
  <c r="O199" i="5"/>
  <c r="P199" i="5" s="1"/>
  <c r="M199" i="5"/>
  <c r="N199" i="5" s="1"/>
  <c r="K199" i="5"/>
  <c r="L199" i="5" s="1"/>
  <c r="W198" i="5"/>
  <c r="Q198" i="5"/>
  <c r="R198" i="5" s="1"/>
  <c r="O198" i="5"/>
  <c r="P198" i="5" s="1"/>
  <c r="M198" i="5"/>
  <c r="N198" i="5" s="1"/>
  <c r="K198" i="5"/>
  <c r="L198" i="5" s="1"/>
  <c r="W197" i="5"/>
  <c r="Q197" i="5"/>
  <c r="R197" i="5" s="1"/>
  <c r="O197" i="5"/>
  <c r="P197" i="5" s="1"/>
  <c r="M197" i="5"/>
  <c r="N197" i="5" s="1"/>
  <c r="K197" i="5"/>
  <c r="L197" i="5" s="1"/>
  <c r="W196" i="5"/>
  <c r="Q196" i="5"/>
  <c r="R196" i="5" s="1"/>
  <c r="O196" i="5"/>
  <c r="P196" i="5" s="1"/>
  <c r="M196" i="5"/>
  <c r="N196" i="5" s="1"/>
  <c r="K196" i="5"/>
  <c r="L196" i="5" s="1"/>
  <c r="W195" i="5"/>
  <c r="Q195" i="5"/>
  <c r="R195" i="5" s="1"/>
  <c r="O195" i="5"/>
  <c r="P195" i="5" s="1"/>
  <c r="M195" i="5"/>
  <c r="N195" i="5" s="1"/>
  <c r="K195" i="5"/>
  <c r="L195" i="5" s="1"/>
  <c r="W194" i="5"/>
  <c r="Q194" i="5"/>
  <c r="R194" i="5" s="1"/>
  <c r="O194" i="5"/>
  <c r="P194" i="5" s="1"/>
  <c r="M194" i="5"/>
  <c r="N194" i="5" s="1"/>
  <c r="K194" i="5"/>
  <c r="L194" i="5" s="1"/>
  <c r="W193" i="5"/>
  <c r="Q193" i="5"/>
  <c r="R193" i="5" s="1"/>
  <c r="O193" i="5"/>
  <c r="P193" i="5" s="1"/>
  <c r="M193" i="5"/>
  <c r="N193" i="5" s="1"/>
  <c r="K193" i="5"/>
  <c r="L193" i="5" s="1"/>
  <c r="W192" i="5"/>
  <c r="Q192" i="5"/>
  <c r="R192" i="5" s="1"/>
  <c r="O192" i="5"/>
  <c r="P192" i="5" s="1"/>
  <c r="M192" i="5"/>
  <c r="N192" i="5" s="1"/>
  <c r="K192" i="5"/>
  <c r="L192" i="5" s="1"/>
  <c r="W191" i="5"/>
  <c r="Q191" i="5"/>
  <c r="R191" i="5" s="1"/>
  <c r="O191" i="5"/>
  <c r="P191" i="5" s="1"/>
  <c r="M191" i="5"/>
  <c r="N191" i="5" s="1"/>
  <c r="K191" i="5"/>
  <c r="L191" i="5" s="1"/>
  <c r="W190" i="5"/>
  <c r="Q190" i="5"/>
  <c r="R190" i="5" s="1"/>
  <c r="O190" i="5"/>
  <c r="P190" i="5" s="1"/>
  <c r="M190" i="5"/>
  <c r="N190" i="5" s="1"/>
  <c r="K190" i="5"/>
  <c r="L190" i="5" s="1"/>
  <c r="W189" i="5"/>
  <c r="Q189" i="5"/>
  <c r="R189" i="5" s="1"/>
  <c r="O189" i="5"/>
  <c r="P189" i="5" s="1"/>
  <c r="M189" i="5"/>
  <c r="N189" i="5" s="1"/>
  <c r="K189" i="5"/>
  <c r="L189" i="5" s="1"/>
  <c r="W188" i="5"/>
  <c r="Q188" i="5"/>
  <c r="R188" i="5" s="1"/>
  <c r="O188" i="5"/>
  <c r="P188" i="5" s="1"/>
  <c r="M188" i="5"/>
  <c r="N188" i="5" s="1"/>
  <c r="K188" i="5"/>
  <c r="L188" i="5" s="1"/>
  <c r="W187" i="5"/>
  <c r="Q187" i="5"/>
  <c r="R187" i="5" s="1"/>
  <c r="O187" i="5"/>
  <c r="P187" i="5" s="1"/>
  <c r="M187" i="5"/>
  <c r="N187" i="5" s="1"/>
  <c r="K187" i="5"/>
  <c r="L187" i="5" s="1"/>
  <c r="W186" i="5"/>
  <c r="Q186" i="5"/>
  <c r="R186" i="5" s="1"/>
  <c r="O186" i="5"/>
  <c r="P186" i="5" s="1"/>
  <c r="M186" i="5"/>
  <c r="N186" i="5" s="1"/>
  <c r="K186" i="5"/>
  <c r="L186" i="5" s="1"/>
  <c r="W185" i="5"/>
  <c r="Q185" i="5"/>
  <c r="R185" i="5" s="1"/>
  <c r="O185" i="5"/>
  <c r="P185" i="5" s="1"/>
  <c r="M185" i="5"/>
  <c r="N185" i="5" s="1"/>
  <c r="K185" i="5"/>
  <c r="L185" i="5" s="1"/>
  <c r="W184" i="5"/>
  <c r="Q184" i="5"/>
  <c r="R184" i="5" s="1"/>
  <c r="O184" i="5"/>
  <c r="P184" i="5" s="1"/>
  <c r="M184" i="5"/>
  <c r="N184" i="5" s="1"/>
  <c r="K184" i="5"/>
  <c r="L184" i="5" s="1"/>
  <c r="W183" i="5"/>
  <c r="Q183" i="5"/>
  <c r="R183" i="5" s="1"/>
  <c r="O183" i="5"/>
  <c r="P183" i="5" s="1"/>
  <c r="M183" i="5"/>
  <c r="N183" i="5" s="1"/>
  <c r="K183" i="5"/>
  <c r="L183" i="5" s="1"/>
  <c r="W182" i="5"/>
  <c r="Q182" i="5"/>
  <c r="R182" i="5" s="1"/>
  <c r="O182" i="5"/>
  <c r="P182" i="5" s="1"/>
  <c r="M182" i="5"/>
  <c r="N182" i="5" s="1"/>
  <c r="K182" i="5"/>
  <c r="L182" i="5" s="1"/>
  <c r="W181" i="5"/>
  <c r="Q181" i="5"/>
  <c r="R181" i="5" s="1"/>
  <c r="O181" i="5"/>
  <c r="P181" i="5" s="1"/>
  <c r="M181" i="5"/>
  <c r="N181" i="5" s="1"/>
  <c r="K181" i="5"/>
  <c r="L181" i="5" s="1"/>
  <c r="W180" i="5"/>
  <c r="Q180" i="5"/>
  <c r="R180" i="5" s="1"/>
  <c r="O180" i="5"/>
  <c r="P180" i="5" s="1"/>
  <c r="M180" i="5"/>
  <c r="N180" i="5" s="1"/>
  <c r="K180" i="5"/>
  <c r="L180" i="5" s="1"/>
  <c r="W179" i="5"/>
  <c r="Q179" i="5"/>
  <c r="R179" i="5" s="1"/>
  <c r="O179" i="5"/>
  <c r="P179" i="5" s="1"/>
  <c r="M179" i="5"/>
  <c r="N179" i="5" s="1"/>
  <c r="K179" i="5"/>
  <c r="L179" i="5" s="1"/>
  <c r="W178" i="5"/>
  <c r="Q178" i="5"/>
  <c r="R178" i="5" s="1"/>
  <c r="O178" i="5"/>
  <c r="P178" i="5" s="1"/>
  <c r="M178" i="5"/>
  <c r="N178" i="5" s="1"/>
  <c r="K178" i="5"/>
  <c r="L178" i="5" s="1"/>
  <c r="W177" i="5"/>
  <c r="Q177" i="5"/>
  <c r="R177" i="5" s="1"/>
  <c r="O177" i="5"/>
  <c r="P177" i="5" s="1"/>
  <c r="M177" i="5"/>
  <c r="N177" i="5" s="1"/>
  <c r="K177" i="5"/>
  <c r="L177" i="5" s="1"/>
  <c r="W176" i="5"/>
  <c r="Q176" i="5"/>
  <c r="R176" i="5" s="1"/>
  <c r="O176" i="5"/>
  <c r="P176" i="5" s="1"/>
  <c r="M176" i="5"/>
  <c r="N176" i="5" s="1"/>
  <c r="K176" i="5"/>
  <c r="L176" i="5" s="1"/>
  <c r="W175" i="5"/>
  <c r="Q175" i="5"/>
  <c r="R175" i="5" s="1"/>
  <c r="O175" i="5"/>
  <c r="P175" i="5" s="1"/>
  <c r="M175" i="5"/>
  <c r="N175" i="5" s="1"/>
  <c r="K175" i="5"/>
  <c r="L175" i="5" s="1"/>
  <c r="W174" i="5"/>
  <c r="Q174" i="5"/>
  <c r="R174" i="5" s="1"/>
  <c r="O174" i="5"/>
  <c r="P174" i="5" s="1"/>
  <c r="M174" i="5"/>
  <c r="N174" i="5" s="1"/>
  <c r="K174" i="5"/>
  <c r="L174" i="5" s="1"/>
  <c r="W173" i="5"/>
  <c r="Q173" i="5"/>
  <c r="R173" i="5" s="1"/>
  <c r="O173" i="5"/>
  <c r="P173" i="5" s="1"/>
  <c r="M173" i="5"/>
  <c r="N173" i="5" s="1"/>
  <c r="K173" i="5"/>
  <c r="L173" i="5" s="1"/>
  <c r="W172" i="5"/>
  <c r="Q172" i="5"/>
  <c r="R172" i="5" s="1"/>
  <c r="O172" i="5"/>
  <c r="P172" i="5" s="1"/>
  <c r="M172" i="5"/>
  <c r="N172" i="5" s="1"/>
  <c r="K172" i="5"/>
  <c r="L172" i="5" s="1"/>
  <c r="W171" i="5"/>
  <c r="Q171" i="5"/>
  <c r="R171" i="5" s="1"/>
  <c r="O171" i="5"/>
  <c r="P171" i="5" s="1"/>
  <c r="M171" i="5"/>
  <c r="N171" i="5" s="1"/>
  <c r="K171" i="5"/>
  <c r="L171" i="5" s="1"/>
  <c r="W170" i="5"/>
  <c r="Q170" i="5"/>
  <c r="R170" i="5" s="1"/>
  <c r="O170" i="5"/>
  <c r="P170" i="5" s="1"/>
  <c r="M170" i="5"/>
  <c r="N170" i="5" s="1"/>
  <c r="K170" i="5"/>
  <c r="L170" i="5" s="1"/>
  <c r="W169" i="5"/>
  <c r="Q169" i="5"/>
  <c r="R169" i="5" s="1"/>
  <c r="O169" i="5"/>
  <c r="P169" i="5" s="1"/>
  <c r="M169" i="5"/>
  <c r="N169" i="5" s="1"/>
  <c r="K169" i="5"/>
  <c r="L169" i="5" s="1"/>
  <c r="W168" i="5"/>
  <c r="Q168" i="5"/>
  <c r="R168" i="5" s="1"/>
  <c r="O168" i="5"/>
  <c r="P168" i="5" s="1"/>
  <c r="M168" i="5"/>
  <c r="N168" i="5" s="1"/>
  <c r="K168" i="5"/>
  <c r="L168" i="5" s="1"/>
  <c r="W167" i="5"/>
  <c r="Q167" i="5"/>
  <c r="R167" i="5" s="1"/>
  <c r="O167" i="5"/>
  <c r="P167" i="5" s="1"/>
  <c r="M167" i="5"/>
  <c r="N167" i="5" s="1"/>
  <c r="K167" i="5"/>
  <c r="L167" i="5" s="1"/>
  <c r="W166" i="5"/>
  <c r="Q166" i="5"/>
  <c r="R166" i="5" s="1"/>
  <c r="O166" i="5"/>
  <c r="P166" i="5" s="1"/>
  <c r="M166" i="5"/>
  <c r="N166" i="5" s="1"/>
  <c r="K166" i="5"/>
  <c r="L166" i="5" s="1"/>
  <c r="W165" i="5"/>
  <c r="Q165" i="5"/>
  <c r="R165" i="5" s="1"/>
  <c r="O165" i="5"/>
  <c r="P165" i="5" s="1"/>
  <c r="M165" i="5"/>
  <c r="N165" i="5" s="1"/>
  <c r="K165" i="5"/>
  <c r="L165" i="5" s="1"/>
  <c r="W164" i="5"/>
  <c r="Q164" i="5"/>
  <c r="R164" i="5" s="1"/>
  <c r="O164" i="5"/>
  <c r="P164" i="5" s="1"/>
  <c r="M164" i="5"/>
  <c r="N164" i="5" s="1"/>
  <c r="K164" i="5"/>
  <c r="L164" i="5" s="1"/>
  <c r="W163" i="5"/>
  <c r="Q163" i="5"/>
  <c r="R163" i="5" s="1"/>
  <c r="O163" i="5"/>
  <c r="P163" i="5" s="1"/>
  <c r="M163" i="5"/>
  <c r="N163" i="5" s="1"/>
  <c r="K163" i="5"/>
  <c r="L163" i="5" s="1"/>
  <c r="W162" i="5"/>
  <c r="Q162" i="5"/>
  <c r="R162" i="5" s="1"/>
  <c r="O162" i="5"/>
  <c r="P162" i="5" s="1"/>
  <c r="M162" i="5"/>
  <c r="N162" i="5" s="1"/>
  <c r="K162" i="5"/>
  <c r="L162" i="5" s="1"/>
  <c r="W161" i="5"/>
  <c r="Q161" i="5"/>
  <c r="R161" i="5" s="1"/>
  <c r="O161" i="5"/>
  <c r="P161" i="5" s="1"/>
  <c r="M161" i="5"/>
  <c r="N161" i="5" s="1"/>
  <c r="K161" i="5"/>
  <c r="L161" i="5" s="1"/>
  <c r="W160" i="5"/>
  <c r="Q160" i="5"/>
  <c r="R160" i="5" s="1"/>
  <c r="O160" i="5"/>
  <c r="P160" i="5" s="1"/>
  <c r="M160" i="5"/>
  <c r="N160" i="5" s="1"/>
  <c r="K160" i="5"/>
  <c r="L160" i="5" s="1"/>
  <c r="W159" i="5"/>
  <c r="Q159" i="5"/>
  <c r="R159" i="5" s="1"/>
  <c r="O159" i="5"/>
  <c r="P159" i="5" s="1"/>
  <c r="M159" i="5"/>
  <c r="N159" i="5" s="1"/>
  <c r="K159" i="5"/>
  <c r="L159" i="5" s="1"/>
  <c r="W158" i="5"/>
  <c r="Q158" i="5"/>
  <c r="R158" i="5" s="1"/>
  <c r="O158" i="5"/>
  <c r="P158" i="5" s="1"/>
  <c r="M158" i="5"/>
  <c r="N158" i="5" s="1"/>
  <c r="K158" i="5"/>
  <c r="L158" i="5" s="1"/>
  <c r="W157" i="5"/>
  <c r="Q157" i="5"/>
  <c r="R157" i="5" s="1"/>
  <c r="O157" i="5"/>
  <c r="P157" i="5" s="1"/>
  <c r="M157" i="5"/>
  <c r="N157" i="5" s="1"/>
  <c r="K157" i="5"/>
  <c r="L157" i="5" s="1"/>
  <c r="W156" i="5"/>
  <c r="Q156" i="5"/>
  <c r="R156" i="5" s="1"/>
  <c r="O156" i="5"/>
  <c r="P156" i="5" s="1"/>
  <c r="M156" i="5"/>
  <c r="N156" i="5" s="1"/>
  <c r="K156" i="5"/>
  <c r="L156" i="5" s="1"/>
  <c r="W155" i="5"/>
  <c r="Q155" i="5"/>
  <c r="R155" i="5" s="1"/>
  <c r="O155" i="5"/>
  <c r="P155" i="5" s="1"/>
  <c r="M155" i="5"/>
  <c r="N155" i="5" s="1"/>
  <c r="K155" i="5"/>
  <c r="L155" i="5" s="1"/>
  <c r="W154" i="5"/>
  <c r="Q154" i="5"/>
  <c r="R154" i="5" s="1"/>
  <c r="O154" i="5"/>
  <c r="P154" i="5" s="1"/>
  <c r="M154" i="5"/>
  <c r="N154" i="5" s="1"/>
  <c r="K154" i="5"/>
  <c r="L154" i="5" s="1"/>
  <c r="W153" i="5"/>
  <c r="Q153" i="5"/>
  <c r="R153" i="5" s="1"/>
  <c r="O153" i="5"/>
  <c r="P153" i="5" s="1"/>
  <c r="M153" i="5"/>
  <c r="N153" i="5" s="1"/>
  <c r="K153" i="5"/>
  <c r="L153" i="5" s="1"/>
  <c r="W152" i="5"/>
  <c r="Q152" i="5"/>
  <c r="R152" i="5" s="1"/>
  <c r="O152" i="5"/>
  <c r="P152" i="5" s="1"/>
  <c r="M152" i="5"/>
  <c r="N152" i="5" s="1"/>
  <c r="K152" i="5"/>
  <c r="L152" i="5" s="1"/>
  <c r="W151" i="5"/>
  <c r="Q151" i="5"/>
  <c r="R151" i="5" s="1"/>
  <c r="O151" i="5"/>
  <c r="P151" i="5" s="1"/>
  <c r="M151" i="5"/>
  <c r="N151" i="5" s="1"/>
  <c r="K151" i="5"/>
  <c r="L151" i="5" s="1"/>
  <c r="W150" i="5"/>
  <c r="Q150" i="5"/>
  <c r="R150" i="5" s="1"/>
  <c r="O150" i="5"/>
  <c r="P150" i="5" s="1"/>
  <c r="M150" i="5"/>
  <c r="N150" i="5" s="1"/>
  <c r="K150" i="5"/>
  <c r="L150" i="5" s="1"/>
  <c r="W149" i="5"/>
  <c r="Q149" i="5"/>
  <c r="R149" i="5" s="1"/>
  <c r="O149" i="5"/>
  <c r="P149" i="5" s="1"/>
  <c r="M149" i="5"/>
  <c r="N149" i="5" s="1"/>
  <c r="K149" i="5"/>
  <c r="L149" i="5" s="1"/>
  <c r="W148" i="5"/>
  <c r="Q148" i="5"/>
  <c r="R148" i="5" s="1"/>
  <c r="O148" i="5"/>
  <c r="P148" i="5" s="1"/>
  <c r="M148" i="5"/>
  <c r="N148" i="5" s="1"/>
  <c r="K148" i="5"/>
  <c r="L148" i="5" s="1"/>
  <c r="W147" i="5"/>
  <c r="Q147" i="5"/>
  <c r="R147" i="5" s="1"/>
  <c r="O147" i="5"/>
  <c r="P147" i="5" s="1"/>
  <c r="M147" i="5"/>
  <c r="N147" i="5" s="1"/>
  <c r="K147" i="5"/>
  <c r="L147" i="5" s="1"/>
  <c r="W146" i="5"/>
  <c r="Q146" i="5"/>
  <c r="R146" i="5" s="1"/>
  <c r="O146" i="5"/>
  <c r="P146" i="5" s="1"/>
  <c r="M146" i="5"/>
  <c r="N146" i="5" s="1"/>
  <c r="K146" i="5"/>
  <c r="L146" i="5" s="1"/>
  <c r="W145" i="5"/>
  <c r="Q145" i="5"/>
  <c r="R145" i="5" s="1"/>
  <c r="O145" i="5"/>
  <c r="P145" i="5" s="1"/>
  <c r="M145" i="5"/>
  <c r="N145" i="5" s="1"/>
  <c r="K145" i="5"/>
  <c r="L145" i="5" s="1"/>
  <c r="W144" i="5"/>
  <c r="Q144" i="5"/>
  <c r="R144" i="5" s="1"/>
  <c r="O144" i="5"/>
  <c r="P144" i="5" s="1"/>
  <c r="M144" i="5"/>
  <c r="N144" i="5" s="1"/>
  <c r="K144" i="5"/>
  <c r="L144" i="5" s="1"/>
  <c r="W143" i="5"/>
  <c r="Q143" i="5"/>
  <c r="R143" i="5" s="1"/>
  <c r="O143" i="5"/>
  <c r="P143" i="5" s="1"/>
  <c r="M143" i="5"/>
  <c r="N143" i="5" s="1"/>
  <c r="K143" i="5"/>
  <c r="L143" i="5" s="1"/>
  <c r="W142" i="5"/>
  <c r="Q142" i="5"/>
  <c r="R142" i="5" s="1"/>
  <c r="O142" i="5"/>
  <c r="P142" i="5" s="1"/>
  <c r="M142" i="5"/>
  <c r="N142" i="5" s="1"/>
  <c r="K142" i="5"/>
  <c r="L142" i="5" s="1"/>
  <c r="W141" i="5"/>
  <c r="Q141" i="5"/>
  <c r="R141" i="5" s="1"/>
  <c r="O141" i="5"/>
  <c r="P141" i="5" s="1"/>
  <c r="M141" i="5"/>
  <c r="N141" i="5" s="1"/>
  <c r="K141" i="5"/>
  <c r="L141" i="5" s="1"/>
  <c r="W140" i="5"/>
  <c r="Q140" i="5"/>
  <c r="R140" i="5" s="1"/>
  <c r="O140" i="5"/>
  <c r="P140" i="5" s="1"/>
  <c r="M140" i="5"/>
  <c r="N140" i="5" s="1"/>
  <c r="K140" i="5"/>
  <c r="L140" i="5" s="1"/>
  <c r="W139" i="5"/>
  <c r="Q139" i="5"/>
  <c r="R139" i="5" s="1"/>
  <c r="O139" i="5"/>
  <c r="P139" i="5" s="1"/>
  <c r="M139" i="5"/>
  <c r="N139" i="5" s="1"/>
  <c r="K139" i="5"/>
  <c r="L139" i="5" s="1"/>
  <c r="W138" i="5"/>
  <c r="Q138" i="5"/>
  <c r="R138" i="5" s="1"/>
  <c r="O138" i="5"/>
  <c r="P138" i="5" s="1"/>
  <c r="M138" i="5"/>
  <c r="N138" i="5" s="1"/>
  <c r="K138" i="5"/>
  <c r="L138" i="5" s="1"/>
  <c r="W137" i="5"/>
  <c r="Q137" i="5"/>
  <c r="R137" i="5" s="1"/>
  <c r="O137" i="5"/>
  <c r="P137" i="5" s="1"/>
  <c r="M137" i="5"/>
  <c r="N137" i="5" s="1"/>
  <c r="L137" i="5"/>
  <c r="W136" i="5"/>
  <c r="Q136" i="5"/>
  <c r="R136" i="5" s="1"/>
  <c r="O136" i="5"/>
  <c r="P136" i="5" s="1"/>
  <c r="M136" i="5"/>
  <c r="N136" i="5" s="1"/>
  <c r="K136" i="5"/>
  <c r="L136" i="5" s="1"/>
  <c r="W135" i="5"/>
  <c r="Q135" i="5"/>
  <c r="R135" i="5" s="1"/>
  <c r="O135" i="5"/>
  <c r="P135" i="5" s="1"/>
  <c r="M135" i="5"/>
  <c r="N135" i="5" s="1"/>
  <c r="K135" i="5"/>
  <c r="L135" i="5" s="1"/>
  <c r="W134" i="5"/>
  <c r="Q134" i="5"/>
  <c r="R134" i="5" s="1"/>
  <c r="O134" i="5"/>
  <c r="P134" i="5" s="1"/>
  <c r="M134" i="5"/>
  <c r="N134" i="5" s="1"/>
  <c r="K134" i="5"/>
  <c r="L134" i="5" s="1"/>
  <c r="W133" i="5"/>
  <c r="Q133" i="5"/>
  <c r="R133" i="5" s="1"/>
  <c r="O133" i="5"/>
  <c r="P133" i="5" s="1"/>
  <c r="M133" i="5"/>
  <c r="N133" i="5" s="1"/>
  <c r="K133" i="5"/>
  <c r="L133" i="5" s="1"/>
  <c r="W132" i="5"/>
  <c r="Q132" i="5"/>
  <c r="R132" i="5" s="1"/>
  <c r="O132" i="5"/>
  <c r="P132" i="5" s="1"/>
  <c r="M132" i="5"/>
  <c r="N132" i="5" s="1"/>
  <c r="K132" i="5"/>
  <c r="L132" i="5" s="1"/>
  <c r="W131" i="5"/>
  <c r="Q131" i="5"/>
  <c r="R131" i="5" s="1"/>
  <c r="O131" i="5"/>
  <c r="P131" i="5" s="1"/>
  <c r="M131" i="5"/>
  <c r="N131" i="5" s="1"/>
  <c r="K131" i="5"/>
  <c r="L131" i="5" s="1"/>
  <c r="W130" i="5"/>
  <c r="Q130" i="5"/>
  <c r="R130" i="5" s="1"/>
  <c r="O130" i="5"/>
  <c r="P130" i="5" s="1"/>
  <c r="M130" i="5"/>
  <c r="N130" i="5" s="1"/>
  <c r="K130" i="5"/>
  <c r="L130" i="5" s="1"/>
  <c r="W129" i="5"/>
  <c r="Q129" i="5"/>
  <c r="R129" i="5" s="1"/>
  <c r="O129" i="5"/>
  <c r="P129" i="5" s="1"/>
  <c r="M129" i="5"/>
  <c r="N129" i="5" s="1"/>
  <c r="K129" i="5"/>
  <c r="L129" i="5" s="1"/>
  <c r="W128" i="5"/>
  <c r="Q128" i="5"/>
  <c r="R128" i="5" s="1"/>
  <c r="O128" i="5"/>
  <c r="P128" i="5" s="1"/>
  <c r="M128" i="5"/>
  <c r="N128" i="5" s="1"/>
  <c r="K128" i="5"/>
  <c r="L128" i="5" s="1"/>
  <c r="W127" i="5"/>
  <c r="Q127" i="5"/>
  <c r="R127" i="5" s="1"/>
  <c r="O127" i="5"/>
  <c r="P127" i="5" s="1"/>
  <c r="M127" i="5"/>
  <c r="N127" i="5" s="1"/>
  <c r="K127" i="5"/>
  <c r="L127" i="5" s="1"/>
  <c r="W126" i="5"/>
  <c r="Q126" i="5"/>
  <c r="R126" i="5" s="1"/>
  <c r="O126" i="5"/>
  <c r="P126" i="5" s="1"/>
  <c r="M126" i="5"/>
  <c r="N126" i="5" s="1"/>
  <c r="K126" i="5"/>
  <c r="L126" i="5" s="1"/>
  <c r="W125" i="5"/>
  <c r="Q125" i="5"/>
  <c r="R125" i="5" s="1"/>
  <c r="O125" i="5"/>
  <c r="P125" i="5" s="1"/>
  <c r="M125" i="5"/>
  <c r="N125" i="5" s="1"/>
  <c r="K125" i="5"/>
  <c r="L125" i="5" s="1"/>
  <c r="W124" i="5"/>
  <c r="Q124" i="5"/>
  <c r="R124" i="5" s="1"/>
  <c r="O124" i="5"/>
  <c r="P124" i="5" s="1"/>
  <c r="M124" i="5"/>
  <c r="N124" i="5" s="1"/>
  <c r="K124" i="5"/>
  <c r="L124" i="5" s="1"/>
  <c r="W123" i="5"/>
  <c r="Q123" i="5"/>
  <c r="R123" i="5" s="1"/>
  <c r="O123" i="5"/>
  <c r="P123" i="5" s="1"/>
  <c r="M123" i="5"/>
  <c r="N123" i="5" s="1"/>
  <c r="K123" i="5"/>
  <c r="L123" i="5" s="1"/>
  <c r="W122" i="5"/>
  <c r="Q122" i="5"/>
  <c r="R122" i="5" s="1"/>
  <c r="O122" i="5"/>
  <c r="P122" i="5" s="1"/>
  <c r="M122" i="5"/>
  <c r="N122" i="5" s="1"/>
  <c r="K122" i="5"/>
  <c r="L122" i="5" s="1"/>
  <c r="W121" i="5"/>
  <c r="Q121" i="5"/>
  <c r="R121" i="5" s="1"/>
  <c r="O121" i="5"/>
  <c r="P121" i="5" s="1"/>
  <c r="M121" i="5"/>
  <c r="N121" i="5" s="1"/>
  <c r="K121" i="5"/>
  <c r="L121" i="5" s="1"/>
  <c r="W120" i="5"/>
  <c r="Q120" i="5"/>
  <c r="R120" i="5" s="1"/>
  <c r="O120" i="5"/>
  <c r="P120" i="5" s="1"/>
  <c r="M120" i="5"/>
  <c r="N120" i="5" s="1"/>
  <c r="K120" i="5"/>
  <c r="L120" i="5" s="1"/>
  <c r="W119" i="5"/>
  <c r="Q119" i="5"/>
  <c r="R119" i="5" s="1"/>
  <c r="O119" i="5"/>
  <c r="P119" i="5" s="1"/>
  <c r="M119" i="5"/>
  <c r="N119" i="5" s="1"/>
  <c r="K119" i="5"/>
  <c r="L119" i="5" s="1"/>
  <c r="W118" i="5"/>
  <c r="Q118" i="5"/>
  <c r="R118" i="5" s="1"/>
  <c r="O118" i="5"/>
  <c r="P118" i="5" s="1"/>
  <c r="M118" i="5"/>
  <c r="N118" i="5" s="1"/>
  <c r="K118" i="5"/>
  <c r="L118" i="5" s="1"/>
  <c r="W117" i="5"/>
  <c r="Q117" i="5"/>
  <c r="R117" i="5" s="1"/>
  <c r="O117" i="5"/>
  <c r="P117" i="5" s="1"/>
  <c r="M117" i="5"/>
  <c r="N117" i="5" s="1"/>
  <c r="K117" i="5"/>
  <c r="L117" i="5" s="1"/>
  <c r="W116" i="5"/>
  <c r="Q116" i="5"/>
  <c r="R116" i="5" s="1"/>
  <c r="O116" i="5"/>
  <c r="P116" i="5" s="1"/>
  <c r="M116" i="5"/>
  <c r="N116" i="5" s="1"/>
  <c r="K116" i="5"/>
  <c r="L116" i="5" s="1"/>
  <c r="W115" i="5"/>
  <c r="Q115" i="5"/>
  <c r="R115" i="5" s="1"/>
  <c r="O115" i="5"/>
  <c r="P115" i="5" s="1"/>
  <c r="M115" i="5"/>
  <c r="N115" i="5" s="1"/>
  <c r="K115" i="5"/>
  <c r="L115" i="5" s="1"/>
  <c r="W114" i="5"/>
  <c r="Q114" i="5"/>
  <c r="R114" i="5" s="1"/>
  <c r="O114" i="5"/>
  <c r="P114" i="5" s="1"/>
  <c r="M114" i="5"/>
  <c r="N114" i="5" s="1"/>
  <c r="K114" i="5"/>
  <c r="L114" i="5" s="1"/>
  <c r="W113" i="5"/>
  <c r="Q113" i="5"/>
  <c r="R113" i="5" s="1"/>
  <c r="O113" i="5"/>
  <c r="P113" i="5" s="1"/>
  <c r="M113" i="5"/>
  <c r="N113" i="5" s="1"/>
  <c r="K113" i="5"/>
  <c r="L113" i="5" s="1"/>
  <c r="W112" i="5"/>
  <c r="Q112" i="5"/>
  <c r="R112" i="5" s="1"/>
  <c r="O112" i="5"/>
  <c r="P112" i="5" s="1"/>
  <c r="M112" i="5"/>
  <c r="N112" i="5" s="1"/>
  <c r="K112" i="5"/>
  <c r="L112" i="5" s="1"/>
  <c r="W111" i="5"/>
  <c r="Q111" i="5"/>
  <c r="R111" i="5" s="1"/>
  <c r="O111" i="5"/>
  <c r="P111" i="5" s="1"/>
  <c r="M111" i="5"/>
  <c r="N111" i="5" s="1"/>
  <c r="K111" i="5"/>
  <c r="L111" i="5" s="1"/>
  <c r="W110" i="5"/>
  <c r="Q110" i="5"/>
  <c r="R110" i="5" s="1"/>
  <c r="O110" i="5"/>
  <c r="P110" i="5" s="1"/>
  <c r="N110" i="5"/>
  <c r="K110" i="5"/>
  <c r="L110" i="5" s="1"/>
  <c r="W109" i="5"/>
  <c r="Q109" i="5"/>
  <c r="R109" i="5" s="1"/>
  <c r="O109" i="5"/>
  <c r="P109" i="5" s="1"/>
  <c r="N109" i="5"/>
  <c r="K109" i="5"/>
  <c r="L109" i="5" s="1"/>
  <c r="W108" i="5"/>
  <c r="Q108" i="5"/>
  <c r="R108" i="5" s="1"/>
  <c r="O108" i="5"/>
  <c r="P108" i="5" s="1"/>
  <c r="M108" i="5"/>
  <c r="N108" i="5" s="1"/>
  <c r="K108" i="5"/>
  <c r="L108" i="5" s="1"/>
  <c r="W107" i="5"/>
  <c r="Q107" i="5"/>
  <c r="R107" i="5" s="1"/>
  <c r="O107" i="5"/>
  <c r="P107" i="5" s="1"/>
  <c r="M107" i="5"/>
  <c r="N107" i="5" s="1"/>
  <c r="K107" i="5"/>
  <c r="L107" i="5" s="1"/>
  <c r="W106" i="5"/>
  <c r="Q106" i="5"/>
  <c r="R106" i="5" s="1"/>
  <c r="O106" i="5"/>
  <c r="P106" i="5" s="1"/>
  <c r="M106" i="5"/>
  <c r="N106" i="5" s="1"/>
  <c r="K106" i="5"/>
  <c r="L106" i="5" s="1"/>
  <c r="W105" i="5"/>
  <c r="Q105" i="5"/>
  <c r="R105" i="5" s="1"/>
  <c r="O105" i="5"/>
  <c r="P105" i="5" s="1"/>
  <c r="M105" i="5"/>
  <c r="N105" i="5" s="1"/>
  <c r="K105" i="5"/>
  <c r="L105" i="5" s="1"/>
  <c r="W104" i="5"/>
  <c r="Q104" i="5"/>
  <c r="R104" i="5" s="1"/>
  <c r="O104" i="5"/>
  <c r="P104" i="5" s="1"/>
  <c r="M104" i="5"/>
  <c r="N104" i="5" s="1"/>
  <c r="K104" i="5"/>
  <c r="L104" i="5" s="1"/>
  <c r="W103" i="5"/>
  <c r="Q103" i="5"/>
  <c r="R103" i="5" s="1"/>
  <c r="O103" i="5"/>
  <c r="P103" i="5" s="1"/>
  <c r="M103" i="5"/>
  <c r="N103" i="5" s="1"/>
  <c r="K103" i="5"/>
  <c r="L103" i="5" s="1"/>
  <c r="W102" i="5"/>
  <c r="Q102" i="5"/>
  <c r="R102" i="5" s="1"/>
  <c r="O102" i="5"/>
  <c r="P102" i="5" s="1"/>
  <c r="M102" i="5"/>
  <c r="N102" i="5" s="1"/>
  <c r="K102" i="5"/>
  <c r="L102" i="5" s="1"/>
  <c r="W101" i="5"/>
  <c r="Q101" i="5"/>
  <c r="R101" i="5" s="1"/>
  <c r="O101" i="5"/>
  <c r="P101" i="5" s="1"/>
  <c r="M101" i="5"/>
  <c r="N101" i="5" s="1"/>
  <c r="K101" i="5"/>
  <c r="L101" i="5" s="1"/>
  <c r="W100" i="5"/>
  <c r="Q100" i="5"/>
  <c r="R100" i="5" s="1"/>
  <c r="O100" i="5"/>
  <c r="P100" i="5" s="1"/>
  <c r="M100" i="5"/>
  <c r="N100" i="5" s="1"/>
  <c r="K100" i="5"/>
  <c r="L100" i="5" s="1"/>
  <c r="W99" i="5"/>
  <c r="Q99" i="5"/>
  <c r="R99" i="5" s="1"/>
  <c r="O99" i="5"/>
  <c r="P99" i="5" s="1"/>
  <c r="M99" i="5"/>
  <c r="N99" i="5" s="1"/>
  <c r="K99" i="5"/>
  <c r="L99" i="5" s="1"/>
  <c r="W98" i="5"/>
  <c r="Q98" i="5"/>
  <c r="R98" i="5" s="1"/>
  <c r="O98" i="5"/>
  <c r="P98" i="5" s="1"/>
  <c r="M98" i="5"/>
  <c r="N98" i="5" s="1"/>
  <c r="K98" i="5"/>
  <c r="L98" i="5" s="1"/>
  <c r="W97" i="5"/>
  <c r="Q97" i="5"/>
  <c r="R97" i="5" s="1"/>
  <c r="O97" i="5"/>
  <c r="P97" i="5" s="1"/>
  <c r="M97" i="5"/>
  <c r="N97" i="5" s="1"/>
  <c r="K97" i="5"/>
  <c r="L97" i="5" s="1"/>
  <c r="W96" i="5"/>
  <c r="Q96" i="5"/>
  <c r="R96" i="5" s="1"/>
  <c r="O96" i="5"/>
  <c r="P96" i="5" s="1"/>
  <c r="M96" i="5"/>
  <c r="N96" i="5" s="1"/>
  <c r="K96" i="5"/>
  <c r="L96" i="5" s="1"/>
  <c r="W95" i="5"/>
  <c r="Q95" i="5"/>
  <c r="R95" i="5" s="1"/>
  <c r="O95" i="5"/>
  <c r="P95" i="5" s="1"/>
  <c r="M95" i="5"/>
  <c r="N95" i="5" s="1"/>
  <c r="K95" i="5"/>
  <c r="L95" i="5" s="1"/>
  <c r="W94" i="5"/>
  <c r="Q94" i="5"/>
  <c r="R94" i="5" s="1"/>
  <c r="O94" i="5"/>
  <c r="P94" i="5" s="1"/>
  <c r="M94" i="5"/>
  <c r="N94" i="5" s="1"/>
  <c r="K94" i="5"/>
  <c r="L94" i="5" s="1"/>
  <c r="W93" i="5"/>
  <c r="Q93" i="5"/>
  <c r="R93" i="5" s="1"/>
  <c r="O93" i="5"/>
  <c r="P93" i="5" s="1"/>
  <c r="M93" i="5"/>
  <c r="N93" i="5" s="1"/>
  <c r="K93" i="5"/>
  <c r="L93" i="5" s="1"/>
  <c r="W92" i="5"/>
  <c r="Q92" i="5"/>
  <c r="R92" i="5" s="1"/>
  <c r="O92" i="5"/>
  <c r="P92" i="5" s="1"/>
  <c r="M92" i="5"/>
  <c r="N92" i="5" s="1"/>
  <c r="K92" i="5"/>
  <c r="L92" i="5" s="1"/>
  <c r="W91" i="5"/>
  <c r="Q91" i="5"/>
  <c r="R91" i="5" s="1"/>
  <c r="O91" i="5"/>
  <c r="P91" i="5" s="1"/>
  <c r="M91" i="5"/>
  <c r="N91" i="5" s="1"/>
  <c r="K91" i="5"/>
  <c r="L91" i="5" s="1"/>
  <c r="W90" i="5"/>
  <c r="Q90" i="5"/>
  <c r="R90" i="5" s="1"/>
  <c r="O90" i="5"/>
  <c r="P90" i="5" s="1"/>
  <c r="M90" i="5"/>
  <c r="N90" i="5" s="1"/>
  <c r="K90" i="5"/>
  <c r="L90" i="5" s="1"/>
  <c r="W89" i="5"/>
  <c r="Q89" i="5"/>
  <c r="R89" i="5" s="1"/>
  <c r="O89" i="5"/>
  <c r="P89" i="5" s="1"/>
  <c r="M89" i="5"/>
  <c r="N89" i="5" s="1"/>
  <c r="K89" i="5"/>
  <c r="L89" i="5" s="1"/>
  <c r="W88" i="5"/>
  <c r="Q88" i="5"/>
  <c r="R88" i="5" s="1"/>
  <c r="O88" i="5"/>
  <c r="P88" i="5" s="1"/>
  <c r="M88" i="5"/>
  <c r="N88" i="5" s="1"/>
  <c r="K88" i="5"/>
  <c r="L88" i="5" s="1"/>
  <c r="W87" i="5"/>
  <c r="Q87" i="5"/>
  <c r="R87" i="5" s="1"/>
  <c r="O87" i="5"/>
  <c r="P87" i="5" s="1"/>
  <c r="M87" i="5"/>
  <c r="N87" i="5" s="1"/>
  <c r="K87" i="5"/>
  <c r="L87" i="5" s="1"/>
  <c r="W86" i="5"/>
  <c r="Q86" i="5"/>
  <c r="R86" i="5" s="1"/>
  <c r="O86" i="5"/>
  <c r="P86" i="5" s="1"/>
  <c r="M86" i="5"/>
  <c r="N86" i="5" s="1"/>
  <c r="K86" i="5"/>
  <c r="L86" i="5" s="1"/>
  <c r="W85" i="5"/>
  <c r="Q85" i="5"/>
  <c r="R85" i="5" s="1"/>
  <c r="O85" i="5"/>
  <c r="P85" i="5" s="1"/>
  <c r="M85" i="5"/>
  <c r="N85" i="5" s="1"/>
  <c r="K85" i="5"/>
  <c r="L85" i="5" s="1"/>
  <c r="W84" i="5"/>
  <c r="Q84" i="5"/>
  <c r="R84" i="5" s="1"/>
  <c r="O84" i="5"/>
  <c r="P84" i="5" s="1"/>
  <c r="M84" i="5"/>
  <c r="N84" i="5" s="1"/>
  <c r="K84" i="5"/>
  <c r="L84" i="5" s="1"/>
  <c r="W83" i="5"/>
  <c r="Q83" i="5"/>
  <c r="R83" i="5" s="1"/>
  <c r="O83" i="5"/>
  <c r="P83" i="5" s="1"/>
  <c r="M83" i="5"/>
  <c r="N83" i="5" s="1"/>
  <c r="K83" i="5"/>
  <c r="L83" i="5" s="1"/>
  <c r="W82" i="5"/>
  <c r="Q82" i="5"/>
  <c r="R82" i="5" s="1"/>
  <c r="O82" i="5"/>
  <c r="P82" i="5" s="1"/>
  <c r="M82" i="5"/>
  <c r="N82" i="5" s="1"/>
  <c r="K82" i="5"/>
  <c r="L82" i="5" s="1"/>
  <c r="W81" i="5"/>
  <c r="Q81" i="5"/>
  <c r="R81" i="5" s="1"/>
  <c r="O81" i="5"/>
  <c r="P81" i="5" s="1"/>
  <c r="M81" i="5"/>
  <c r="N81" i="5" s="1"/>
  <c r="K81" i="5"/>
  <c r="L81" i="5" s="1"/>
  <c r="W80" i="5"/>
  <c r="W79" i="5"/>
  <c r="Q79" i="5"/>
  <c r="R79" i="5" s="1"/>
  <c r="O79" i="5"/>
  <c r="P79" i="5" s="1"/>
  <c r="M79" i="5"/>
  <c r="N79" i="5" s="1"/>
  <c r="K79" i="5"/>
  <c r="L79" i="5" s="1"/>
  <c r="W78" i="5"/>
  <c r="Q78" i="5"/>
  <c r="R78" i="5" s="1"/>
  <c r="O78" i="5"/>
  <c r="P78" i="5" s="1"/>
  <c r="M78" i="5"/>
  <c r="N78" i="5" s="1"/>
  <c r="K78" i="5"/>
  <c r="L78" i="5" s="1"/>
  <c r="W77" i="5"/>
  <c r="Q77" i="5"/>
  <c r="R77" i="5" s="1"/>
  <c r="O77" i="5"/>
  <c r="P77" i="5" s="1"/>
  <c r="M77" i="5"/>
  <c r="N77" i="5" s="1"/>
  <c r="K77" i="5"/>
  <c r="L77" i="5" s="1"/>
  <c r="W76" i="5"/>
  <c r="Q76" i="5"/>
  <c r="R76" i="5" s="1"/>
  <c r="O76" i="5"/>
  <c r="P76" i="5" s="1"/>
  <c r="M76" i="5"/>
  <c r="N76" i="5" s="1"/>
  <c r="K76" i="5"/>
  <c r="L76" i="5" s="1"/>
  <c r="W75" i="5"/>
  <c r="Q75" i="5"/>
  <c r="R75" i="5" s="1"/>
  <c r="O75" i="5"/>
  <c r="P75" i="5" s="1"/>
  <c r="M75" i="5"/>
  <c r="N75" i="5" s="1"/>
  <c r="K75" i="5"/>
  <c r="L75" i="5" s="1"/>
  <c r="W74" i="5"/>
  <c r="Q74" i="5"/>
  <c r="R74" i="5" s="1"/>
  <c r="O74" i="5"/>
  <c r="P74" i="5" s="1"/>
  <c r="M74" i="5"/>
  <c r="N74" i="5" s="1"/>
  <c r="K74" i="5"/>
  <c r="L74" i="5" s="1"/>
  <c r="W73" i="5"/>
  <c r="Q73" i="5"/>
  <c r="R73" i="5" s="1"/>
  <c r="O73" i="5"/>
  <c r="P73" i="5" s="1"/>
  <c r="M73" i="5"/>
  <c r="N73" i="5" s="1"/>
  <c r="K73" i="5"/>
  <c r="L73" i="5" s="1"/>
  <c r="W60" i="5"/>
  <c r="Q60" i="5"/>
  <c r="R60" i="5" s="1"/>
  <c r="O60" i="5"/>
  <c r="P60" i="5" s="1"/>
  <c r="M60" i="5"/>
  <c r="N60" i="5" s="1"/>
  <c r="K60" i="5"/>
  <c r="L60" i="5" s="1"/>
  <c r="W59" i="5"/>
  <c r="Q59" i="5"/>
  <c r="R59" i="5" s="1"/>
  <c r="O59" i="5"/>
  <c r="P59" i="5" s="1"/>
  <c r="M59" i="5"/>
  <c r="N59" i="5" s="1"/>
  <c r="K59" i="5"/>
  <c r="L59" i="5" s="1"/>
  <c r="W58" i="5"/>
  <c r="Q58" i="5"/>
  <c r="R58" i="5" s="1"/>
  <c r="O58" i="5"/>
  <c r="P58" i="5" s="1"/>
  <c r="M58" i="5"/>
  <c r="N58" i="5" s="1"/>
  <c r="K58" i="5"/>
  <c r="L58" i="5" s="1"/>
  <c r="W57" i="5"/>
  <c r="Q57" i="5"/>
  <c r="R57" i="5" s="1"/>
  <c r="O57" i="5"/>
  <c r="P57" i="5" s="1"/>
  <c r="M57" i="5"/>
  <c r="N57" i="5" s="1"/>
  <c r="K57" i="5"/>
  <c r="L57" i="5" s="1"/>
  <c r="W10" i="5"/>
  <c r="Q10" i="5"/>
  <c r="R10" i="5" s="1"/>
  <c r="O10" i="5"/>
  <c r="P10" i="5" s="1"/>
  <c r="M10" i="5"/>
  <c r="N10" i="5" s="1"/>
  <c r="K10" i="5"/>
  <c r="L10" i="5" s="1"/>
  <c r="Q4" i="5"/>
  <c r="R4" i="5" s="1"/>
  <c r="O4" i="5"/>
  <c r="P4" i="5" s="1"/>
  <c r="M4" i="5"/>
  <c r="N4" i="5" s="1"/>
  <c r="K4" i="5"/>
  <c r="L4" i="5" s="1"/>
  <c r="W3" i="5"/>
  <c r="Q3" i="5"/>
  <c r="R3" i="5" s="1"/>
  <c r="O3" i="5"/>
  <c r="P3" i="5" s="1"/>
  <c r="M3" i="5"/>
  <c r="N3" i="5" s="1"/>
  <c r="K3" i="5"/>
  <c r="L3" i="5" s="1"/>
  <c r="U51" i="1" l="1"/>
  <c r="U75" i="1"/>
  <c r="T90" i="5"/>
  <c r="T92" i="5"/>
  <c r="T94" i="5"/>
  <c r="T96" i="5"/>
  <c r="T98" i="5"/>
  <c r="T100" i="5"/>
  <c r="T104" i="5"/>
  <c r="T106" i="5"/>
  <c r="T108" i="5"/>
  <c r="T113" i="5"/>
  <c r="T117" i="5"/>
  <c r="T119" i="5"/>
  <c r="T125" i="5"/>
  <c r="T127" i="5"/>
  <c r="T133" i="5"/>
  <c r="T137" i="5"/>
  <c r="T139" i="5"/>
  <c r="T141" i="5"/>
  <c r="T143" i="5"/>
  <c r="T145" i="5"/>
  <c r="T146" i="5"/>
  <c r="T121" i="5"/>
  <c r="T148" i="5"/>
  <c r="T89" i="5"/>
  <c r="T91" i="5"/>
  <c r="T93" i="5"/>
  <c r="T95" i="5"/>
  <c r="T97" i="5"/>
  <c r="T99" i="5"/>
  <c r="T101" i="5"/>
  <c r="T105" i="5"/>
  <c r="T107" i="5"/>
  <c r="T109" i="5"/>
  <c r="T110" i="5"/>
  <c r="T112" i="5"/>
  <c r="T114" i="5"/>
  <c r="T116" i="5"/>
  <c r="T120" i="5"/>
  <c r="T122" i="5"/>
  <c r="T152" i="5"/>
  <c r="T154" i="5"/>
  <c r="T124" i="5"/>
  <c r="T128" i="5"/>
  <c r="T130" i="5"/>
  <c r="T132" i="5"/>
  <c r="T134" i="5"/>
  <c r="T136" i="5"/>
  <c r="T138" i="5"/>
  <c r="T140" i="5"/>
  <c r="T142" i="5"/>
  <c r="T147" i="5"/>
  <c r="T150" i="5"/>
  <c r="T151" i="5"/>
  <c r="T153" i="5"/>
  <c r="T156" i="5"/>
  <c r="T158" i="5"/>
  <c r="T190" i="5"/>
  <c r="T194" i="5"/>
  <c r="T196" i="5"/>
  <c r="T160" i="5"/>
  <c r="T162" i="5"/>
  <c r="T164" i="5"/>
  <c r="T166" i="5"/>
  <c r="T168" i="5"/>
  <c r="T170" i="5"/>
  <c r="T172" i="5"/>
  <c r="T174" i="5"/>
  <c r="T176" i="5"/>
  <c r="T180" i="5"/>
  <c r="T182" i="5"/>
  <c r="T186" i="5"/>
  <c r="T188" i="5"/>
  <c r="T155" i="5"/>
  <c r="T157" i="5"/>
  <c r="T163" i="5"/>
  <c r="T165" i="5"/>
  <c r="T167" i="5"/>
  <c r="T169" i="5"/>
  <c r="T171" i="5"/>
  <c r="T173" i="5"/>
  <c r="T175" i="5"/>
  <c r="T177" i="5"/>
  <c r="T181" i="5"/>
  <c r="T183" i="5"/>
  <c r="T185" i="5"/>
  <c r="T187" i="5"/>
  <c r="T198" i="5"/>
  <c r="T200" i="5"/>
  <c r="T202" i="5"/>
  <c r="T206" i="5"/>
  <c r="T208" i="5"/>
  <c r="T210" i="5"/>
  <c r="T212" i="5"/>
  <c r="T214" i="5"/>
  <c r="T189" i="5"/>
  <c r="T191" i="5"/>
  <c r="T193" i="5"/>
  <c r="T195" i="5"/>
  <c r="T197" i="5"/>
  <c r="T199" i="5"/>
  <c r="T201" i="5"/>
  <c r="T205" i="5"/>
  <c r="T207" i="5"/>
  <c r="T209" i="5"/>
  <c r="T211" i="5"/>
  <c r="T213" i="5"/>
  <c r="T216" i="5"/>
  <c r="T218" i="5"/>
  <c r="T222" i="5"/>
  <c r="T224" i="5"/>
  <c r="T226" i="5"/>
  <c r="T228" i="5"/>
  <c r="T230" i="5"/>
  <c r="T232" i="5"/>
  <c r="T234" i="5"/>
  <c r="T236" i="5"/>
  <c r="T238" i="5"/>
  <c r="T240" i="5"/>
  <c r="T242" i="5"/>
  <c r="T244" i="5"/>
  <c r="T246" i="5"/>
  <c r="T248" i="5"/>
  <c r="T250" i="5"/>
  <c r="T252" i="5"/>
  <c r="T254" i="5"/>
  <c r="T256" i="5"/>
  <c r="T258" i="5"/>
  <c r="T215" i="5"/>
  <c r="T217" i="5"/>
  <c r="T219" i="5"/>
  <c r="T227" i="5"/>
  <c r="T229" i="5"/>
  <c r="T231" i="5"/>
  <c r="T233" i="5"/>
  <c r="T235" i="5"/>
  <c r="T237" i="5"/>
  <c r="T239" i="5"/>
  <c r="T241" i="5"/>
  <c r="T243" i="5"/>
  <c r="T245" i="5"/>
  <c r="T247" i="5"/>
  <c r="T249" i="5"/>
  <c r="T251" i="5"/>
  <c r="T253" i="5"/>
  <c r="T255" i="5"/>
  <c r="T257" i="5"/>
  <c r="T260" i="5"/>
  <c r="T262" i="5"/>
  <c r="T264" i="5"/>
  <c r="T266" i="5"/>
  <c r="T268" i="5"/>
  <c r="T270" i="5"/>
  <c r="T272" i="5"/>
  <c r="T276" i="5"/>
  <c r="T278" i="5"/>
  <c r="T280" i="5"/>
  <c r="T284" i="5"/>
  <c r="T286" i="5"/>
  <c r="T296" i="5"/>
  <c r="T298" i="5"/>
  <c r="T302" i="5"/>
  <c r="T304" i="5"/>
  <c r="T308" i="5"/>
  <c r="T310" i="5"/>
  <c r="T312" i="5"/>
  <c r="T314" i="5"/>
  <c r="T316" i="5"/>
  <c r="T318" i="5"/>
  <c r="T320" i="5"/>
  <c r="T322" i="5"/>
  <c r="T324" i="5"/>
  <c r="T326" i="5"/>
  <c r="T328" i="5"/>
  <c r="T330" i="5"/>
  <c r="T332" i="5"/>
  <c r="T334" i="5"/>
  <c r="T336" i="5"/>
  <c r="T338" i="5"/>
  <c r="T340" i="5"/>
  <c r="T342" i="5"/>
  <c r="T344" i="5"/>
  <c r="T346" i="5"/>
  <c r="T348" i="5"/>
  <c r="T350" i="5"/>
  <c r="T352" i="5"/>
  <c r="T354" i="5"/>
  <c r="T356" i="5"/>
  <c r="T358" i="5"/>
  <c r="T360" i="5"/>
  <c r="T362" i="5"/>
  <c r="T364" i="5"/>
  <c r="T366" i="5"/>
  <c r="T368" i="5"/>
  <c r="T370" i="5"/>
  <c r="T372" i="5"/>
  <c r="T374" i="5"/>
  <c r="T376" i="5"/>
  <c r="T378" i="5"/>
  <c r="T380" i="5"/>
  <c r="T382" i="5"/>
  <c r="T384" i="5"/>
  <c r="T386" i="5"/>
  <c r="T388" i="5"/>
  <c r="T390" i="5"/>
  <c r="T392" i="5"/>
  <c r="T394" i="5"/>
  <c r="T396" i="5"/>
  <c r="T398" i="5"/>
  <c r="T259" i="5"/>
  <c r="T261" i="5"/>
  <c r="T263" i="5"/>
  <c r="T265" i="5"/>
  <c r="T267" i="5"/>
  <c r="T269" i="5"/>
  <c r="T271" i="5"/>
  <c r="T275" i="5"/>
  <c r="T277" i="5"/>
  <c r="T279" i="5"/>
  <c r="T281" i="5"/>
  <c r="T283" i="5"/>
  <c r="T287" i="5"/>
  <c r="T289" i="5"/>
  <c r="T291" i="5"/>
  <c r="T295" i="5"/>
  <c r="T297" i="5"/>
  <c r="T301" i="5"/>
  <c r="T303" i="5"/>
  <c r="T305" i="5"/>
  <c r="T307" i="5"/>
  <c r="T309" i="5"/>
  <c r="T311" i="5"/>
  <c r="T313" i="5"/>
  <c r="T315" i="5"/>
  <c r="T317" i="5"/>
  <c r="T319" i="5"/>
  <c r="T321" i="5"/>
  <c r="T323" i="5"/>
  <c r="T325" i="5"/>
  <c r="T327" i="5"/>
  <c r="T329" i="5"/>
  <c r="T331" i="5"/>
  <c r="T333" i="5"/>
  <c r="T335" i="5"/>
  <c r="T337" i="5"/>
  <c r="T339" i="5"/>
  <c r="T341" i="5"/>
  <c r="T343" i="5"/>
  <c r="T345" i="5"/>
  <c r="T347" i="5"/>
  <c r="T349" i="5"/>
  <c r="T351" i="5"/>
  <c r="T353" i="5"/>
  <c r="T355" i="5"/>
  <c r="T357" i="5"/>
  <c r="T359" i="5"/>
  <c r="T361" i="5"/>
  <c r="T363" i="5"/>
  <c r="T365" i="5"/>
  <c r="T367" i="5"/>
  <c r="T369" i="5"/>
  <c r="T371" i="5"/>
  <c r="T373" i="5"/>
  <c r="T375" i="5"/>
  <c r="T377" i="5"/>
  <c r="T379" i="5"/>
  <c r="T381" i="5"/>
  <c r="T400" i="5"/>
  <c r="T402" i="5"/>
  <c r="T404" i="5"/>
  <c r="T406" i="5"/>
  <c r="T102" i="5"/>
  <c r="T408" i="5"/>
  <c r="T383" i="5"/>
  <c r="T385" i="5"/>
  <c r="T387" i="5"/>
  <c r="T389" i="5"/>
  <c r="T391" i="5"/>
  <c r="T393" i="5"/>
  <c r="T395" i="5"/>
  <c r="T397" i="5"/>
  <c r="T399" i="5"/>
  <c r="T401" i="5"/>
  <c r="T403" i="5"/>
  <c r="T405" i="5"/>
  <c r="T407" i="5"/>
  <c r="T409" i="5"/>
  <c r="T410" i="5"/>
  <c r="T411" i="5"/>
  <c r="T412" i="5"/>
  <c r="T413" i="5"/>
  <c r="T414" i="5"/>
  <c r="T103" i="5"/>
  <c r="T126" i="5"/>
  <c r="T203" i="5"/>
  <c r="T131" i="5"/>
  <c r="T161" i="5"/>
  <c r="T274" i="5"/>
  <c r="T282" i="5"/>
  <c r="T294" i="5"/>
  <c r="T111" i="5"/>
  <c r="T123" i="5"/>
  <c r="T129" i="5"/>
  <c r="T159" i="5"/>
  <c r="T144" i="5"/>
  <c r="T149" i="5"/>
  <c r="T290" i="5"/>
  <c r="T118" i="5"/>
  <c r="T223" i="5"/>
  <c r="T192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115" i="5"/>
  <c r="T288" i="5"/>
  <c r="T285" i="5"/>
  <c r="T293" i="5"/>
  <c r="T436" i="5"/>
  <c r="T438" i="5"/>
  <c r="T439" i="5"/>
  <c r="T184" i="5"/>
  <c r="T441" i="5"/>
  <c r="T443" i="5"/>
  <c r="T445" i="5"/>
  <c r="T135" i="5"/>
  <c r="T292" i="5"/>
  <c r="T178" i="5"/>
  <c r="T306" i="5"/>
  <c r="T273" i="5"/>
  <c r="T300" i="5"/>
  <c r="T225" i="5"/>
  <c r="T179" i="5"/>
  <c r="T299" i="5"/>
  <c r="T204" i="5"/>
  <c r="T3" i="5"/>
  <c r="T4" i="5"/>
  <c r="T57" i="5"/>
  <c r="T59" i="5"/>
  <c r="T74" i="5"/>
  <c r="T76" i="5"/>
  <c r="T78" i="5"/>
  <c r="T82" i="5"/>
  <c r="T84" i="5"/>
  <c r="T88" i="5"/>
  <c r="T10" i="5"/>
  <c r="T73" i="5"/>
  <c r="T75" i="5"/>
  <c r="T77" i="5"/>
  <c r="T79" i="5"/>
  <c r="T81" i="5"/>
  <c r="T83" i="5"/>
  <c r="T85" i="5"/>
  <c r="T86" i="5"/>
  <c r="T87" i="5"/>
  <c r="T58" i="5"/>
  <c r="T60" i="5"/>
  <c r="T440" i="5"/>
  <c r="T442" i="5"/>
  <c r="T444" i="5"/>
  <c r="T446" i="5"/>
  <c r="T447" i="5"/>
  <c r="T437" i="5"/>
  <c r="Q12" i="2"/>
  <c r="Q13" i="2"/>
  <c r="R13" i="2" s="1"/>
  <c r="Q14" i="2"/>
  <c r="Q15" i="2"/>
  <c r="R15" i="2" s="1"/>
  <c r="Q16" i="2"/>
  <c r="Q17" i="2"/>
  <c r="R17" i="2" s="1"/>
  <c r="Q18" i="2"/>
  <c r="Q19" i="2"/>
  <c r="R19" i="2" s="1"/>
  <c r="Q20" i="2"/>
  <c r="Q21" i="2"/>
  <c r="R21" i="2" s="1"/>
  <c r="Q22" i="2"/>
  <c r="Q23" i="2"/>
  <c r="R23" i="2" s="1"/>
  <c r="Q24" i="2"/>
  <c r="Q25" i="2"/>
  <c r="R25" i="2" s="1"/>
  <c r="Q26" i="2"/>
  <c r="Q27" i="2"/>
  <c r="R27" i="2" s="1"/>
  <c r="Q28" i="2"/>
  <c r="Q29" i="2"/>
  <c r="R29" i="2" s="1"/>
  <c r="Q30" i="2"/>
  <c r="Q31" i="2"/>
  <c r="R31" i="2" s="1"/>
  <c r="Q32" i="2"/>
  <c r="Q33" i="2"/>
  <c r="R33" i="2" s="1"/>
  <c r="Q34" i="2"/>
  <c r="Q35" i="2"/>
  <c r="R35" i="2" s="1"/>
  <c r="Q36" i="2"/>
  <c r="Q37" i="2"/>
  <c r="R37" i="2" s="1"/>
  <c r="Q38" i="2"/>
  <c r="Q39" i="2"/>
  <c r="R39" i="2" s="1"/>
  <c r="Q40" i="2"/>
  <c r="Q41" i="2"/>
  <c r="R41" i="2" s="1"/>
  <c r="Q42" i="2"/>
  <c r="Q43" i="2"/>
  <c r="R43" i="2" s="1"/>
  <c r="Q44" i="2"/>
  <c r="Q45" i="2"/>
  <c r="R45" i="2" s="1"/>
  <c r="Q46" i="2"/>
  <c r="Q47" i="2"/>
  <c r="R47" i="2" s="1"/>
  <c r="Q48" i="2"/>
  <c r="Q49" i="2"/>
  <c r="R49" i="2" s="1"/>
  <c r="Q50" i="2"/>
  <c r="Q51" i="2"/>
  <c r="R51" i="2" s="1"/>
  <c r="Q52" i="2"/>
  <c r="Q53" i="2"/>
  <c r="R53" i="2" s="1"/>
  <c r="Q54" i="2"/>
  <c r="Q55" i="2"/>
  <c r="R55" i="2" s="1"/>
  <c r="Q56" i="2"/>
  <c r="Q57" i="2"/>
  <c r="R57" i="2" s="1"/>
  <c r="Q58" i="2"/>
  <c r="Q59" i="2"/>
  <c r="R59" i="2" s="1"/>
  <c r="Q60" i="2"/>
  <c r="Q61" i="2"/>
  <c r="R61" i="2" s="1"/>
  <c r="Q62" i="2"/>
  <c r="Q63" i="2"/>
  <c r="R63" i="2" s="1"/>
  <c r="Q64" i="2"/>
  <c r="Q65" i="2"/>
  <c r="R65" i="2" s="1"/>
  <c r="Q66" i="2"/>
  <c r="R66" i="2" s="1"/>
  <c r="Q67" i="2"/>
  <c r="R67" i="2" s="1"/>
  <c r="Q68" i="2"/>
  <c r="R68" i="2" s="1"/>
  <c r="Q69" i="2"/>
  <c r="R69" i="2" s="1"/>
  <c r="Q70" i="2"/>
  <c r="R70" i="2" s="1"/>
  <c r="Q71" i="2"/>
  <c r="Q72" i="2"/>
  <c r="Q73" i="2"/>
  <c r="Q74" i="2"/>
  <c r="R74" i="2" s="1"/>
  <c r="Q75" i="2"/>
  <c r="R75" i="2" s="1"/>
  <c r="Q76" i="2"/>
  <c r="R76" i="2" s="1"/>
  <c r="Q77" i="2"/>
  <c r="R77" i="2" s="1"/>
  <c r="Q78" i="2"/>
  <c r="R78" i="2" s="1"/>
  <c r="Q79" i="2"/>
  <c r="R79" i="2" s="1"/>
  <c r="Q80" i="2"/>
  <c r="R80" i="2" s="1"/>
  <c r="Q81" i="2"/>
  <c r="Q82" i="2"/>
  <c r="R82" i="2" s="1"/>
  <c r="Q83" i="2"/>
  <c r="R83" i="2" s="1"/>
  <c r="Q84" i="2"/>
  <c r="Q85" i="2"/>
  <c r="R85" i="2" s="1"/>
  <c r="Q86" i="2"/>
  <c r="Q87" i="2"/>
  <c r="R87" i="2" s="1"/>
  <c r="Q88" i="2"/>
  <c r="Q89" i="2"/>
  <c r="R89" i="2" s="1"/>
  <c r="Q90" i="2"/>
  <c r="Q91" i="2"/>
  <c r="R91" i="2" s="1"/>
  <c r="Q92" i="2"/>
  <c r="R92" i="2" s="1"/>
  <c r="Q93" i="2"/>
  <c r="R93" i="2" s="1"/>
  <c r="Q94" i="2"/>
  <c r="R94" i="2" s="1"/>
  <c r="Q95" i="2"/>
  <c r="R95" i="2" s="1"/>
  <c r="Q96" i="2"/>
  <c r="Q97" i="2"/>
  <c r="R97" i="2" s="1"/>
  <c r="Q98" i="2"/>
  <c r="Q99" i="2"/>
  <c r="R99" i="2" s="1"/>
  <c r="Q100" i="2"/>
  <c r="Q101" i="2"/>
  <c r="R101" i="2" s="1"/>
  <c r="Q102" i="2"/>
  <c r="Q103" i="2"/>
  <c r="R103" i="2" s="1"/>
  <c r="Q104" i="2"/>
  <c r="R104" i="2" s="1"/>
  <c r="Q3" i="2"/>
  <c r="R3" i="2" s="1"/>
  <c r="Q4" i="2"/>
  <c r="Q5" i="2"/>
  <c r="R5" i="2" s="1"/>
  <c r="Q6" i="2"/>
  <c r="Q7" i="2"/>
  <c r="R7" i="2" s="1"/>
  <c r="Q8" i="2"/>
  <c r="Q9" i="2"/>
  <c r="R9" i="2" s="1"/>
  <c r="Q105" i="2"/>
  <c r="R105" i="2" s="1"/>
  <c r="Q106" i="2"/>
  <c r="R106" i="2" s="1"/>
  <c r="Q107" i="2"/>
  <c r="R107" i="2" s="1"/>
  <c r="Q108" i="2"/>
  <c r="R108" i="2" s="1"/>
  <c r="Q109" i="2"/>
  <c r="Q110" i="2"/>
  <c r="R110" i="2" s="1"/>
  <c r="Q111" i="2"/>
  <c r="Q112" i="2"/>
  <c r="R112" i="2" s="1"/>
  <c r="Q113" i="2"/>
  <c r="Q114" i="2"/>
  <c r="R114" i="2" s="1"/>
  <c r="Q115" i="2"/>
  <c r="Q116" i="2"/>
  <c r="Q117" i="2"/>
  <c r="R117" i="2" s="1"/>
  <c r="Q118" i="2"/>
  <c r="R118" i="2" s="1"/>
  <c r="Q119" i="2"/>
  <c r="R119" i="2" s="1"/>
  <c r="Q120" i="2"/>
  <c r="R120" i="2" s="1"/>
  <c r="Q121" i="2"/>
  <c r="Q122" i="2"/>
  <c r="R122" i="2" s="1"/>
  <c r="Q123" i="2"/>
  <c r="R123" i="2" s="1"/>
  <c r="Q124" i="2"/>
  <c r="R124" i="2" s="1"/>
  <c r="Q125" i="2"/>
  <c r="R125" i="2" s="1"/>
  <c r="Q126" i="2"/>
  <c r="R126" i="2" s="1"/>
  <c r="Q127" i="2"/>
  <c r="R127" i="2" s="1"/>
  <c r="Q128" i="2"/>
  <c r="Q129" i="2"/>
  <c r="R129" i="2" s="1"/>
  <c r="Q130" i="2"/>
  <c r="Q131" i="2"/>
  <c r="R131" i="2" s="1"/>
  <c r="Q132" i="2"/>
  <c r="Q133" i="2"/>
  <c r="R133" i="2" s="1"/>
  <c r="Q134" i="2"/>
  <c r="Q135" i="2"/>
  <c r="R135" i="2" s="1"/>
  <c r="Q136" i="2"/>
  <c r="R136" i="2" s="1"/>
  <c r="Q137" i="2"/>
  <c r="R137" i="2" s="1"/>
  <c r="Q138" i="2"/>
  <c r="R138" i="2" s="1"/>
  <c r="Q139" i="2"/>
  <c r="Q140" i="2"/>
  <c r="R140" i="2" s="1"/>
  <c r="Q141" i="2"/>
  <c r="R141" i="2" s="1"/>
  <c r="Q142" i="2"/>
  <c r="Q143" i="2"/>
  <c r="R143" i="2" s="1"/>
  <c r="Q144" i="2"/>
  <c r="Q145" i="2"/>
  <c r="R145" i="2" s="1"/>
  <c r="Q146" i="2"/>
  <c r="R146" i="2" s="1"/>
  <c r="Q147" i="2"/>
  <c r="R147" i="2" s="1"/>
  <c r="Q148" i="2"/>
  <c r="R148" i="2" s="1"/>
  <c r="Q149" i="2"/>
  <c r="R149" i="2" s="1"/>
  <c r="Q150" i="2"/>
  <c r="R150" i="2" s="1"/>
  <c r="Q151" i="2"/>
  <c r="R151" i="2" s="1"/>
  <c r="Q152" i="2"/>
  <c r="R152" i="2" s="1"/>
  <c r="Q153" i="2"/>
  <c r="R153" i="2" s="1"/>
  <c r="Q154" i="2"/>
  <c r="Q155" i="2"/>
  <c r="R155" i="2" s="1"/>
  <c r="Q156" i="2"/>
  <c r="Q157" i="2"/>
  <c r="R157" i="2" s="1"/>
  <c r="Q158" i="2"/>
  <c r="R158" i="2" s="1"/>
  <c r="Q159" i="2"/>
  <c r="R159" i="2" s="1"/>
  <c r="Q160" i="2"/>
  <c r="Q161" i="2"/>
  <c r="R161" i="2" s="1"/>
  <c r="Q162" i="2"/>
  <c r="R162" i="2" s="1"/>
  <c r="Q163" i="2"/>
  <c r="R163" i="2" s="1"/>
  <c r="Q164" i="2"/>
  <c r="R164" i="2" s="1"/>
  <c r="Q165" i="2"/>
  <c r="R165" i="2" s="1"/>
  <c r="Q166" i="2"/>
  <c r="R166" i="2" s="1"/>
  <c r="Q167" i="2"/>
  <c r="R167" i="2" s="1"/>
  <c r="Q168" i="2"/>
  <c r="R168" i="2" s="1"/>
  <c r="Q169" i="2"/>
  <c r="R169" i="2" s="1"/>
  <c r="Q170" i="2"/>
  <c r="R170" i="2" s="1"/>
  <c r="Q171" i="2"/>
  <c r="R171" i="2" s="1"/>
  <c r="Q172" i="2"/>
  <c r="R172" i="2" s="1"/>
  <c r="Q173" i="2"/>
  <c r="R173" i="2" s="1"/>
  <c r="Q174" i="2"/>
  <c r="R174" i="2" s="1"/>
  <c r="Q175" i="2"/>
  <c r="R175" i="2" s="1"/>
  <c r="Q176" i="2"/>
  <c r="R176" i="2" s="1"/>
  <c r="Q177" i="2"/>
  <c r="R177" i="2" s="1"/>
  <c r="Q428" i="2"/>
  <c r="R428" i="2" s="1"/>
  <c r="Q429" i="2"/>
  <c r="R429" i="2" s="1"/>
  <c r="Q430" i="2"/>
  <c r="R430" i="2" s="1"/>
  <c r="Q431" i="2"/>
  <c r="R431" i="2" s="1"/>
  <c r="Q432" i="2"/>
  <c r="R432" i="2" s="1"/>
  <c r="Q433" i="2"/>
  <c r="R433" i="2" s="1"/>
  <c r="Q434" i="2"/>
  <c r="R434" i="2" s="1"/>
  <c r="Q435" i="2"/>
  <c r="R435" i="2" s="1"/>
  <c r="Q436" i="2"/>
  <c r="R436" i="2" s="1"/>
  <c r="Q437" i="2"/>
  <c r="R437" i="2" s="1"/>
  <c r="Q438" i="2"/>
  <c r="R438" i="2" s="1"/>
  <c r="Q439" i="2"/>
  <c r="R439" i="2" s="1"/>
  <c r="Q440" i="2"/>
  <c r="R440" i="2" s="1"/>
  <c r="Q441" i="2"/>
  <c r="R441" i="2" s="1"/>
  <c r="Q442" i="2"/>
  <c r="R442" i="2" s="1"/>
  <c r="Q443" i="2"/>
  <c r="R443" i="2" s="1"/>
  <c r="Q444" i="2"/>
  <c r="R444" i="2" s="1"/>
  <c r="Q445" i="2"/>
  <c r="R445" i="2" s="1"/>
  <c r="Q446" i="2"/>
  <c r="R446" i="2" s="1"/>
  <c r="Q447" i="2"/>
  <c r="R447" i="2" s="1"/>
  <c r="Q448" i="2"/>
  <c r="R448" i="2" s="1"/>
  <c r="Q449" i="2"/>
  <c r="R449" i="2" s="1"/>
  <c r="Q450" i="2"/>
  <c r="R450" i="2" s="1"/>
  <c r="Q451" i="2"/>
  <c r="R451" i="2" s="1"/>
  <c r="Q452" i="2"/>
  <c r="R452" i="2" s="1"/>
  <c r="Q453" i="2"/>
  <c r="R453" i="2" s="1"/>
  <c r="Q454" i="2"/>
  <c r="R454" i="2" s="1"/>
  <c r="Q455" i="2"/>
  <c r="R455" i="2" s="1"/>
  <c r="Q456" i="2"/>
  <c r="R456" i="2" s="1"/>
  <c r="Q457" i="2"/>
  <c r="R457" i="2" s="1"/>
  <c r="Q458" i="2"/>
  <c r="R458" i="2" s="1"/>
  <c r="Q459" i="2"/>
  <c r="R459" i="2" s="1"/>
  <c r="Q460" i="2"/>
  <c r="R460" i="2" s="1"/>
  <c r="Q461" i="2"/>
  <c r="R461" i="2" s="1"/>
  <c r="Q462" i="2"/>
  <c r="R462" i="2" s="1"/>
  <c r="Q463" i="2"/>
  <c r="R463" i="2" s="1"/>
  <c r="Q464" i="2"/>
  <c r="R464" i="2" s="1"/>
  <c r="Q465" i="2"/>
  <c r="R465" i="2" s="1"/>
  <c r="Q466" i="2"/>
  <c r="R466" i="2" s="1"/>
  <c r="Q467" i="2"/>
  <c r="R467" i="2" s="1"/>
  <c r="Q468" i="2"/>
  <c r="R468" i="2" s="1"/>
  <c r="Q469" i="2"/>
  <c r="R469" i="2" s="1"/>
  <c r="Q470" i="2"/>
  <c r="R470" i="2" s="1"/>
  <c r="Q471" i="2"/>
  <c r="R471" i="2" s="1"/>
  <c r="Q472" i="2"/>
  <c r="R472" i="2" s="1"/>
  <c r="Q473" i="2"/>
  <c r="R473" i="2" s="1"/>
  <c r="Q474" i="2"/>
  <c r="R474" i="2" s="1"/>
  <c r="Q475" i="2"/>
  <c r="R475" i="2" s="1"/>
  <c r="Q476" i="2"/>
  <c r="R476" i="2" s="1"/>
  <c r="Q477" i="2"/>
  <c r="R477" i="2" s="1"/>
  <c r="Q478" i="2"/>
  <c r="R478" i="2" s="1"/>
  <c r="Q479" i="2"/>
  <c r="R479" i="2" s="1"/>
  <c r="Q480" i="2"/>
  <c r="R480" i="2" s="1"/>
  <c r="Q481" i="2"/>
  <c r="R481" i="2" s="1"/>
  <c r="Q482" i="2"/>
  <c r="R482" i="2" s="1"/>
  <c r="Q483" i="2"/>
  <c r="R483" i="2" s="1"/>
  <c r="Q484" i="2"/>
  <c r="R484" i="2" s="1"/>
  <c r="Q485" i="2"/>
  <c r="R485" i="2" s="1"/>
  <c r="Q486" i="2"/>
  <c r="R486" i="2" s="1"/>
  <c r="Q487" i="2"/>
  <c r="R487" i="2" s="1"/>
  <c r="Q488" i="2"/>
  <c r="R488" i="2" s="1"/>
  <c r="Q489" i="2"/>
  <c r="R489" i="2" s="1"/>
  <c r="Q490" i="2"/>
  <c r="R490" i="2" s="1"/>
  <c r="Q491" i="2"/>
  <c r="R491" i="2" s="1"/>
  <c r="Q492" i="2"/>
  <c r="R492" i="2" s="1"/>
  <c r="Q493" i="2"/>
  <c r="R493" i="2" s="1"/>
  <c r="Q494" i="2"/>
  <c r="R494" i="2" s="1"/>
  <c r="Q495" i="2"/>
  <c r="R495" i="2" s="1"/>
  <c r="Q496" i="2"/>
  <c r="R496" i="2" s="1"/>
  <c r="Q497" i="2"/>
  <c r="R497" i="2" s="1"/>
  <c r="Q498" i="2"/>
  <c r="R498" i="2" s="1"/>
  <c r="Q499" i="2"/>
  <c r="R499" i="2" s="1"/>
  <c r="Q500" i="2"/>
  <c r="R500" i="2" s="1"/>
  <c r="Q501" i="2"/>
  <c r="R501" i="2" s="1"/>
  <c r="Q502" i="2"/>
  <c r="R502" i="2" s="1"/>
  <c r="Q503" i="2"/>
  <c r="R503" i="2" s="1"/>
  <c r="Q504" i="2"/>
  <c r="R504" i="2" s="1"/>
  <c r="Q505" i="2"/>
  <c r="R505" i="2" s="1"/>
  <c r="Q506" i="2"/>
  <c r="R506" i="2" s="1"/>
  <c r="Q507" i="2"/>
  <c r="R507" i="2" s="1"/>
  <c r="Q508" i="2"/>
  <c r="R508" i="2" s="1"/>
  <c r="Q509" i="2"/>
  <c r="R509" i="2" s="1"/>
  <c r="Q510" i="2"/>
  <c r="R510" i="2" s="1"/>
  <c r="Q511" i="2"/>
  <c r="R511" i="2" s="1"/>
  <c r="Q512" i="2"/>
  <c r="R512" i="2" s="1"/>
  <c r="Q513" i="2"/>
  <c r="R513" i="2" s="1"/>
  <c r="Q514" i="2"/>
  <c r="R514" i="2" s="1"/>
  <c r="Q515" i="2"/>
  <c r="R515" i="2" s="1"/>
  <c r="Q516" i="2"/>
  <c r="R516" i="2" s="1"/>
  <c r="Q517" i="2"/>
  <c r="R517" i="2" s="1"/>
  <c r="Q518" i="2"/>
  <c r="R518" i="2" s="1"/>
  <c r="Q519" i="2"/>
  <c r="R519" i="2" s="1"/>
  <c r="Q520" i="2"/>
  <c r="R520" i="2" s="1"/>
  <c r="Q521" i="2"/>
  <c r="R521" i="2" s="1"/>
  <c r="Q522" i="2"/>
  <c r="R522" i="2" s="1"/>
  <c r="Q523" i="2"/>
  <c r="R523" i="2" s="1"/>
  <c r="Q524" i="2"/>
  <c r="R524" i="2" s="1"/>
  <c r="Q525" i="2"/>
  <c r="R525" i="2" s="1"/>
  <c r="Q526" i="2"/>
  <c r="R526" i="2" s="1"/>
  <c r="Q527" i="2"/>
  <c r="R527" i="2" s="1"/>
  <c r="Q528" i="2"/>
  <c r="R528" i="2" s="1"/>
  <c r="Q529" i="2"/>
  <c r="R529" i="2" s="1"/>
  <c r="Q530" i="2"/>
  <c r="R530" i="2" s="1"/>
  <c r="Q531" i="2"/>
  <c r="R531" i="2" s="1"/>
  <c r="Q532" i="2"/>
  <c r="R532" i="2" s="1"/>
  <c r="Q533" i="2"/>
  <c r="R533" i="2" s="1"/>
  <c r="Q534" i="2"/>
  <c r="R534" i="2" s="1"/>
  <c r="Q535" i="2"/>
  <c r="R535" i="2" s="1"/>
  <c r="Q536" i="2"/>
  <c r="R536" i="2" s="1"/>
  <c r="Q537" i="2"/>
  <c r="R537" i="2" s="1"/>
  <c r="Q538" i="2"/>
  <c r="R538" i="2" s="1"/>
  <c r="Q539" i="2"/>
  <c r="R539" i="2" s="1"/>
  <c r="Q540" i="2"/>
  <c r="R540" i="2" s="1"/>
  <c r="Q541" i="2"/>
  <c r="R541" i="2" s="1"/>
  <c r="Q542" i="2"/>
  <c r="Q543" i="2"/>
  <c r="Q544" i="2"/>
  <c r="Q545" i="2"/>
  <c r="Q546" i="2"/>
  <c r="Q547" i="2"/>
  <c r="Q548" i="2"/>
  <c r="Q549" i="2"/>
  <c r="Q11" i="2"/>
  <c r="O12" i="2"/>
  <c r="O13" i="2"/>
  <c r="P13" i="2" s="1"/>
  <c r="O14" i="2"/>
  <c r="O15" i="2"/>
  <c r="P15" i="2" s="1"/>
  <c r="O16" i="2"/>
  <c r="O17" i="2"/>
  <c r="P17" i="2" s="1"/>
  <c r="O18" i="2"/>
  <c r="O19" i="2"/>
  <c r="P19" i="2" s="1"/>
  <c r="O20" i="2"/>
  <c r="O21" i="2"/>
  <c r="P21" i="2" s="1"/>
  <c r="O22" i="2"/>
  <c r="O23" i="2"/>
  <c r="P23" i="2" s="1"/>
  <c r="O24" i="2"/>
  <c r="P24" i="2" s="1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P38" i="2" s="1"/>
  <c r="O39" i="2"/>
  <c r="P39" i="2" s="1"/>
  <c r="O40" i="2"/>
  <c r="O41" i="2"/>
  <c r="P41" i="2" s="1"/>
  <c r="O42" i="2"/>
  <c r="O43" i="2"/>
  <c r="P43" i="2" s="1"/>
  <c r="O44" i="2"/>
  <c r="O45" i="2"/>
  <c r="P45" i="2" s="1"/>
  <c r="O46" i="2"/>
  <c r="O47" i="2"/>
  <c r="P47" i="2" s="1"/>
  <c r="O48" i="2"/>
  <c r="O49" i="2"/>
  <c r="P49" i="2" s="1"/>
  <c r="O50" i="2"/>
  <c r="O51" i="2"/>
  <c r="P51" i="2" s="1"/>
  <c r="O52" i="2"/>
  <c r="O53" i="2"/>
  <c r="P53" i="2" s="1"/>
  <c r="O54" i="2"/>
  <c r="O55" i="2"/>
  <c r="P55" i="2" s="1"/>
  <c r="O56" i="2"/>
  <c r="O57" i="2"/>
  <c r="P57" i="2" s="1"/>
  <c r="O58" i="2"/>
  <c r="O59" i="2"/>
  <c r="P59" i="2" s="1"/>
  <c r="O60" i="2"/>
  <c r="O61" i="2"/>
  <c r="P61" i="2" s="1"/>
  <c r="O62" i="2"/>
  <c r="O63" i="2"/>
  <c r="P63" i="2" s="1"/>
  <c r="O64" i="2"/>
  <c r="O65" i="2"/>
  <c r="P65" i="2" s="1"/>
  <c r="O66" i="2"/>
  <c r="O67" i="2"/>
  <c r="P67" i="2" s="1"/>
  <c r="O68" i="2"/>
  <c r="O69" i="2"/>
  <c r="O70" i="2"/>
  <c r="O71" i="2"/>
  <c r="O72" i="2"/>
  <c r="O73" i="2"/>
  <c r="O74" i="2"/>
  <c r="O75" i="2"/>
  <c r="P75" i="2" s="1"/>
  <c r="O76" i="2"/>
  <c r="O77" i="2"/>
  <c r="P77" i="2" s="1"/>
  <c r="O78" i="2"/>
  <c r="O79" i="2"/>
  <c r="O80" i="2"/>
  <c r="O81" i="2"/>
  <c r="O82" i="2"/>
  <c r="O83" i="2"/>
  <c r="O84" i="2"/>
  <c r="O85" i="2"/>
  <c r="O86" i="2"/>
  <c r="P86" i="2" s="1"/>
  <c r="O87" i="2"/>
  <c r="P87" i="2" s="1"/>
  <c r="O88" i="2"/>
  <c r="P88" i="2" s="1"/>
  <c r="O89" i="2"/>
  <c r="P89" i="2" s="1"/>
  <c r="O90" i="2"/>
  <c r="P90" i="2" s="1"/>
  <c r="O91" i="2"/>
  <c r="P91" i="2" s="1"/>
  <c r="O92" i="2"/>
  <c r="O93" i="2"/>
  <c r="P93" i="2" s="1"/>
  <c r="O94" i="2"/>
  <c r="O95" i="2"/>
  <c r="P95" i="2" s="1"/>
  <c r="O96" i="2"/>
  <c r="O97" i="2"/>
  <c r="P97" i="2" s="1"/>
  <c r="O98" i="2"/>
  <c r="O99" i="2"/>
  <c r="P99" i="2" s="1"/>
  <c r="O100" i="2"/>
  <c r="O101" i="2"/>
  <c r="P101" i="2" s="1"/>
  <c r="O102" i="2"/>
  <c r="O103" i="2"/>
  <c r="P103" i="2" s="1"/>
  <c r="O104" i="2"/>
  <c r="P104" i="2" s="1"/>
  <c r="O4" i="2"/>
  <c r="P4" i="2" s="1"/>
  <c r="O5" i="2"/>
  <c r="P5" i="2" s="1"/>
  <c r="O6" i="2"/>
  <c r="P6" i="2" s="1"/>
  <c r="O7" i="2"/>
  <c r="P7" i="2" s="1"/>
  <c r="O8" i="2"/>
  <c r="O9" i="2"/>
  <c r="P9" i="2" s="1"/>
  <c r="O105" i="2"/>
  <c r="P105" i="2" s="1"/>
  <c r="O106" i="2"/>
  <c r="P106" i="2" s="1"/>
  <c r="O107" i="2"/>
  <c r="P107" i="2" s="1"/>
  <c r="O108" i="2"/>
  <c r="O109" i="2"/>
  <c r="P109" i="2" s="1"/>
  <c r="O110" i="2"/>
  <c r="P110" i="2" s="1"/>
  <c r="O111" i="2"/>
  <c r="P111" i="2" s="1"/>
  <c r="O112" i="2"/>
  <c r="O113" i="2"/>
  <c r="P113" i="2" s="1"/>
  <c r="O114" i="2"/>
  <c r="P114" i="2" s="1"/>
  <c r="O115" i="2"/>
  <c r="P115" i="2" s="1"/>
  <c r="O116" i="2"/>
  <c r="O117" i="2"/>
  <c r="P117" i="2" s="1"/>
  <c r="O118" i="2"/>
  <c r="P118" i="2" s="1"/>
  <c r="O119" i="2"/>
  <c r="O120" i="2"/>
  <c r="P120" i="2" s="1"/>
  <c r="O121" i="2"/>
  <c r="P121" i="2" s="1"/>
  <c r="O122" i="2"/>
  <c r="P122" i="2" s="1"/>
  <c r="O123" i="2"/>
  <c r="P123" i="2" s="1"/>
  <c r="O124" i="2"/>
  <c r="O125" i="2"/>
  <c r="P125" i="2" s="1"/>
  <c r="O126" i="2"/>
  <c r="P126" i="2" s="1"/>
  <c r="O127" i="2"/>
  <c r="P127" i="2" s="1"/>
  <c r="O128" i="2"/>
  <c r="P128" i="2" s="1"/>
  <c r="O129" i="2"/>
  <c r="P129" i="2" s="1"/>
  <c r="O130" i="2"/>
  <c r="P130" i="2" s="1"/>
  <c r="O131" i="2"/>
  <c r="O132" i="2"/>
  <c r="P132" i="2" s="1"/>
  <c r="O133" i="2"/>
  <c r="P133" i="2" s="1"/>
  <c r="O134" i="2"/>
  <c r="P134" i="2" s="1"/>
  <c r="O135" i="2"/>
  <c r="O136" i="2"/>
  <c r="P136" i="2" s="1"/>
  <c r="O137" i="2"/>
  <c r="P137" i="2" s="1"/>
  <c r="O138" i="2"/>
  <c r="P138" i="2" s="1"/>
  <c r="O139" i="2"/>
  <c r="O140" i="2"/>
  <c r="P140" i="2" s="1"/>
  <c r="O141" i="2"/>
  <c r="P141" i="2" s="1"/>
  <c r="O142" i="2"/>
  <c r="P142" i="2" s="1"/>
  <c r="O143" i="2"/>
  <c r="O144" i="2"/>
  <c r="P144" i="2" s="1"/>
  <c r="O145" i="2"/>
  <c r="P145" i="2" s="1"/>
  <c r="O146" i="2"/>
  <c r="P146" i="2" s="1"/>
  <c r="O147" i="2"/>
  <c r="P147" i="2" s="1"/>
  <c r="O148" i="2"/>
  <c r="P148" i="2" s="1"/>
  <c r="O149" i="2"/>
  <c r="O150" i="2"/>
  <c r="P150" i="2" s="1"/>
  <c r="O151" i="2"/>
  <c r="P151" i="2" s="1"/>
  <c r="O152" i="2"/>
  <c r="P152" i="2" s="1"/>
  <c r="O153" i="2"/>
  <c r="O154" i="2"/>
  <c r="P154" i="2" s="1"/>
  <c r="O155" i="2"/>
  <c r="P155" i="2" s="1"/>
  <c r="O156" i="2"/>
  <c r="P156" i="2" s="1"/>
  <c r="O157" i="2"/>
  <c r="O158" i="2"/>
  <c r="O159" i="2"/>
  <c r="O160" i="2"/>
  <c r="O161" i="2"/>
  <c r="O162" i="2"/>
  <c r="O163" i="2"/>
  <c r="O164" i="2"/>
  <c r="P164" i="2" s="1"/>
  <c r="O165" i="2"/>
  <c r="P165" i="2" s="1"/>
  <c r="O166" i="2"/>
  <c r="P166" i="2" s="1"/>
  <c r="O167" i="2"/>
  <c r="P167" i="2" s="1"/>
  <c r="O168" i="2"/>
  <c r="P168" i="2" s="1"/>
  <c r="O169" i="2"/>
  <c r="P169" i="2" s="1"/>
  <c r="O170" i="2"/>
  <c r="P170" i="2" s="1"/>
  <c r="O171" i="2"/>
  <c r="O172" i="2"/>
  <c r="P172" i="2" s="1"/>
  <c r="O173" i="2"/>
  <c r="P173" i="2" s="1"/>
  <c r="O174" i="2"/>
  <c r="P174" i="2" s="1"/>
  <c r="O175" i="2"/>
  <c r="O176" i="2"/>
  <c r="P176" i="2" s="1"/>
  <c r="O177" i="2"/>
  <c r="P177" i="2" s="1"/>
  <c r="O178" i="2"/>
  <c r="P178" i="2" s="1"/>
  <c r="O179" i="2"/>
  <c r="P179" i="2" s="1"/>
  <c r="P544" i="2"/>
  <c r="P546" i="2"/>
  <c r="O548" i="2"/>
  <c r="P548" i="2" s="1"/>
  <c r="O549" i="2"/>
  <c r="O11" i="2"/>
  <c r="P11" i="2" s="1"/>
  <c r="M13" i="2"/>
  <c r="N13" i="2" s="1"/>
  <c r="M14" i="2"/>
  <c r="M15" i="2"/>
  <c r="N15" i="2" s="1"/>
  <c r="M16" i="2"/>
  <c r="M18" i="2"/>
  <c r="N18" i="2" s="1"/>
  <c r="M19" i="2"/>
  <c r="N19" i="2" s="1"/>
  <c r="M20" i="2"/>
  <c r="N20" i="2" s="1"/>
  <c r="M21" i="2"/>
  <c r="N21" i="2" s="1"/>
  <c r="M22" i="2"/>
  <c r="M23" i="2"/>
  <c r="N23" i="2" s="1"/>
  <c r="M24" i="2"/>
  <c r="N24" i="2" s="1"/>
  <c r="M25" i="2"/>
  <c r="N25" i="2" s="1"/>
  <c r="M26" i="2"/>
  <c r="M28" i="2"/>
  <c r="N28" i="2" s="1"/>
  <c r="M29" i="2"/>
  <c r="N29" i="2" s="1"/>
  <c r="M30" i="2"/>
  <c r="M31" i="2"/>
  <c r="N31" i="2" s="1"/>
  <c r="M32" i="2"/>
  <c r="N32" i="2" s="1"/>
  <c r="M33" i="2"/>
  <c r="M34" i="2"/>
  <c r="N34" i="2" s="1"/>
  <c r="M35" i="2"/>
  <c r="N35" i="2" s="1"/>
  <c r="M36" i="2"/>
  <c r="N36" i="2" s="1"/>
  <c r="M39" i="2"/>
  <c r="M40" i="2"/>
  <c r="N40" i="2" s="1"/>
  <c r="M41" i="2"/>
  <c r="N41" i="2" s="1"/>
  <c r="M42" i="2"/>
  <c r="M43" i="2"/>
  <c r="N43" i="2" s="1"/>
  <c r="M44" i="2"/>
  <c r="M45" i="2"/>
  <c r="N45" i="2" s="1"/>
  <c r="M46" i="2"/>
  <c r="N46" i="2" s="1"/>
  <c r="M47" i="2"/>
  <c r="N47" i="2" s="1"/>
  <c r="M48" i="2"/>
  <c r="N48" i="2" s="1"/>
  <c r="M49" i="2"/>
  <c r="M50" i="2"/>
  <c r="N50" i="2" s="1"/>
  <c r="M51" i="2"/>
  <c r="N51" i="2" s="1"/>
  <c r="M52" i="2"/>
  <c r="N52" i="2" s="1"/>
  <c r="M53" i="2"/>
  <c r="N53" i="2" s="1"/>
  <c r="M54" i="2"/>
  <c r="N54" i="2" s="1"/>
  <c r="M55" i="2"/>
  <c r="N55" i="2" s="1"/>
  <c r="M56" i="2"/>
  <c r="M57" i="2"/>
  <c r="N57" i="2" s="1"/>
  <c r="M58" i="2"/>
  <c r="M59" i="2"/>
  <c r="N59" i="2" s="1"/>
  <c r="M60" i="2"/>
  <c r="M61" i="2"/>
  <c r="N61" i="2" s="1"/>
  <c r="M62" i="2"/>
  <c r="M63" i="2"/>
  <c r="N63" i="2" s="1"/>
  <c r="M64" i="2"/>
  <c r="M65" i="2"/>
  <c r="N65" i="2" s="1"/>
  <c r="M66" i="2"/>
  <c r="N66" i="2" s="1"/>
  <c r="M67" i="2"/>
  <c r="N67" i="2" s="1"/>
  <c r="M68" i="2"/>
  <c r="N68" i="2" s="1"/>
  <c r="M69" i="2"/>
  <c r="N69" i="2" s="1"/>
  <c r="M70" i="2"/>
  <c r="N70" i="2" s="1"/>
  <c r="M71" i="2"/>
  <c r="N71" i="2" s="1"/>
  <c r="M72" i="2"/>
  <c r="N72" i="2" s="1"/>
  <c r="M73" i="2"/>
  <c r="N73" i="2" s="1"/>
  <c r="M74" i="2"/>
  <c r="N74" i="2" s="1"/>
  <c r="M75" i="2"/>
  <c r="M76" i="2"/>
  <c r="N76" i="2" s="1"/>
  <c r="M77" i="2"/>
  <c r="N77" i="2" s="1"/>
  <c r="M78" i="2"/>
  <c r="N78" i="2" s="1"/>
  <c r="M79" i="2"/>
  <c r="N79" i="2" s="1"/>
  <c r="M80" i="2"/>
  <c r="N80" i="2" s="1"/>
  <c r="M81" i="2"/>
  <c r="N81" i="2" s="1"/>
  <c r="M82" i="2"/>
  <c r="N82" i="2" s="1"/>
  <c r="M83" i="2"/>
  <c r="M84" i="2"/>
  <c r="N84" i="2" s="1"/>
  <c r="M85" i="2"/>
  <c r="N85" i="2" s="1"/>
  <c r="M86" i="2"/>
  <c r="N86" i="2" s="1"/>
  <c r="M87" i="2"/>
  <c r="N87" i="2" s="1"/>
  <c r="M88" i="2"/>
  <c r="N88" i="2" s="1"/>
  <c r="M90" i="2"/>
  <c r="N90" i="2" s="1"/>
  <c r="M91" i="2"/>
  <c r="M92" i="2"/>
  <c r="N92" i="2" s="1"/>
  <c r="M93" i="2"/>
  <c r="N93" i="2" s="1"/>
  <c r="M94" i="2"/>
  <c r="N94" i="2" s="1"/>
  <c r="M95" i="2"/>
  <c r="N95" i="2" s="1"/>
  <c r="M96" i="2"/>
  <c r="N96" i="2" s="1"/>
  <c r="M97" i="2"/>
  <c r="N97" i="2" s="1"/>
  <c r="M98" i="2"/>
  <c r="N98" i="2" s="1"/>
  <c r="M100" i="2"/>
  <c r="N100" i="2" s="1"/>
  <c r="M101" i="2"/>
  <c r="M102" i="2"/>
  <c r="N102" i="2" s="1"/>
  <c r="M103" i="2"/>
  <c r="N103" i="2" s="1"/>
  <c r="M104" i="2"/>
  <c r="N104" i="2" s="1"/>
  <c r="M3" i="2"/>
  <c r="N3" i="2" s="1"/>
  <c r="M6" i="2"/>
  <c r="M8" i="2"/>
  <c r="N8" i="2" s="1"/>
  <c r="M9" i="2"/>
  <c r="N9" i="2" s="1"/>
  <c r="M105" i="2"/>
  <c r="N105" i="2" s="1"/>
  <c r="M106" i="2"/>
  <c r="N106" i="2" s="1"/>
  <c r="M107" i="2"/>
  <c r="M108" i="2"/>
  <c r="N108" i="2" s="1"/>
  <c r="M109" i="2"/>
  <c r="N109" i="2" s="1"/>
  <c r="M110" i="2"/>
  <c r="N110" i="2" s="1"/>
  <c r="M111" i="2"/>
  <c r="N111" i="2" s="1"/>
  <c r="M112" i="2"/>
  <c r="M113" i="2"/>
  <c r="N113" i="2" s="1"/>
  <c r="M114" i="2"/>
  <c r="N114" i="2" s="1"/>
  <c r="M115" i="2"/>
  <c r="N115" i="2" s="1"/>
  <c r="M116" i="2"/>
  <c r="N116" i="2" s="1"/>
  <c r="M117" i="2"/>
  <c r="M118" i="2"/>
  <c r="N118" i="2" s="1"/>
  <c r="M119" i="2"/>
  <c r="N119" i="2" s="1"/>
  <c r="M120" i="2"/>
  <c r="N120" i="2" s="1"/>
  <c r="M121" i="2"/>
  <c r="N121" i="2" s="1"/>
  <c r="M122" i="2"/>
  <c r="N122" i="2" s="1"/>
  <c r="M123" i="2"/>
  <c r="N123" i="2" s="1"/>
  <c r="M124" i="2"/>
  <c r="N124" i="2" s="1"/>
  <c r="M125" i="2"/>
  <c r="N125" i="2" s="1"/>
  <c r="M126" i="2"/>
  <c r="N126" i="2" s="1"/>
  <c r="M127" i="2"/>
  <c r="N127" i="2" s="1"/>
  <c r="M128" i="2"/>
  <c r="N128" i="2" s="1"/>
  <c r="M129" i="2"/>
  <c r="N129" i="2" s="1"/>
  <c r="M130" i="2"/>
  <c r="N130" i="2" s="1"/>
  <c r="M131" i="2"/>
  <c r="M132" i="2"/>
  <c r="N132" i="2" s="1"/>
  <c r="M133" i="2"/>
  <c r="N133" i="2" s="1"/>
  <c r="M134" i="2"/>
  <c r="N134" i="2" s="1"/>
  <c r="M135" i="2"/>
  <c r="M136" i="2"/>
  <c r="N136" i="2" s="1"/>
  <c r="M137" i="2"/>
  <c r="N137" i="2" s="1"/>
  <c r="M138" i="2"/>
  <c r="N138" i="2" s="1"/>
  <c r="M139" i="2"/>
  <c r="N139" i="2" s="1"/>
  <c r="M140" i="2"/>
  <c r="N140" i="2" s="1"/>
  <c r="M141" i="2"/>
  <c r="N141" i="2" s="1"/>
  <c r="M142" i="2"/>
  <c r="N142" i="2" s="1"/>
  <c r="M143" i="2"/>
  <c r="M145" i="2"/>
  <c r="N145" i="2" s="1"/>
  <c r="M146" i="2"/>
  <c r="N146" i="2" s="1"/>
  <c r="M147" i="2"/>
  <c r="N147" i="2" s="1"/>
  <c r="M148" i="2"/>
  <c r="M149" i="2"/>
  <c r="N149" i="2" s="1"/>
  <c r="M150" i="2"/>
  <c r="N150" i="2" s="1"/>
  <c r="M151" i="2"/>
  <c r="N151" i="2" s="1"/>
  <c r="M152" i="2"/>
  <c r="N152" i="2" s="1"/>
  <c r="M153" i="2"/>
  <c r="N153" i="2" s="1"/>
  <c r="M154" i="2"/>
  <c r="N154" i="2" s="1"/>
  <c r="M155" i="2"/>
  <c r="N155" i="2" s="1"/>
  <c r="M157" i="2"/>
  <c r="N157" i="2" s="1"/>
  <c r="M158" i="2"/>
  <c r="N158" i="2" s="1"/>
  <c r="M159" i="2"/>
  <c r="N159" i="2" s="1"/>
  <c r="M160" i="2"/>
  <c r="N160" i="2" s="1"/>
  <c r="M161" i="2"/>
  <c r="N161" i="2" s="1"/>
  <c r="M162" i="2"/>
  <c r="N162" i="2" s="1"/>
  <c r="M163" i="2"/>
  <c r="N163" i="2" s="1"/>
  <c r="M164" i="2"/>
  <c r="N164" i="2" s="1"/>
  <c r="M166" i="2"/>
  <c r="N166" i="2" s="1"/>
  <c r="M167" i="2"/>
  <c r="N167" i="2" s="1"/>
  <c r="M168" i="2"/>
  <c r="N168" i="2" s="1"/>
  <c r="M169" i="2"/>
  <c r="N169" i="2" s="1"/>
  <c r="M170" i="2"/>
  <c r="N170" i="2" s="1"/>
  <c r="M171" i="2"/>
  <c r="N171" i="2" s="1"/>
  <c r="M172" i="2"/>
  <c r="N172" i="2" s="1"/>
  <c r="M174" i="2"/>
  <c r="N174" i="2" s="1"/>
  <c r="M175" i="2"/>
  <c r="N175" i="2" s="1"/>
  <c r="M176" i="2"/>
  <c r="N176" i="2" s="1"/>
  <c r="M177" i="2"/>
  <c r="N177" i="2" s="1"/>
  <c r="N178" i="2"/>
  <c r="M179" i="2"/>
  <c r="N179" i="2" s="1"/>
  <c r="M181" i="2"/>
  <c r="N181" i="2" s="1"/>
  <c r="M182" i="2"/>
  <c r="N182" i="2" s="1"/>
  <c r="M183" i="2"/>
  <c r="N183" i="2" s="1"/>
  <c r="M184" i="2"/>
  <c r="N184" i="2" s="1"/>
  <c r="M500" i="2"/>
  <c r="N500" i="2" s="1"/>
  <c r="M501" i="2"/>
  <c r="N501" i="2" s="1"/>
  <c r="M502" i="2"/>
  <c r="N502" i="2" s="1"/>
  <c r="M503" i="2"/>
  <c r="N503" i="2" s="1"/>
  <c r="M504" i="2"/>
  <c r="N504" i="2" s="1"/>
  <c r="M505" i="2"/>
  <c r="N505" i="2" s="1"/>
  <c r="M506" i="2"/>
  <c r="N506" i="2" s="1"/>
  <c r="M507" i="2"/>
  <c r="N507" i="2" s="1"/>
  <c r="M508" i="2"/>
  <c r="N508" i="2" s="1"/>
  <c r="M509" i="2"/>
  <c r="N509" i="2" s="1"/>
  <c r="M510" i="2"/>
  <c r="N510" i="2" s="1"/>
  <c r="M511" i="2"/>
  <c r="N511" i="2" s="1"/>
  <c r="M512" i="2"/>
  <c r="N512" i="2" s="1"/>
  <c r="M513" i="2"/>
  <c r="N513" i="2" s="1"/>
  <c r="M514" i="2"/>
  <c r="N514" i="2" s="1"/>
  <c r="M515" i="2"/>
  <c r="N515" i="2" s="1"/>
  <c r="M516" i="2"/>
  <c r="N516" i="2" s="1"/>
  <c r="M517" i="2"/>
  <c r="N517" i="2" s="1"/>
  <c r="M518" i="2"/>
  <c r="N518" i="2" s="1"/>
  <c r="M519" i="2"/>
  <c r="N519" i="2" s="1"/>
  <c r="M520" i="2"/>
  <c r="N520" i="2" s="1"/>
  <c r="M521" i="2"/>
  <c r="N521" i="2" s="1"/>
  <c r="M522" i="2"/>
  <c r="N522" i="2" s="1"/>
  <c r="M523" i="2"/>
  <c r="N523" i="2" s="1"/>
  <c r="M524" i="2"/>
  <c r="N524" i="2" s="1"/>
  <c r="M525" i="2"/>
  <c r="N525" i="2" s="1"/>
  <c r="M526" i="2"/>
  <c r="N526" i="2" s="1"/>
  <c r="M527" i="2"/>
  <c r="N527" i="2" s="1"/>
  <c r="M528" i="2"/>
  <c r="N528" i="2" s="1"/>
  <c r="M529" i="2"/>
  <c r="N529" i="2" s="1"/>
  <c r="M530" i="2"/>
  <c r="N530" i="2" s="1"/>
  <c r="M531" i="2"/>
  <c r="N531" i="2" s="1"/>
  <c r="M532" i="2"/>
  <c r="N532" i="2" s="1"/>
  <c r="M533" i="2"/>
  <c r="N533" i="2" s="1"/>
  <c r="M534" i="2"/>
  <c r="N534" i="2" s="1"/>
  <c r="M535" i="2"/>
  <c r="N535" i="2" s="1"/>
  <c r="M536" i="2"/>
  <c r="N536" i="2" s="1"/>
  <c r="M537" i="2"/>
  <c r="N537" i="2" s="1"/>
  <c r="M538" i="2"/>
  <c r="N538" i="2" s="1"/>
  <c r="M539" i="2"/>
  <c r="N539" i="2" s="1"/>
  <c r="M540" i="2"/>
  <c r="N540" i="2" s="1"/>
  <c r="M541" i="2"/>
  <c r="N541" i="2" s="1"/>
  <c r="M542" i="2"/>
  <c r="N542" i="2" s="1"/>
  <c r="M543" i="2"/>
  <c r="N543" i="2" s="1"/>
  <c r="M544" i="2"/>
  <c r="N544" i="2" s="1"/>
  <c r="M545" i="2"/>
  <c r="N545" i="2" s="1"/>
  <c r="M546" i="2"/>
  <c r="N546" i="2" s="1"/>
  <c r="M547" i="2"/>
  <c r="N547" i="2" s="1"/>
  <c r="M548" i="2"/>
  <c r="N548" i="2" s="1"/>
  <c r="M549" i="2"/>
  <c r="N549" i="2" s="1"/>
  <c r="M12" i="2"/>
  <c r="N12" i="2" s="1"/>
  <c r="M11" i="2"/>
  <c r="N11" i="2" s="1"/>
  <c r="K11" i="2"/>
  <c r="L11" i="2" s="1"/>
  <c r="R12" i="2"/>
  <c r="R14" i="2"/>
  <c r="R16" i="2"/>
  <c r="R18" i="2"/>
  <c r="R20" i="2"/>
  <c r="R22" i="2"/>
  <c r="R24" i="2"/>
  <c r="R26" i="2"/>
  <c r="R28" i="2"/>
  <c r="R30" i="2"/>
  <c r="R32" i="2"/>
  <c r="R34" i="2"/>
  <c r="R36" i="2"/>
  <c r="R38" i="2"/>
  <c r="R40" i="2"/>
  <c r="R42" i="2"/>
  <c r="R44" i="2"/>
  <c r="R46" i="2"/>
  <c r="R48" i="2"/>
  <c r="R50" i="2"/>
  <c r="R52" i="2"/>
  <c r="R54" i="2"/>
  <c r="R56" i="2"/>
  <c r="R58" i="2"/>
  <c r="R60" i="2"/>
  <c r="R62" i="2"/>
  <c r="R64" i="2"/>
  <c r="R71" i="2"/>
  <c r="R72" i="2"/>
  <c r="R73" i="2"/>
  <c r="R81" i="2"/>
  <c r="R84" i="2"/>
  <c r="R86" i="2"/>
  <c r="R88" i="2"/>
  <c r="R90" i="2"/>
  <c r="R96" i="2"/>
  <c r="R98" i="2"/>
  <c r="R100" i="2"/>
  <c r="R102" i="2"/>
  <c r="R4" i="2"/>
  <c r="R6" i="2"/>
  <c r="R8" i="2"/>
  <c r="R109" i="2"/>
  <c r="R111" i="2"/>
  <c r="R113" i="2"/>
  <c r="R115" i="2"/>
  <c r="R116" i="2"/>
  <c r="R121" i="2"/>
  <c r="R128" i="2"/>
  <c r="R130" i="2"/>
  <c r="R132" i="2"/>
  <c r="R134" i="2"/>
  <c r="R139" i="2"/>
  <c r="R142" i="2"/>
  <c r="R144" i="2"/>
  <c r="R154" i="2"/>
  <c r="R156" i="2"/>
  <c r="R160" i="2"/>
  <c r="R542" i="2"/>
  <c r="R543" i="2"/>
  <c r="R544" i="2"/>
  <c r="R545" i="2"/>
  <c r="R546" i="2"/>
  <c r="R547" i="2"/>
  <c r="R548" i="2"/>
  <c r="R549" i="2"/>
  <c r="R11" i="2"/>
  <c r="P14" i="2"/>
  <c r="P16" i="2"/>
  <c r="P18" i="2"/>
  <c r="P20" i="2"/>
  <c r="P22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40" i="2"/>
  <c r="P42" i="2"/>
  <c r="P44" i="2"/>
  <c r="P46" i="2"/>
  <c r="P48" i="2"/>
  <c r="P50" i="2"/>
  <c r="P52" i="2"/>
  <c r="P54" i="2"/>
  <c r="P56" i="2"/>
  <c r="P58" i="2"/>
  <c r="P60" i="2"/>
  <c r="P62" i="2"/>
  <c r="P64" i="2"/>
  <c r="P66" i="2"/>
  <c r="P68" i="2"/>
  <c r="P69" i="2"/>
  <c r="P70" i="2"/>
  <c r="P71" i="2"/>
  <c r="P72" i="2"/>
  <c r="P73" i="2"/>
  <c r="P74" i="2"/>
  <c r="P76" i="2"/>
  <c r="P78" i="2"/>
  <c r="P79" i="2"/>
  <c r="P80" i="2"/>
  <c r="P81" i="2"/>
  <c r="P82" i="2"/>
  <c r="P83" i="2"/>
  <c r="P84" i="2"/>
  <c r="P85" i="2"/>
  <c r="P92" i="2"/>
  <c r="P94" i="2"/>
  <c r="P96" i="2"/>
  <c r="P98" i="2"/>
  <c r="P100" i="2"/>
  <c r="P102" i="2"/>
  <c r="P3" i="2"/>
  <c r="P8" i="2"/>
  <c r="P108" i="2"/>
  <c r="P112" i="2"/>
  <c r="P116" i="2"/>
  <c r="P119" i="2"/>
  <c r="P124" i="2"/>
  <c r="P131" i="2"/>
  <c r="P135" i="2"/>
  <c r="P139" i="2"/>
  <c r="P143" i="2"/>
  <c r="P149" i="2"/>
  <c r="P153" i="2"/>
  <c r="P157" i="2"/>
  <c r="P158" i="2"/>
  <c r="P159" i="2"/>
  <c r="P160" i="2"/>
  <c r="P161" i="2"/>
  <c r="P162" i="2"/>
  <c r="P163" i="2"/>
  <c r="P171" i="2"/>
  <c r="P175" i="2"/>
  <c r="P545" i="2"/>
  <c r="P547" i="2"/>
  <c r="P549" i="2"/>
  <c r="P12" i="2"/>
  <c r="N14" i="2"/>
  <c r="N16" i="2"/>
  <c r="N22" i="2"/>
  <c r="N26" i="2"/>
  <c r="N30" i="2"/>
  <c r="N33" i="2"/>
  <c r="N37" i="2"/>
  <c r="N38" i="2"/>
  <c r="N39" i="2"/>
  <c r="N42" i="2"/>
  <c r="N44" i="2"/>
  <c r="N49" i="2"/>
  <c r="N56" i="2"/>
  <c r="N58" i="2"/>
  <c r="N60" i="2"/>
  <c r="N62" i="2"/>
  <c r="N64" i="2"/>
  <c r="N75" i="2"/>
  <c r="N83" i="2"/>
  <c r="N91" i="2"/>
  <c r="N101" i="2"/>
  <c r="N6" i="2"/>
  <c r="N107" i="2"/>
  <c r="N112" i="2"/>
  <c r="N117" i="2"/>
  <c r="N131" i="2"/>
  <c r="N135" i="2"/>
  <c r="N143" i="2"/>
  <c r="N148" i="2"/>
  <c r="N156" i="2"/>
  <c r="K12" i="2"/>
  <c r="L12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26" i="2"/>
  <c r="L26" i="2" s="1"/>
  <c r="K27" i="2"/>
  <c r="L27" i="2" s="1"/>
  <c r="K28" i="2"/>
  <c r="L28" i="2" s="1"/>
  <c r="K29" i="2"/>
  <c r="L29" i="2" s="1"/>
  <c r="K30" i="2"/>
  <c r="L30" i="2" s="1"/>
  <c r="K31" i="2"/>
  <c r="L31" i="2" s="1"/>
  <c r="K32" i="2"/>
  <c r="L32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0" i="2"/>
  <c r="L40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52" i="2"/>
  <c r="L52" i="2" s="1"/>
  <c r="K53" i="2"/>
  <c r="L53" i="2" s="1"/>
  <c r="K54" i="2"/>
  <c r="L54" i="2" s="1"/>
  <c r="K55" i="2"/>
  <c r="L55" i="2" s="1"/>
  <c r="K56" i="2"/>
  <c r="L56" i="2" s="1"/>
  <c r="K57" i="2"/>
  <c r="L57" i="2" s="1"/>
  <c r="K58" i="2"/>
  <c r="L58" i="2" s="1"/>
  <c r="K60" i="2"/>
  <c r="L60" i="2" s="1"/>
  <c r="K61" i="2"/>
  <c r="L61" i="2" s="1"/>
  <c r="K62" i="2"/>
  <c r="L62" i="2" s="1"/>
  <c r="K63" i="2"/>
  <c r="L63" i="2" s="1"/>
  <c r="K64" i="2"/>
  <c r="L64" i="2" s="1"/>
  <c r="K65" i="2"/>
  <c r="L65" i="2" s="1"/>
  <c r="K66" i="2"/>
  <c r="L66" i="2" s="1"/>
  <c r="K67" i="2"/>
  <c r="L67" i="2" s="1"/>
  <c r="K69" i="2"/>
  <c r="L69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76" i="2"/>
  <c r="L76" i="2" s="1"/>
  <c r="K77" i="2"/>
  <c r="L77" i="2" s="1"/>
  <c r="K78" i="2"/>
  <c r="L78" i="2" s="1"/>
  <c r="K79" i="2"/>
  <c r="L79" i="2" s="1"/>
  <c r="K80" i="2"/>
  <c r="L80" i="2" s="1"/>
  <c r="K81" i="2"/>
  <c r="L81" i="2" s="1"/>
  <c r="K82" i="2"/>
  <c r="L82" i="2" s="1"/>
  <c r="K83" i="2"/>
  <c r="L83" i="2" s="1"/>
  <c r="K84" i="2"/>
  <c r="L84" i="2" s="1"/>
  <c r="K85" i="2"/>
  <c r="L85" i="2" s="1"/>
  <c r="K86" i="2"/>
  <c r="L86" i="2" s="1"/>
  <c r="K87" i="2"/>
  <c r="L87" i="2" s="1"/>
  <c r="K88" i="2"/>
  <c r="L88" i="2" s="1"/>
  <c r="K89" i="2"/>
  <c r="L89" i="2" s="1"/>
  <c r="K90" i="2"/>
  <c r="L90" i="2" s="1"/>
  <c r="K91" i="2"/>
  <c r="L91" i="2" s="1"/>
  <c r="K92" i="2"/>
  <c r="L92" i="2" s="1"/>
  <c r="K93" i="2"/>
  <c r="L93" i="2" s="1"/>
  <c r="K94" i="2"/>
  <c r="L94" i="2" s="1"/>
  <c r="K95" i="2"/>
  <c r="L95" i="2" s="1"/>
  <c r="K96" i="2"/>
  <c r="L96" i="2" s="1"/>
  <c r="K97" i="2"/>
  <c r="L97" i="2" s="1"/>
  <c r="K98" i="2"/>
  <c r="L98" i="2" s="1"/>
  <c r="K99" i="2"/>
  <c r="L99" i="2" s="1"/>
  <c r="K100" i="2"/>
  <c r="L100" i="2" s="1"/>
  <c r="K101" i="2"/>
  <c r="L101" i="2" s="1"/>
  <c r="K102" i="2"/>
  <c r="L102" i="2" s="1"/>
  <c r="K103" i="2"/>
  <c r="L103" i="2" s="1"/>
  <c r="K104" i="2"/>
  <c r="L104" i="2" s="1"/>
  <c r="K3" i="2"/>
  <c r="L3" i="2" s="1"/>
  <c r="K5" i="2"/>
  <c r="L5" i="2" s="1"/>
  <c r="K6" i="2"/>
  <c r="L6" i="2" s="1"/>
  <c r="K7" i="2"/>
  <c r="L7" i="2" s="1"/>
  <c r="K8" i="2"/>
  <c r="L8" i="2" s="1"/>
  <c r="K9" i="2"/>
  <c r="L9" i="2" s="1"/>
  <c r="K105" i="2"/>
  <c r="L105" i="2" s="1"/>
  <c r="K106" i="2"/>
  <c r="L106" i="2" s="1"/>
  <c r="K107" i="2"/>
  <c r="L107" i="2" s="1"/>
  <c r="K108" i="2"/>
  <c r="L108" i="2" s="1"/>
  <c r="K109" i="2"/>
  <c r="L109" i="2" s="1"/>
  <c r="K110" i="2"/>
  <c r="L110" i="2" s="1"/>
  <c r="K111" i="2"/>
  <c r="L111" i="2" s="1"/>
  <c r="K112" i="2"/>
  <c r="L112" i="2" s="1"/>
  <c r="K113" i="2"/>
  <c r="L113" i="2" s="1"/>
  <c r="K115" i="2"/>
  <c r="L115" i="2" s="1"/>
  <c r="K116" i="2"/>
  <c r="L116" i="2" s="1"/>
  <c r="K117" i="2"/>
  <c r="L117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125" i="2"/>
  <c r="L125" i="2" s="1"/>
  <c r="K126" i="2"/>
  <c r="L126" i="2" s="1"/>
  <c r="K127" i="2"/>
  <c r="L127" i="2" s="1"/>
  <c r="K128" i="2"/>
  <c r="L128" i="2" s="1"/>
  <c r="K129" i="2"/>
  <c r="L129" i="2" s="1"/>
  <c r="K130" i="2"/>
  <c r="L130" i="2" s="1"/>
  <c r="K131" i="2"/>
  <c r="L131" i="2" s="1"/>
  <c r="K132" i="2"/>
  <c r="L132" i="2" s="1"/>
  <c r="K133" i="2"/>
  <c r="L133" i="2" s="1"/>
  <c r="K134" i="2"/>
  <c r="L134" i="2" s="1"/>
  <c r="K135" i="2"/>
  <c r="L135" i="2" s="1"/>
  <c r="K136" i="2"/>
  <c r="L136" i="2" s="1"/>
  <c r="K137" i="2"/>
  <c r="L137" i="2" s="1"/>
  <c r="K138" i="2"/>
  <c r="L138" i="2" s="1"/>
  <c r="K139" i="2"/>
  <c r="L139" i="2" s="1"/>
  <c r="K140" i="2"/>
  <c r="L140" i="2" s="1"/>
  <c r="K141" i="2"/>
  <c r="L141" i="2" s="1"/>
  <c r="K142" i="2"/>
  <c r="L142" i="2" s="1"/>
  <c r="K143" i="2"/>
  <c r="L143" i="2" s="1"/>
  <c r="K144" i="2"/>
  <c r="L144" i="2" s="1"/>
  <c r="K145" i="2"/>
  <c r="L145" i="2" s="1"/>
  <c r="K146" i="2"/>
  <c r="L146" i="2" s="1"/>
  <c r="K147" i="2"/>
  <c r="L147" i="2" s="1"/>
  <c r="K148" i="2"/>
  <c r="L148" i="2" s="1"/>
  <c r="K149" i="2"/>
  <c r="L149" i="2" s="1"/>
  <c r="K150" i="2"/>
  <c r="L150" i="2" s="1"/>
  <c r="K151" i="2"/>
  <c r="L151" i="2" s="1"/>
  <c r="K152" i="2"/>
  <c r="L152" i="2" s="1"/>
  <c r="K153" i="2"/>
  <c r="L153" i="2" s="1"/>
  <c r="K154" i="2"/>
  <c r="L154" i="2" s="1"/>
  <c r="K155" i="2"/>
  <c r="L155" i="2" s="1"/>
  <c r="K157" i="2"/>
  <c r="L157" i="2" s="1"/>
  <c r="K158" i="2"/>
  <c r="L158" i="2" s="1"/>
  <c r="K159" i="2"/>
  <c r="L159" i="2" s="1"/>
  <c r="K160" i="2"/>
  <c r="L160" i="2" s="1"/>
  <c r="K161" i="2"/>
  <c r="L161" i="2" s="1"/>
  <c r="K162" i="2"/>
  <c r="L162" i="2" s="1"/>
  <c r="K163" i="2"/>
  <c r="L163" i="2" s="1"/>
  <c r="K164" i="2"/>
  <c r="L164" i="2" s="1"/>
  <c r="K165" i="2"/>
  <c r="L165" i="2" s="1"/>
  <c r="L166" i="2"/>
  <c r="K167" i="2"/>
  <c r="L167" i="2" s="1"/>
  <c r="K168" i="2"/>
  <c r="L168" i="2" s="1"/>
  <c r="K169" i="2"/>
  <c r="L169" i="2" s="1"/>
  <c r="K170" i="2"/>
  <c r="L170" i="2" s="1"/>
  <c r="K171" i="2"/>
  <c r="L171" i="2" s="1"/>
  <c r="K172" i="2"/>
  <c r="L172" i="2" s="1"/>
  <c r="K173" i="2"/>
  <c r="L173" i="2" s="1"/>
  <c r="K174" i="2"/>
  <c r="L174" i="2" s="1"/>
  <c r="K175" i="2"/>
  <c r="L175" i="2" s="1"/>
  <c r="K176" i="2"/>
  <c r="L176" i="2" s="1"/>
  <c r="K177" i="2"/>
  <c r="L177" i="2" s="1"/>
  <c r="K178" i="2"/>
  <c r="L178" i="2" s="1"/>
  <c r="K179" i="2"/>
  <c r="L179" i="2" s="1"/>
  <c r="K180" i="2"/>
  <c r="L180" i="2" s="1"/>
  <c r="K181" i="2"/>
  <c r="L181" i="2" s="1"/>
  <c r="K182" i="2"/>
  <c r="L182" i="2" s="1"/>
  <c r="K183" i="2"/>
  <c r="L183" i="2" s="1"/>
  <c r="K184" i="2"/>
  <c r="L184" i="2" s="1"/>
  <c r="L265" i="2"/>
  <c r="T265" i="2" s="1"/>
  <c r="U265" i="2" s="1"/>
  <c r="V265" i="2" s="1"/>
  <c r="L266" i="2"/>
  <c r="L267" i="2"/>
  <c r="L269" i="2"/>
  <c r="T269" i="2" s="1"/>
  <c r="U269" i="2" s="1"/>
  <c r="V269" i="2" s="1"/>
  <c r="X269" i="2" s="1"/>
  <c r="L270" i="2"/>
  <c r="T270" i="2" s="1"/>
  <c r="U270" i="2" s="1"/>
  <c r="V270" i="2" s="1"/>
  <c r="X270" i="2" s="1"/>
  <c r="K544" i="2"/>
  <c r="L544" i="2" s="1"/>
  <c r="K545" i="2"/>
  <c r="L545" i="2" s="1"/>
  <c r="K546" i="2"/>
  <c r="L546" i="2" s="1"/>
  <c r="K547" i="2"/>
  <c r="L547" i="2" s="1"/>
  <c r="K548" i="2"/>
  <c r="L548" i="2" s="1"/>
  <c r="K549" i="2"/>
  <c r="L549" i="2" s="1"/>
  <c r="U447" i="5" l="1"/>
  <c r="V447" i="5" s="1"/>
  <c r="X447" i="5" s="1"/>
  <c r="U444" i="5"/>
  <c r="V444" i="5" s="1"/>
  <c r="X444" i="5" s="1"/>
  <c r="U440" i="5"/>
  <c r="V440" i="5" s="1"/>
  <c r="X440" i="5" s="1"/>
  <c r="U204" i="5"/>
  <c r="V204" i="5" s="1"/>
  <c r="X204" i="5" s="1"/>
  <c r="U299" i="5"/>
  <c r="V299" i="5" s="1"/>
  <c r="X299" i="5" s="1"/>
  <c r="U225" i="5"/>
  <c r="V225" i="5" s="1"/>
  <c r="X225" i="5" s="1"/>
  <c r="G15" i="1" s="1"/>
  <c r="U273" i="5"/>
  <c r="V273" i="5" s="1"/>
  <c r="X273" i="5" s="1"/>
  <c r="U178" i="5"/>
  <c r="V178" i="5" s="1"/>
  <c r="X178" i="5" s="1"/>
  <c r="U135" i="5"/>
  <c r="V135" i="5" s="1"/>
  <c r="X135" i="5" s="1"/>
  <c r="U443" i="5"/>
  <c r="V443" i="5" s="1"/>
  <c r="X443" i="5" s="1"/>
  <c r="U184" i="5"/>
  <c r="V184" i="5" s="1"/>
  <c r="X184" i="5" s="1"/>
  <c r="U438" i="5"/>
  <c r="V438" i="5" s="1"/>
  <c r="X438" i="5" s="1"/>
  <c r="U293" i="5"/>
  <c r="V293" i="5" s="1"/>
  <c r="X293" i="5" s="1"/>
  <c r="U288" i="5"/>
  <c r="V288" i="5" s="1"/>
  <c r="X288" i="5" s="1"/>
  <c r="U435" i="5"/>
  <c r="V435" i="5" s="1"/>
  <c r="X435" i="5" s="1"/>
  <c r="U433" i="5"/>
  <c r="V433" i="5" s="1"/>
  <c r="X433" i="5" s="1"/>
  <c r="U431" i="5"/>
  <c r="V431" i="5" s="1"/>
  <c r="X431" i="5" s="1"/>
  <c r="U429" i="5"/>
  <c r="V429" i="5" s="1"/>
  <c r="X429" i="5" s="1"/>
  <c r="U427" i="5"/>
  <c r="V427" i="5" s="1"/>
  <c r="X427" i="5" s="1"/>
  <c r="U425" i="5"/>
  <c r="V425" i="5" s="1"/>
  <c r="X425" i="5" s="1"/>
  <c r="U423" i="5"/>
  <c r="V423" i="5" s="1"/>
  <c r="X423" i="5" s="1"/>
  <c r="U421" i="5"/>
  <c r="V421" i="5" s="1"/>
  <c r="X421" i="5" s="1"/>
  <c r="U419" i="5"/>
  <c r="V419" i="5" s="1"/>
  <c r="X419" i="5" s="1"/>
  <c r="U417" i="5"/>
  <c r="V417" i="5" s="1"/>
  <c r="X417" i="5" s="1"/>
  <c r="U415" i="5"/>
  <c r="V415" i="5" s="1"/>
  <c r="X415" i="5" s="1"/>
  <c r="U223" i="5"/>
  <c r="V223" i="5" s="1"/>
  <c r="X223" i="5" s="1"/>
  <c r="G78" i="1" s="1"/>
  <c r="U290" i="5"/>
  <c r="V290" i="5" s="1"/>
  <c r="X290" i="5" s="1"/>
  <c r="U144" i="5"/>
  <c r="V144" i="5" s="1"/>
  <c r="X144" i="5" s="1"/>
  <c r="U129" i="5"/>
  <c r="V129" i="5" s="1"/>
  <c r="X129" i="5" s="1"/>
  <c r="U111" i="5"/>
  <c r="V111" i="5" s="1"/>
  <c r="X111" i="5" s="1"/>
  <c r="U282" i="5"/>
  <c r="V282" i="5" s="1"/>
  <c r="X282" i="5" s="1"/>
  <c r="U161" i="5"/>
  <c r="V161" i="5" s="1"/>
  <c r="X161" i="5" s="1"/>
  <c r="K80" i="1" s="1"/>
  <c r="U203" i="5"/>
  <c r="V203" i="5" s="1"/>
  <c r="X203" i="5" s="1"/>
  <c r="U413" i="5"/>
  <c r="V413" i="5" s="1"/>
  <c r="X413" i="5" s="1"/>
  <c r="U411" i="5"/>
  <c r="V411" i="5" s="1"/>
  <c r="X411" i="5" s="1"/>
  <c r="U409" i="5"/>
  <c r="V409" i="5" s="1"/>
  <c r="X409" i="5" s="1"/>
  <c r="U405" i="5"/>
  <c r="V405" i="5" s="1"/>
  <c r="X405" i="5" s="1"/>
  <c r="U401" i="5"/>
  <c r="V401" i="5" s="1"/>
  <c r="X401" i="5" s="1"/>
  <c r="U397" i="5"/>
  <c r="V397" i="5" s="1"/>
  <c r="X397" i="5" s="1"/>
  <c r="U393" i="5"/>
  <c r="V393" i="5" s="1"/>
  <c r="X393" i="5" s="1"/>
  <c r="U389" i="5"/>
  <c r="V389" i="5" s="1"/>
  <c r="X389" i="5" s="1"/>
  <c r="U385" i="5"/>
  <c r="V385" i="5" s="1"/>
  <c r="X385" i="5" s="1"/>
  <c r="U408" i="5"/>
  <c r="V408" i="5" s="1"/>
  <c r="X408" i="5" s="1"/>
  <c r="U406" i="5"/>
  <c r="V406" i="5" s="1"/>
  <c r="X406" i="5" s="1"/>
  <c r="U402" i="5"/>
  <c r="V402" i="5" s="1"/>
  <c r="X402" i="5" s="1"/>
  <c r="U381" i="5"/>
  <c r="V381" i="5" s="1"/>
  <c r="X381" i="5" s="1"/>
  <c r="U377" i="5"/>
  <c r="V377" i="5" s="1"/>
  <c r="X377" i="5" s="1"/>
  <c r="U373" i="5"/>
  <c r="V373" i="5" s="1"/>
  <c r="X373" i="5" s="1"/>
  <c r="U369" i="5"/>
  <c r="V369" i="5" s="1"/>
  <c r="X369" i="5" s="1"/>
  <c r="U365" i="5"/>
  <c r="V365" i="5" s="1"/>
  <c r="X365" i="5" s="1"/>
  <c r="U361" i="5"/>
  <c r="V361" i="5" s="1"/>
  <c r="X361" i="5" s="1"/>
  <c r="U357" i="5"/>
  <c r="V357" i="5" s="1"/>
  <c r="X357" i="5" s="1"/>
  <c r="U353" i="5"/>
  <c r="V353" i="5" s="1"/>
  <c r="X353" i="5" s="1"/>
  <c r="U349" i="5"/>
  <c r="V349" i="5" s="1"/>
  <c r="X349" i="5" s="1"/>
  <c r="U345" i="5"/>
  <c r="V345" i="5" s="1"/>
  <c r="X345" i="5" s="1"/>
  <c r="U341" i="5"/>
  <c r="V341" i="5" s="1"/>
  <c r="X341" i="5" s="1"/>
  <c r="U337" i="5"/>
  <c r="V337" i="5" s="1"/>
  <c r="X337" i="5" s="1"/>
  <c r="U333" i="5"/>
  <c r="V333" i="5" s="1"/>
  <c r="X333" i="5" s="1"/>
  <c r="U329" i="5"/>
  <c r="V329" i="5" s="1"/>
  <c r="X329" i="5" s="1"/>
  <c r="U325" i="5"/>
  <c r="V325" i="5" s="1"/>
  <c r="X325" i="5" s="1"/>
  <c r="U321" i="5"/>
  <c r="V321" i="5" s="1"/>
  <c r="X321" i="5" s="1"/>
  <c r="U317" i="5"/>
  <c r="V317" i="5" s="1"/>
  <c r="X317" i="5" s="1"/>
  <c r="U313" i="5"/>
  <c r="V313" i="5" s="1"/>
  <c r="X313" i="5" s="1"/>
  <c r="U309" i="5"/>
  <c r="V309" i="5" s="1"/>
  <c r="X309" i="5" s="1"/>
  <c r="U305" i="5"/>
  <c r="V305" i="5" s="1"/>
  <c r="X305" i="5" s="1"/>
  <c r="U301" i="5"/>
  <c r="V301" i="5" s="1"/>
  <c r="X301" i="5" s="1"/>
  <c r="U295" i="5"/>
  <c r="V295" i="5" s="1"/>
  <c r="X295" i="5" s="1"/>
  <c r="U289" i="5"/>
  <c r="V289" i="5" s="1"/>
  <c r="X289" i="5" s="1"/>
  <c r="U283" i="5"/>
  <c r="V283" i="5" s="1"/>
  <c r="X283" i="5" s="1"/>
  <c r="U279" i="5"/>
  <c r="V279" i="5" s="1"/>
  <c r="X279" i="5" s="1"/>
  <c r="U275" i="5"/>
  <c r="V275" i="5" s="1"/>
  <c r="X275" i="5" s="1"/>
  <c r="U269" i="5"/>
  <c r="V269" i="5" s="1"/>
  <c r="X269" i="5" s="1"/>
  <c r="U265" i="5"/>
  <c r="V265" i="5" s="1"/>
  <c r="X265" i="5" s="1"/>
  <c r="U261" i="5"/>
  <c r="V261" i="5" s="1"/>
  <c r="X261" i="5" s="1"/>
  <c r="U398" i="5"/>
  <c r="V398" i="5" s="1"/>
  <c r="X398" i="5" s="1"/>
  <c r="U394" i="5"/>
  <c r="V394" i="5" s="1"/>
  <c r="X394" i="5" s="1"/>
  <c r="U390" i="5"/>
  <c r="V390" i="5" s="1"/>
  <c r="X390" i="5" s="1"/>
  <c r="U386" i="5"/>
  <c r="V386" i="5" s="1"/>
  <c r="X386" i="5" s="1"/>
  <c r="U382" i="5"/>
  <c r="V382" i="5" s="1"/>
  <c r="X382" i="5" s="1"/>
  <c r="U378" i="5"/>
  <c r="V378" i="5" s="1"/>
  <c r="X378" i="5" s="1"/>
  <c r="U374" i="5"/>
  <c r="V374" i="5" s="1"/>
  <c r="X374" i="5" s="1"/>
  <c r="U370" i="5"/>
  <c r="V370" i="5" s="1"/>
  <c r="X370" i="5" s="1"/>
  <c r="U366" i="5"/>
  <c r="V366" i="5" s="1"/>
  <c r="X366" i="5" s="1"/>
  <c r="U362" i="5"/>
  <c r="V362" i="5" s="1"/>
  <c r="X362" i="5" s="1"/>
  <c r="U358" i="5"/>
  <c r="V358" i="5" s="1"/>
  <c r="X358" i="5" s="1"/>
  <c r="U354" i="5"/>
  <c r="V354" i="5" s="1"/>
  <c r="X354" i="5" s="1"/>
  <c r="U350" i="5"/>
  <c r="V350" i="5" s="1"/>
  <c r="X350" i="5" s="1"/>
  <c r="U346" i="5"/>
  <c r="V346" i="5" s="1"/>
  <c r="X346" i="5" s="1"/>
  <c r="U342" i="5"/>
  <c r="V342" i="5" s="1"/>
  <c r="X342" i="5" s="1"/>
  <c r="U338" i="5"/>
  <c r="V338" i="5" s="1"/>
  <c r="X338" i="5" s="1"/>
  <c r="U334" i="5"/>
  <c r="V334" i="5" s="1"/>
  <c r="X334" i="5" s="1"/>
  <c r="U330" i="5"/>
  <c r="V330" i="5" s="1"/>
  <c r="X330" i="5" s="1"/>
  <c r="U326" i="5"/>
  <c r="V326" i="5" s="1"/>
  <c r="X326" i="5" s="1"/>
  <c r="U322" i="5"/>
  <c r="V322" i="5" s="1"/>
  <c r="X322" i="5" s="1"/>
  <c r="U318" i="5"/>
  <c r="V318" i="5" s="1"/>
  <c r="X318" i="5" s="1"/>
  <c r="U314" i="5"/>
  <c r="V314" i="5" s="1"/>
  <c r="X314" i="5" s="1"/>
  <c r="U310" i="5"/>
  <c r="V310" i="5" s="1"/>
  <c r="X310" i="5" s="1"/>
  <c r="U304" i="5"/>
  <c r="V304" i="5" s="1"/>
  <c r="X304" i="5" s="1"/>
  <c r="U298" i="5"/>
  <c r="V298" i="5" s="1"/>
  <c r="X298" i="5" s="1"/>
  <c r="U286" i="5"/>
  <c r="V286" i="5" s="1"/>
  <c r="X286" i="5" s="1"/>
  <c r="U280" i="5"/>
  <c r="V280" i="5" s="1"/>
  <c r="X280" i="5" s="1"/>
  <c r="U276" i="5"/>
  <c r="V276" i="5" s="1"/>
  <c r="X276" i="5" s="1"/>
  <c r="U270" i="5"/>
  <c r="V270" i="5" s="1"/>
  <c r="X270" i="5" s="1"/>
  <c r="U266" i="5"/>
  <c r="V266" i="5" s="1"/>
  <c r="X266" i="5" s="1"/>
  <c r="U262" i="5"/>
  <c r="V262" i="5" s="1"/>
  <c r="X262" i="5" s="1"/>
  <c r="U257" i="5"/>
  <c r="V257" i="5" s="1"/>
  <c r="X257" i="5" s="1"/>
  <c r="U253" i="5"/>
  <c r="V253" i="5" s="1"/>
  <c r="X253" i="5" s="1"/>
  <c r="U249" i="5"/>
  <c r="V249" i="5" s="1"/>
  <c r="X249" i="5" s="1"/>
  <c r="U245" i="5"/>
  <c r="V245" i="5" s="1"/>
  <c r="X245" i="5" s="1"/>
  <c r="G80" i="1" s="1"/>
  <c r="U241" i="5"/>
  <c r="V241" i="5" s="1"/>
  <c r="X241" i="5" s="1"/>
  <c r="S70" i="1" s="1"/>
  <c r="U237" i="5"/>
  <c r="V237" i="5" s="1"/>
  <c r="X237" i="5" s="1"/>
  <c r="K27" i="1" s="1"/>
  <c r="U233" i="5"/>
  <c r="V233" i="5" s="1"/>
  <c r="X233" i="5" s="1"/>
  <c r="G65" i="1" s="1"/>
  <c r="U229" i="5"/>
  <c r="V229" i="5" s="1"/>
  <c r="X229" i="5" s="1"/>
  <c r="G56" i="1" s="1"/>
  <c r="U217" i="5"/>
  <c r="V217" i="5" s="1"/>
  <c r="X217" i="5" s="1"/>
  <c r="S78" i="1" s="1"/>
  <c r="U258" i="5"/>
  <c r="V258" i="5" s="1"/>
  <c r="X258" i="5" s="1"/>
  <c r="U254" i="5"/>
  <c r="V254" i="5" s="1"/>
  <c r="X254" i="5" s="1"/>
  <c r="U250" i="5"/>
  <c r="V250" i="5" s="1"/>
  <c r="X250" i="5" s="1"/>
  <c r="U246" i="5"/>
  <c r="V246" i="5" s="1"/>
  <c r="X246" i="5" s="1"/>
  <c r="U242" i="5"/>
  <c r="V242" i="5" s="1"/>
  <c r="X242" i="5" s="1"/>
  <c r="K79" i="1" s="1"/>
  <c r="U238" i="5"/>
  <c r="V238" i="5" s="1"/>
  <c r="X238" i="5" s="1"/>
  <c r="S35" i="1" s="1"/>
  <c r="U234" i="5"/>
  <c r="V234" i="5" s="1"/>
  <c r="X234" i="5" s="1"/>
  <c r="U230" i="5"/>
  <c r="V230" i="5" s="1"/>
  <c r="X230" i="5" s="1"/>
  <c r="G53" i="1" s="1"/>
  <c r="U226" i="5"/>
  <c r="V226" i="5" s="1"/>
  <c r="X226" i="5" s="1"/>
  <c r="U222" i="5"/>
  <c r="V222" i="5" s="1"/>
  <c r="X222" i="5" s="1"/>
  <c r="G7" i="1" s="1"/>
  <c r="U218" i="5"/>
  <c r="V218" i="5" s="1"/>
  <c r="X218" i="5" s="1"/>
  <c r="U213" i="5"/>
  <c r="V213" i="5" s="1"/>
  <c r="X213" i="5" s="1"/>
  <c r="S56" i="1" s="1"/>
  <c r="U209" i="5"/>
  <c r="V209" i="5" s="1"/>
  <c r="X209" i="5" s="1"/>
  <c r="S64" i="1" s="1"/>
  <c r="U205" i="5"/>
  <c r="V205" i="5" s="1"/>
  <c r="X205" i="5" s="1"/>
  <c r="U199" i="5"/>
  <c r="V199" i="5" s="1"/>
  <c r="X199" i="5" s="1"/>
  <c r="U195" i="5"/>
  <c r="V195" i="5" s="1"/>
  <c r="X195" i="5" s="1"/>
  <c r="U191" i="5"/>
  <c r="V191" i="5" s="1"/>
  <c r="X191" i="5" s="1"/>
  <c r="U214" i="5"/>
  <c r="V214" i="5" s="1"/>
  <c r="X214" i="5" s="1"/>
  <c r="U210" i="5"/>
  <c r="V210" i="5" s="1"/>
  <c r="X210" i="5" s="1"/>
  <c r="U206" i="5"/>
  <c r="V206" i="5" s="1"/>
  <c r="X206" i="5" s="1"/>
  <c r="U200" i="5"/>
  <c r="V200" i="5" s="1"/>
  <c r="X200" i="5" s="1"/>
  <c r="U187" i="5"/>
  <c r="V187" i="5" s="1"/>
  <c r="X187" i="5" s="1"/>
  <c r="U183" i="5"/>
  <c r="V183" i="5" s="1"/>
  <c r="X183" i="5" s="1"/>
  <c r="K15" i="1" s="1"/>
  <c r="U177" i="5"/>
  <c r="V177" i="5" s="1"/>
  <c r="X177" i="5" s="1"/>
  <c r="U173" i="5"/>
  <c r="V173" i="5" s="1"/>
  <c r="X173" i="5" s="1"/>
  <c r="U169" i="5"/>
  <c r="V169" i="5" s="1"/>
  <c r="X169" i="5" s="1"/>
  <c r="U165" i="5"/>
  <c r="V165" i="5" s="1"/>
  <c r="X165" i="5" s="1"/>
  <c r="U157" i="5"/>
  <c r="V157" i="5" s="1"/>
  <c r="X157" i="5" s="1"/>
  <c r="U188" i="5"/>
  <c r="V188" i="5" s="1"/>
  <c r="X188" i="5" s="1"/>
  <c r="U182" i="5"/>
  <c r="V182" i="5" s="1"/>
  <c r="X182" i="5" s="1"/>
  <c r="U176" i="5"/>
  <c r="V176" i="5" s="1"/>
  <c r="X176" i="5" s="1"/>
  <c r="U172" i="5"/>
  <c r="V172" i="5" s="1"/>
  <c r="X172" i="5" s="1"/>
  <c r="G76" i="1" s="1"/>
  <c r="U168" i="5"/>
  <c r="V168" i="5" s="1"/>
  <c r="X168" i="5" s="1"/>
  <c r="U164" i="5"/>
  <c r="V164" i="5" s="1"/>
  <c r="X164" i="5" s="1"/>
  <c r="K40" i="1" s="1"/>
  <c r="U160" i="5"/>
  <c r="V160" i="5" s="1"/>
  <c r="X160" i="5" s="1"/>
  <c r="S43" i="1" s="1"/>
  <c r="U194" i="5"/>
  <c r="V194" i="5" s="1"/>
  <c r="X194" i="5" s="1"/>
  <c r="U158" i="5"/>
  <c r="V158" i="5" s="1"/>
  <c r="X158" i="5" s="1"/>
  <c r="U153" i="5"/>
  <c r="V153" i="5" s="1"/>
  <c r="X153" i="5" s="1"/>
  <c r="U150" i="5"/>
  <c r="V150" i="5" s="1"/>
  <c r="X150" i="5" s="1"/>
  <c r="U140" i="5"/>
  <c r="V140" i="5" s="1"/>
  <c r="X140" i="5" s="1"/>
  <c r="U136" i="5"/>
  <c r="V136" i="5" s="1"/>
  <c r="X136" i="5" s="1"/>
  <c r="U132" i="5"/>
  <c r="V132" i="5" s="1"/>
  <c r="X132" i="5" s="1"/>
  <c r="U128" i="5"/>
  <c r="V128" i="5" s="1"/>
  <c r="U154" i="5"/>
  <c r="V154" i="5" s="1"/>
  <c r="X154" i="5" s="1"/>
  <c r="U122" i="5"/>
  <c r="V122" i="5" s="1"/>
  <c r="X122" i="5" s="1"/>
  <c r="U116" i="5"/>
  <c r="V116" i="5" s="1"/>
  <c r="X116" i="5" s="1"/>
  <c r="U112" i="5"/>
  <c r="V112" i="5" s="1"/>
  <c r="X112" i="5" s="1"/>
  <c r="U110" i="5"/>
  <c r="V110" i="5" s="1"/>
  <c r="X110" i="5" s="1"/>
  <c r="U107" i="5"/>
  <c r="V107" i="5" s="1"/>
  <c r="X107" i="5" s="1"/>
  <c r="U121" i="5"/>
  <c r="V121" i="5" s="1"/>
  <c r="X121" i="5" s="1"/>
  <c r="U145" i="5"/>
  <c r="V145" i="5" s="1"/>
  <c r="X145" i="5" s="1"/>
  <c r="U141" i="5"/>
  <c r="V141" i="5" s="1"/>
  <c r="X141" i="5" s="1"/>
  <c r="U137" i="5"/>
  <c r="V137" i="5" s="1"/>
  <c r="X137" i="5" s="1"/>
  <c r="U127" i="5"/>
  <c r="V127" i="5" s="1"/>
  <c r="X127" i="5" s="1"/>
  <c r="U119" i="5"/>
  <c r="V119" i="5" s="1"/>
  <c r="X119" i="5" s="1"/>
  <c r="G63" i="1" s="1"/>
  <c r="U113" i="5"/>
  <c r="V113" i="5" s="1"/>
  <c r="X113" i="5" s="1"/>
  <c r="U106" i="5"/>
  <c r="V106" i="5" s="1"/>
  <c r="X106" i="5" s="1"/>
  <c r="U437" i="5"/>
  <c r="V437" i="5" s="1"/>
  <c r="X437" i="5" s="1"/>
  <c r="U446" i="5"/>
  <c r="V446" i="5" s="1"/>
  <c r="X446" i="5" s="1"/>
  <c r="U442" i="5"/>
  <c r="V442" i="5" s="1"/>
  <c r="X442" i="5" s="1"/>
  <c r="U179" i="5"/>
  <c r="V179" i="5" s="1"/>
  <c r="X179" i="5" s="1"/>
  <c r="U300" i="5"/>
  <c r="V300" i="5" s="1"/>
  <c r="X300" i="5" s="1"/>
  <c r="U306" i="5"/>
  <c r="V306" i="5" s="1"/>
  <c r="X306" i="5" s="1"/>
  <c r="U292" i="5"/>
  <c r="V292" i="5" s="1"/>
  <c r="X292" i="5" s="1"/>
  <c r="U445" i="5"/>
  <c r="V445" i="5" s="1"/>
  <c r="X445" i="5" s="1"/>
  <c r="U441" i="5"/>
  <c r="V441" i="5" s="1"/>
  <c r="X441" i="5" s="1"/>
  <c r="U439" i="5"/>
  <c r="V439" i="5" s="1"/>
  <c r="X439" i="5" s="1"/>
  <c r="U436" i="5"/>
  <c r="V436" i="5" s="1"/>
  <c r="X436" i="5" s="1"/>
  <c r="U285" i="5"/>
  <c r="V285" i="5" s="1"/>
  <c r="X285" i="5" s="1"/>
  <c r="U115" i="5"/>
  <c r="V115" i="5" s="1"/>
  <c r="X115" i="5" s="1"/>
  <c r="U434" i="5"/>
  <c r="V434" i="5" s="1"/>
  <c r="X434" i="5" s="1"/>
  <c r="U432" i="5"/>
  <c r="V432" i="5" s="1"/>
  <c r="X432" i="5" s="1"/>
  <c r="U430" i="5"/>
  <c r="V430" i="5" s="1"/>
  <c r="X430" i="5" s="1"/>
  <c r="U428" i="5"/>
  <c r="V428" i="5" s="1"/>
  <c r="X428" i="5" s="1"/>
  <c r="U426" i="5"/>
  <c r="V426" i="5" s="1"/>
  <c r="X426" i="5" s="1"/>
  <c r="U424" i="5"/>
  <c r="V424" i="5" s="1"/>
  <c r="X424" i="5" s="1"/>
  <c r="U422" i="5"/>
  <c r="V422" i="5" s="1"/>
  <c r="X422" i="5" s="1"/>
  <c r="U420" i="5"/>
  <c r="V420" i="5" s="1"/>
  <c r="X420" i="5" s="1"/>
  <c r="U418" i="5"/>
  <c r="V418" i="5" s="1"/>
  <c r="X418" i="5" s="1"/>
  <c r="U416" i="5"/>
  <c r="V416" i="5" s="1"/>
  <c r="X416" i="5" s="1"/>
  <c r="U192" i="5"/>
  <c r="V192" i="5" s="1"/>
  <c r="X192" i="5" s="1"/>
  <c r="U118" i="5"/>
  <c r="V118" i="5" s="1"/>
  <c r="X118" i="5" s="1"/>
  <c r="U149" i="5"/>
  <c r="V149" i="5" s="1"/>
  <c r="X149" i="5" s="1"/>
  <c r="U159" i="5"/>
  <c r="V159" i="5" s="1"/>
  <c r="X159" i="5" s="1"/>
  <c r="U123" i="5"/>
  <c r="V123" i="5" s="1"/>
  <c r="X123" i="5" s="1"/>
  <c r="U294" i="5"/>
  <c r="V294" i="5" s="1"/>
  <c r="X294" i="5" s="1"/>
  <c r="U274" i="5"/>
  <c r="V274" i="5" s="1"/>
  <c r="X274" i="5" s="1"/>
  <c r="U131" i="5"/>
  <c r="V131" i="5" s="1"/>
  <c r="U126" i="5"/>
  <c r="V126" i="5" s="1"/>
  <c r="X126" i="5" s="1"/>
  <c r="U414" i="5"/>
  <c r="V414" i="5" s="1"/>
  <c r="X414" i="5" s="1"/>
  <c r="U412" i="5"/>
  <c r="V412" i="5" s="1"/>
  <c r="X412" i="5" s="1"/>
  <c r="U410" i="5"/>
  <c r="V410" i="5" s="1"/>
  <c r="X410" i="5" s="1"/>
  <c r="U407" i="5"/>
  <c r="V407" i="5" s="1"/>
  <c r="X407" i="5" s="1"/>
  <c r="U403" i="5"/>
  <c r="V403" i="5" s="1"/>
  <c r="X403" i="5" s="1"/>
  <c r="U399" i="5"/>
  <c r="V399" i="5" s="1"/>
  <c r="X399" i="5" s="1"/>
  <c r="U395" i="5"/>
  <c r="V395" i="5" s="1"/>
  <c r="X395" i="5" s="1"/>
  <c r="U391" i="5"/>
  <c r="V391" i="5" s="1"/>
  <c r="X391" i="5" s="1"/>
  <c r="U387" i="5"/>
  <c r="V387" i="5" s="1"/>
  <c r="X387" i="5" s="1"/>
  <c r="U383" i="5"/>
  <c r="V383" i="5" s="1"/>
  <c r="X383" i="5" s="1"/>
  <c r="U404" i="5"/>
  <c r="V404" i="5" s="1"/>
  <c r="X404" i="5" s="1"/>
  <c r="U400" i="5"/>
  <c r="V400" i="5" s="1"/>
  <c r="X400" i="5" s="1"/>
  <c r="U379" i="5"/>
  <c r="V379" i="5" s="1"/>
  <c r="X379" i="5" s="1"/>
  <c r="U375" i="5"/>
  <c r="V375" i="5" s="1"/>
  <c r="X375" i="5" s="1"/>
  <c r="U371" i="5"/>
  <c r="V371" i="5" s="1"/>
  <c r="X371" i="5" s="1"/>
  <c r="U367" i="5"/>
  <c r="V367" i="5" s="1"/>
  <c r="X367" i="5" s="1"/>
  <c r="U363" i="5"/>
  <c r="V363" i="5" s="1"/>
  <c r="X363" i="5" s="1"/>
  <c r="U359" i="5"/>
  <c r="V359" i="5" s="1"/>
  <c r="X359" i="5" s="1"/>
  <c r="U355" i="5"/>
  <c r="V355" i="5" s="1"/>
  <c r="X355" i="5" s="1"/>
  <c r="U351" i="5"/>
  <c r="V351" i="5" s="1"/>
  <c r="X351" i="5" s="1"/>
  <c r="U347" i="5"/>
  <c r="V347" i="5" s="1"/>
  <c r="X347" i="5" s="1"/>
  <c r="U343" i="5"/>
  <c r="V343" i="5" s="1"/>
  <c r="X343" i="5" s="1"/>
  <c r="U339" i="5"/>
  <c r="V339" i="5" s="1"/>
  <c r="X339" i="5" s="1"/>
  <c r="U335" i="5"/>
  <c r="V335" i="5" s="1"/>
  <c r="X335" i="5" s="1"/>
  <c r="U331" i="5"/>
  <c r="V331" i="5" s="1"/>
  <c r="X331" i="5" s="1"/>
  <c r="U327" i="5"/>
  <c r="V327" i="5" s="1"/>
  <c r="X327" i="5" s="1"/>
  <c r="U323" i="5"/>
  <c r="V323" i="5" s="1"/>
  <c r="X323" i="5" s="1"/>
  <c r="U319" i="5"/>
  <c r="V319" i="5" s="1"/>
  <c r="X319" i="5" s="1"/>
  <c r="U315" i="5"/>
  <c r="V315" i="5" s="1"/>
  <c r="X315" i="5" s="1"/>
  <c r="U311" i="5"/>
  <c r="V311" i="5" s="1"/>
  <c r="X311" i="5" s="1"/>
  <c r="U307" i="5"/>
  <c r="V307" i="5" s="1"/>
  <c r="X307" i="5" s="1"/>
  <c r="U303" i="5"/>
  <c r="V303" i="5" s="1"/>
  <c r="X303" i="5" s="1"/>
  <c r="U297" i="5"/>
  <c r="V297" i="5" s="1"/>
  <c r="X297" i="5" s="1"/>
  <c r="U291" i="5"/>
  <c r="V291" i="5" s="1"/>
  <c r="X291" i="5" s="1"/>
  <c r="U287" i="5"/>
  <c r="V287" i="5" s="1"/>
  <c r="X287" i="5" s="1"/>
  <c r="U281" i="5"/>
  <c r="V281" i="5" s="1"/>
  <c r="X281" i="5" s="1"/>
  <c r="U277" i="5"/>
  <c r="V277" i="5" s="1"/>
  <c r="X277" i="5" s="1"/>
  <c r="U271" i="5"/>
  <c r="V271" i="5" s="1"/>
  <c r="X271" i="5" s="1"/>
  <c r="U267" i="5"/>
  <c r="V267" i="5" s="1"/>
  <c r="X267" i="5" s="1"/>
  <c r="U263" i="5"/>
  <c r="V263" i="5" s="1"/>
  <c r="X263" i="5" s="1"/>
  <c r="U259" i="5"/>
  <c r="V259" i="5" s="1"/>
  <c r="X259" i="5" s="1"/>
  <c r="U396" i="5"/>
  <c r="V396" i="5" s="1"/>
  <c r="X396" i="5" s="1"/>
  <c r="U392" i="5"/>
  <c r="V392" i="5" s="1"/>
  <c r="X392" i="5" s="1"/>
  <c r="U388" i="5"/>
  <c r="V388" i="5" s="1"/>
  <c r="X388" i="5" s="1"/>
  <c r="U384" i="5"/>
  <c r="V384" i="5" s="1"/>
  <c r="X384" i="5" s="1"/>
  <c r="U380" i="5"/>
  <c r="V380" i="5" s="1"/>
  <c r="X380" i="5" s="1"/>
  <c r="U376" i="5"/>
  <c r="V376" i="5" s="1"/>
  <c r="X376" i="5" s="1"/>
  <c r="U372" i="5"/>
  <c r="V372" i="5" s="1"/>
  <c r="X372" i="5" s="1"/>
  <c r="U368" i="5"/>
  <c r="V368" i="5" s="1"/>
  <c r="X368" i="5" s="1"/>
  <c r="U364" i="5"/>
  <c r="V364" i="5" s="1"/>
  <c r="X364" i="5" s="1"/>
  <c r="U360" i="5"/>
  <c r="V360" i="5" s="1"/>
  <c r="X360" i="5" s="1"/>
  <c r="U356" i="5"/>
  <c r="V356" i="5" s="1"/>
  <c r="X356" i="5" s="1"/>
  <c r="U352" i="5"/>
  <c r="V352" i="5" s="1"/>
  <c r="X352" i="5" s="1"/>
  <c r="U348" i="5"/>
  <c r="V348" i="5" s="1"/>
  <c r="X348" i="5" s="1"/>
  <c r="U344" i="5"/>
  <c r="V344" i="5" s="1"/>
  <c r="X344" i="5" s="1"/>
  <c r="U340" i="5"/>
  <c r="V340" i="5" s="1"/>
  <c r="X340" i="5" s="1"/>
  <c r="U336" i="5"/>
  <c r="V336" i="5" s="1"/>
  <c r="X336" i="5" s="1"/>
  <c r="U332" i="5"/>
  <c r="V332" i="5" s="1"/>
  <c r="X332" i="5" s="1"/>
  <c r="U328" i="5"/>
  <c r="V328" i="5" s="1"/>
  <c r="X328" i="5" s="1"/>
  <c r="U324" i="5"/>
  <c r="V324" i="5" s="1"/>
  <c r="X324" i="5" s="1"/>
  <c r="U320" i="5"/>
  <c r="V320" i="5" s="1"/>
  <c r="X320" i="5" s="1"/>
  <c r="U316" i="5"/>
  <c r="V316" i="5" s="1"/>
  <c r="X316" i="5" s="1"/>
  <c r="U312" i="5"/>
  <c r="V312" i="5" s="1"/>
  <c r="X312" i="5" s="1"/>
  <c r="U308" i="5"/>
  <c r="V308" i="5" s="1"/>
  <c r="X308" i="5" s="1"/>
  <c r="U302" i="5"/>
  <c r="V302" i="5" s="1"/>
  <c r="X302" i="5" s="1"/>
  <c r="U296" i="5"/>
  <c r="V296" i="5" s="1"/>
  <c r="X296" i="5" s="1"/>
  <c r="U284" i="5"/>
  <c r="V284" i="5" s="1"/>
  <c r="X284" i="5" s="1"/>
  <c r="U278" i="5"/>
  <c r="V278" i="5" s="1"/>
  <c r="X278" i="5" s="1"/>
  <c r="U272" i="5"/>
  <c r="V272" i="5" s="1"/>
  <c r="X272" i="5" s="1"/>
  <c r="U268" i="5"/>
  <c r="V268" i="5" s="1"/>
  <c r="X268" i="5" s="1"/>
  <c r="U264" i="5"/>
  <c r="V264" i="5" s="1"/>
  <c r="X264" i="5" s="1"/>
  <c r="U260" i="5"/>
  <c r="V260" i="5" s="1"/>
  <c r="X260" i="5" s="1"/>
  <c r="U255" i="5"/>
  <c r="V255" i="5" s="1"/>
  <c r="X255" i="5" s="1"/>
  <c r="U251" i="5"/>
  <c r="V251" i="5" s="1"/>
  <c r="X251" i="5" s="1"/>
  <c r="U247" i="5"/>
  <c r="V247" i="5" s="1"/>
  <c r="X247" i="5" s="1"/>
  <c r="U243" i="5"/>
  <c r="V243" i="5" s="1"/>
  <c r="X243" i="5" s="1"/>
  <c r="G6" i="1" s="1"/>
  <c r="U239" i="5"/>
  <c r="V239" i="5" s="1"/>
  <c r="X239" i="5" s="1"/>
  <c r="S33" i="1" s="1"/>
  <c r="U235" i="5"/>
  <c r="V235" i="5" s="1"/>
  <c r="X235" i="5" s="1"/>
  <c r="G79" i="1" s="1"/>
  <c r="U231" i="5"/>
  <c r="V231" i="5" s="1"/>
  <c r="X231" i="5" s="1"/>
  <c r="G54" i="1" s="1"/>
  <c r="U227" i="5"/>
  <c r="V227" i="5" s="1"/>
  <c r="X227" i="5" s="1"/>
  <c r="G41" i="1" s="1"/>
  <c r="U219" i="5"/>
  <c r="V219" i="5" s="1"/>
  <c r="X219" i="5" s="1"/>
  <c r="U215" i="5"/>
  <c r="V215" i="5" s="1"/>
  <c r="X215" i="5" s="1"/>
  <c r="U256" i="5"/>
  <c r="V256" i="5" s="1"/>
  <c r="X256" i="5" s="1"/>
  <c r="U252" i="5"/>
  <c r="V252" i="5" s="1"/>
  <c r="X252" i="5" s="1"/>
  <c r="U248" i="5"/>
  <c r="V248" i="5" s="1"/>
  <c r="X248" i="5" s="1"/>
  <c r="U244" i="5"/>
  <c r="V244" i="5" s="1"/>
  <c r="X244" i="5" s="1"/>
  <c r="U240" i="5"/>
  <c r="V240" i="5" s="1"/>
  <c r="X240" i="5" s="1"/>
  <c r="K54" i="1" s="1"/>
  <c r="U236" i="5"/>
  <c r="V236" i="5" s="1"/>
  <c r="X236" i="5" s="1"/>
  <c r="G77" i="1" s="1"/>
  <c r="U232" i="5"/>
  <c r="V232" i="5" s="1"/>
  <c r="X232" i="5" s="1"/>
  <c r="G67" i="1" s="1"/>
  <c r="U228" i="5"/>
  <c r="V228" i="5" s="1"/>
  <c r="X228" i="5" s="1"/>
  <c r="G39" i="1" s="1"/>
  <c r="U224" i="5"/>
  <c r="V224" i="5" s="1"/>
  <c r="X224" i="5" s="1"/>
  <c r="G19" i="1" s="1"/>
  <c r="U216" i="5"/>
  <c r="V216" i="5" s="1"/>
  <c r="X216" i="5" s="1"/>
  <c r="U211" i="5"/>
  <c r="V211" i="5" s="1"/>
  <c r="X211" i="5" s="1"/>
  <c r="U207" i="5"/>
  <c r="V207" i="5" s="1"/>
  <c r="X207" i="5" s="1"/>
  <c r="U201" i="5"/>
  <c r="V201" i="5" s="1"/>
  <c r="X201" i="5" s="1"/>
  <c r="K55" i="1" s="1"/>
  <c r="U197" i="5"/>
  <c r="V197" i="5" s="1"/>
  <c r="X197" i="5" s="1"/>
  <c r="U193" i="5"/>
  <c r="V193" i="5" s="1"/>
  <c r="X193" i="5" s="1"/>
  <c r="K56" i="1" s="1"/>
  <c r="U189" i="5"/>
  <c r="V189" i="5" s="1"/>
  <c r="X189" i="5" s="1"/>
  <c r="U212" i="5"/>
  <c r="V212" i="5" s="1"/>
  <c r="X212" i="5" s="1"/>
  <c r="U208" i="5"/>
  <c r="V208" i="5" s="1"/>
  <c r="X208" i="5" s="1"/>
  <c r="U202" i="5"/>
  <c r="V202" i="5" s="1"/>
  <c r="X202" i="5" s="1"/>
  <c r="U198" i="5"/>
  <c r="V198" i="5" s="1"/>
  <c r="X198" i="5" s="1"/>
  <c r="U185" i="5"/>
  <c r="V185" i="5" s="1"/>
  <c r="X185" i="5" s="1"/>
  <c r="U181" i="5"/>
  <c r="V181" i="5" s="1"/>
  <c r="X181" i="5" s="1"/>
  <c r="U175" i="5"/>
  <c r="V175" i="5" s="1"/>
  <c r="X175" i="5" s="1"/>
  <c r="U171" i="5"/>
  <c r="V171" i="5" s="1"/>
  <c r="X171" i="5" s="1"/>
  <c r="U167" i="5"/>
  <c r="V167" i="5" s="1"/>
  <c r="X167" i="5" s="1"/>
  <c r="U163" i="5"/>
  <c r="V163" i="5" s="1"/>
  <c r="X163" i="5" s="1"/>
  <c r="U155" i="5"/>
  <c r="V155" i="5" s="1"/>
  <c r="X155" i="5" s="1"/>
  <c r="G4" i="1" s="1"/>
  <c r="U186" i="5"/>
  <c r="V186" i="5" s="1"/>
  <c r="X186" i="5" s="1"/>
  <c r="U180" i="5"/>
  <c r="V180" i="5" s="1"/>
  <c r="X180" i="5" s="1"/>
  <c r="U174" i="5"/>
  <c r="V174" i="5" s="1"/>
  <c r="X174" i="5" s="1"/>
  <c r="G27" i="1" s="1"/>
  <c r="U170" i="5"/>
  <c r="V170" i="5" s="1"/>
  <c r="X170" i="5" s="1"/>
  <c r="U166" i="5"/>
  <c r="V166" i="5" s="1"/>
  <c r="X166" i="5" s="1"/>
  <c r="U162" i="5"/>
  <c r="V162" i="5" s="1"/>
  <c r="X162" i="5" s="1"/>
  <c r="S3" i="1" s="1"/>
  <c r="U196" i="5"/>
  <c r="V196" i="5" s="1"/>
  <c r="X196" i="5" s="1"/>
  <c r="U190" i="5"/>
  <c r="V190" i="5" s="1"/>
  <c r="X190" i="5" s="1"/>
  <c r="U156" i="5"/>
  <c r="V156" i="5" s="1"/>
  <c r="X156" i="5" s="1"/>
  <c r="U151" i="5"/>
  <c r="V151" i="5" s="1"/>
  <c r="X151" i="5" s="1"/>
  <c r="U147" i="5"/>
  <c r="V147" i="5" s="1"/>
  <c r="X147" i="5" s="1"/>
  <c r="U142" i="5"/>
  <c r="V142" i="5" s="1"/>
  <c r="X142" i="5" s="1"/>
  <c r="U138" i="5"/>
  <c r="V138" i="5" s="1"/>
  <c r="X138" i="5" s="1"/>
  <c r="U134" i="5"/>
  <c r="V134" i="5" s="1"/>
  <c r="X134" i="5" s="1"/>
  <c r="U130" i="5"/>
  <c r="V130" i="5" s="1"/>
  <c r="X130" i="5" s="1"/>
  <c r="U124" i="5"/>
  <c r="V124" i="5" s="1"/>
  <c r="X124" i="5" s="1"/>
  <c r="U152" i="5"/>
  <c r="V152" i="5" s="1"/>
  <c r="X152" i="5" s="1"/>
  <c r="U120" i="5"/>
  <c r="V120" i="5" s="1"/>
  <c r="X120" i="5" s="1"/>
  <c r="U114" i="5"/>
  <c r="V114" i="5" s="1"/>
  <c r="X114" i="5" s="1"/>
  <c r="U109" i="5"/>
  <c r="V109" i="5" s="1"/>
  <c r="X109" i="5" s="1"/>
  <c r="U148" i="5"/>
  <c r="V148" i="5" s="1"/>
  <c r="X148" i="5" s="1"/>
  <c r="K52" i="1" s="1"/>
  <c r="U146" i="5"/>
  <c r="V146" i="5" s="1"/>
  <c r="X146" i="5" s="1"/>
  <c r="U143" i="5"/>
  <c r="V143" i="5" s="1"/>
  <c r="X143" i="5" s="1"/>
  <c r="U139" i="5"/>
  <c r="V139" i="5" s="1"/>
  <c r="X139" i="5" s="1"/>
  <c r="U133" i="5"/>
  <c r="V133" i="5" s="1"/>
  <c r="U125" i="5"/>
  <c r="V125" i="5" s="1"/>
  <c r="X125" i="5" s="1"/>
  <c r="U117" i="5"/>
  <c r="V117" i="5" s="1"/>
  <c r="X117" i="5" s="1"/>
  <c r="U108" i="5"/>
  <c r="V108" i="5" s="1"/>
  <c r="X108" i="5" s="1"/>
  <c r="U58" i="5"/>
  <c r="V58" i="5" s="1"/>
  <c r="X58" i="5" s="1"/>
  <c r="G81" i="1" s="1"/>
  <c r="U57" i="5"/>
  <c r="V57" i="5" s="1"/>
  <c r="X57" i="5" s="1"/>
  <c r="U4" i="5"/>
  <c r="V4" i="5" s="1"/>
  <c r="X4" i="5" s="1"/>
  <c r="U10" i="5"/>
  <c r="V10" i="5" s="1"/>
  <c r="X10" i="5" s="1"/>
  <c r="U3" i="5"/>
  <c r="V3" i="5" s="1"/>
  <c r="X3" i="5" s="1"/>
  <c r="S19" i="1" s="1"/>
  <c r="U60" i="5"/>
  <c r="V60" i="5" s="1"/>
  <c r="X60" i="5" s="1"/>
  <c r="U59" i="5"/>
  <c r="V59" i="5" s="1"/>
  <c r="X59" i="5" s="1"/>
  <c r="U86" i="5"/>
  <c r="V86" i="5" s="1"/>
  <c r="X86" i="5" s="1"/>
  <c r="U83" i="5"/>
  <c r="V83" i="5" s="1"/>
  <c r="X83" i="5" s="1"/>
  <c r="U79" i="5"/>
  <c r="V79" i="5" s="1"/>
  <c r="X79" i="5" s="1"/>
  <c r="U75" i="5"/>
  <c r="V75" i="5" s="1"/>
  <c r="X75" i="5" s="1"/>
  <c r="U84" i="5"/>
  <c r="V84" i="5" s="1"/>
  <c r="X84" i="5" s="1"/>
  <c r="U80" i="5"/>
  <c r="V80" i="5" s="1"/>
  <c r="X80" i="5" s="1"/>
  <c r="U76" i="5"/>
  <c r="V76" i="5" s="1"/>
  <c r="X76" i="5" s="1"/>
  <c r="U103" i="5"/>
  <c r="V103" i="5" s="1"/>
  <c r="X103" i="5" s="1"/>
  <c r="U101" i="5"/>
  <c r="V101" i="5" s="1"/>
  <c r="X101" i="5" s="1"/>
  <c r="U97" i="5"/>
  <c r="V97" i="5" s="1"/>
  <c r="X97" i="5" s="1"/>
  <c r="U93" i="5"/>
  <c r="V93" i="5" s="1"/>
  <c r="X93" i="5" s="1"/>
  <c r="U89" i="5"/>
  <c r="V89" i="5" s="1"/>
  <c r="X89" i="5" s="1"/>
  <c r="U100" i="5"/>
  <c r="V100" i="5" s="1"/>
  <c r="X100" i="5" s="1"/>
  <c r="G55" i="1" s="1"/>
  <c r="U96" i="5"/>
  <c r="V96" i="5" s="1"/>
  <c r="X96" i="5" s="1"/>
  <c r="U92" i="5"/>
  <c r="V92" i="5" s="1"/>
  <c r="X92" i="5" s="1"/>
  <c r="U87" i="5"/>
  <c r="V87" i="5" s="1"/>
  <c r="X87" i="5" s="1"/>
  <c r="U85" i="5"/>
  <c r="V85" i="5" s="1"/>
  <c r="X85" i="5" s="1"/>
  <c r="U81" i="5"/>
  <c r="V81" i="5" s="1"/>
  <c r="X81" i="5" s="1"/>
  <c r="U77" i="5"/>
  <c r="V77" i="5" s="1"/>
  <c r="X77" i="5" s="1"/>
  <c r="K6" i="1" s="1"/>
  <c r="U73" i="5"/>
  <c r="V73" i="5" s="1"/>
  <c r="X73" i="5" s="1"/>
  <c r="U88" i="5"/>
  <c r="V88" i="5" s="1"/>
  <c r="X88" i="5" s="1"/>
  <c r="G3" i="1" s="1"/>
  <c r="U82" i="5"/>
  <c r="V82" i="5" s="1"/>
  <c r="X82" i="5" s="1"/>
  <c r="K29" i="1" s="1"/>
  <c r="U78" i="5"/>
  <c r="V78" i="5" s="1"/>
  <c r="X78" i="5" s="1"/>
  <c r="U74" i="5"/>
  <c r="V74" i="5" s="1"/>
  <c r="X74" i="5" s="1"/>
  <c r="S41" i="1" s="1"/>
  <c r="U102" i="5"/>
  <c r="V102" i="5" s="1"/>
  <c r="X102" i="5" s="1"/>
  <c r="U105" i="5"/>
  <c r="V105" i="5" s="1"/>
  <c r="X105" i="5" s="1"/>
  <c r="U99" i="5"/>
  <c r="V99" i="5" s="1"/>
  <c r="X99" i="5" s="1"/>
  <c r="G43" i="1" s="1"/>
  <c r="U95" i="5"/>
  <c r="V95" i="5" s="1"/>
  <c r="U91" i="5"/>
  <c r="V91" i="5" s="1"/>
  <c r="X91" i="5" s="1"/>
  <c r="K76" i="1" s="1"/>
  <c r="U104" i="5"/>
  <c r="V104" i="5" s="1"/>
  <c r="X104" i="5" s="1"/>
  <c r="U98" i="5"/>
  <c r="V98" i="5" s="1"/>
  <c r="X98" i="5" s="1"/>
  <c r="G70" i="1" s="1"/>
  <c r="U94" i="5"/>
  <c r="V94" i="5" s="1"/>
  <c r="U90" i="5"/>
  <c r="V90" i="5" s="1"/>
  <c r="X90" i="5" s="1"/>
  <c r="S53" i="1" s="1"/>
  <c r="T11" i="2"/>
  <c r="T549" i="2"/>
  <c r="T547" i="2"/>
  <c r="T545" i="2"/>
  <c r="T543" i="2"/>
  <c r="T541" i="2"/>
  <c r="T539" i="2"/>
  <c r="T537" i="2"/>
  <c r="T535" i="2"/>
  <c r="U535" i="2" s="1"/>
  <c r="T533" i="2"/>
  <c r="U533" i="2" s="1"/>
  <c r="T531" i="2"/>
  <c r="U531" i="2" s="1"/>
  <c r="T529" i="2"/>
  <c r="U529" i="2" s="1"/>
  <c r="T527" i="2"/>
  <c r="U527" i="2" s="1"/>
  <c r="T525" i="2"/>
  <c r="U525" i="2" s="1"/>
  <c r="T523" i="2"/>
  <c r="U523" i="2" s="1"/>
  <c r="T521" i="2"/>
  <c r="U521" i="2" s="1"/>
  <c r="T519" i="2"/>
  <c r="U519" i="2" s="1"/>
  <c r="T517" i="2"/>
  <c r="U517" i="2" s="1"/>
  <c r="T515" i="2"/>
  <c r="U515" i="2" s="1"/>
  <c r="T513" i="2"/>
  <c r="U513" i="2" s="1"/>
  <c r="V513" i="2" s="1"/>
  <c r="T511" i="2"/>
  <c r="U511" i="2" s="1"/>
  <c r="V511" i="2" s="1"/>
  <c r="T509" i="2"/>
  <c r="U509" i="2" s="1"/>
  <c r="V509" i="2" s="1"/>
  <c r="T507" i="2"/>
  <c r="U507" i="2" s="1"/>
  <c r="V507" i="2" s="1"/>
  <c r="T505" i="2"/>
  <c r="U505" i="2" s="1"/>
  <c r="V505" i="2" s="1"/>
  <c r="T503" i="2"/>
  <c r="U503" i="2" s="1"/>
  <c r="V503" i="2" s="1"/>
  <c r="T501" i="2"/>
  <c r="U501" i="2" s="1"/>
  <c r="V501" i="2" s="1"/>
  <c r="T499" i="2"/>
  <c r="U499" i="2" s="1"/>
  <c r="V499" i="2" s="1"/>
  <c r="T497" i="2"/>
  <c r="U497" i="2" s="1"/>
  <c r="V497" i="2" s="1"/>
  <c r="T495" i="2"/>
  <c r="U495" i="2" s="1"/>
  <c r="V495" i="2" s="1"/>
  <c r="T493" i="2"/>
  <c r="U493" i="2" s="1"/>
  <c r="V493" i="2" s="1"/>
  <c r="T491" i="2"/>
  <c r="U491" i="2" s="1"/>
  <c r="V491" i="2" s="1"/>
  <c r="T489" i="2"/>
  <c r="U489" i="2" s="1"/>
  <c r="V489" i="2" s="1"/>
  <c r="T487" i="2"/>
  <c r="U487" i="2" s="1"/>
  <c r="V487" i="2" s="1"/>
  <c r="T485" i="2"/>
  <c r="U485" i="2" s="1"/>
  <c r="V485" i="2" s="1"/>
  <c r="T483" i="2"/>
  <c r="U483" i="2" s="1"/>
  <c r="V483" i="2" s="1"/>
  <c r="T481" i="2"/>
  <c r="U481" i="2" s="1"/>
  <c r="V481" i="2" s="1"/>
  <c r="T479" i="2"/>
  <c r="U479" i="2" s="1"/>
  <c r="V479" i="2" s="1"/>
  <c r="T477" i="2"/>
  <c r="T475" i="2"/>
  <c r="T473" i="2"/>
  <c r="T471" i="2"/>
  <c r="T469" i="2"/>
  <c r="T467" i="2"/>
  <c r="T465" i="2"/>
  <c r="U465" i="2" s="1"/>
  <c r="V465" i="2" s="1"/>
  <c r="T463" i="2"/>
  <c r="U463" i="2" s="1"/>
  <c r="V463" i="2" s="1"/>
  <c r="T461" i="2"/>
  <c r="U461" i="2" s="1"/>
  <c r="V461" i="2" s="1"/>
  <c r="T459" i="2"/>
  <c r="U459" i="2" s="1"/>
  <c r="V459" i="2" s="1"/>
  <c r="T457" i="2"/>
  <c r="U457" i="2" s="1"/>
  <c r="V457" i="2" s="1"/>
  <c r="T455" i="2"/>
  <c r="U455" i="2" s="1"/>
  <c r="V455" i="2" s="1"/>
  <c r="T453" i="2"/>
  <c r="T451" i="2"/>
  <c r="U451" i="2" s="1"/>
  <c r="V451" i="2" s="1"/>
  <c r="T449" i="2"/>
  <c r="U449" i="2" s="1"/>
  <c r="V449" i="2" s="1"/>
  <c r="T447" i="2"/>
  <c r="U447" i="2" s="1"/>
  <c r="V447" i="2" s="1"/>
  <c r="T445" i="2"/>
  <c r="T443" i="2"/>
  <c r="U443" i="2" s="1"/>
  <c r="V443" i="2" s="1"/>
  <c r="T441" i="2"/>
  <c r="U441" i="2" s="1"/>
  <c r="V441" i="2" s="1"/>
  <c r="T439" i="2"/>
  <c r="U439" i="2" s="1"/>
  <c r="V439" i="2" s="1"/>
  <c r="T437" i="2"/>
  <c r="U437" i="2" s="1"/>
  <c r="V437" i="2" s="1"/>
  <c r="T435" i="2"/>
  <c r="U435" i="2" s="1"/>
  <c r="V435" i="2" s="1"/>
  <c r="T433" i="2"/>
  <c r="U433" i="2" s="1"/>
  <c r="V433" i="2" s="1"/>
  <c r="T431" i="2"/>
  <c r="U431" i="2" s="1"/>
  <c r="V431" i="2" s="1"/>
  <c r="T429" i="2"/>
  <c r="T427" i="2"/>
  <c r="U427" i="2" s="1"/>
  <c r="V427" i="2" s="1"/>
  <c r="T425" i="2"/>
  <c r="U425" i="2" s="1"/>
  <c r="V425" i="2" s="1"/>
  <c r="T423" i="2"/>
  <c r="U423" i="2" s="1"/>
  <c r="V423" i="2" s="1"/>
  <c r="T421" i="2"/>
  <c r="U421" i="2" s="1"/>
  <c r="V421" i="2" s="1"/>
  <c r="T419" i="2"/>
  <c r="U419" i="2" s="1"/>
  <c r="V419" i="2" s="1"/>
  <c r="T417" i="2"/>
  <c r="U417" i="2" s="1"/>
  <c r="V417" i="2" s="1"/>
  <c r="T415" i="2"/>
  <c r="U415" i="2" s="1"/>
  <c r="V415" i="2" s="1"/>
  <c r="T413" i="2"/>
  <c r="T411" i="2"/>
  <c r="U411" i="2" s="1"/>
  <c r="V411" i="2" s="1"/>
  <c r="T409" i="2"/>
  <c r="U409" i="2" s="1"/>
  <c r="V409" i="2" s="1"/>
  <c r="T407" i="2"/>
  <c r="U407" i="2" s="1"/>
  <c r="V407" i="2" s="1"/>
  <c r="T405" i="2"/>
  <c r="U405" i="2" s="1"/>
  <c r="V405" i="2" s="1"/>
  <c r="T403" i="2"/>
  <c r="U403" i="2" s="1"/>
  <c r="V403" i="2" s="1"/>
  <c r="T401" i="2"/>
  <c r="U401" i="2" s="1"/>
  <c r="V401" i="2" s="1"/>
  <c r="T399" i="2"/>
  <c r="U399" i="2" s="1"/>
  <c r="V399" i="2" s="1"/>
  <c r="T397" i="2"/>
  <c r="U397" i="2" s="1"/>
  <c r="V397" i="2" s="1"/>
  <c r="T395" i="2"/>
  <c r="U395" i="2" s="1"/>
  <c r="V395" i="2" s="1"/>
  <c r="T393" i="2"/>
  <c r="U393" i="2" s="1"/>
  <c r="V393" i="2" s="1"/>
  <c r="T391" i="2"/>
  <c r="U391" i="2" s="1"/>
  <c r="V391" i="2" s="1"/>
  <c r="T389" i="2"/>
  <c r="U389" i="2" s="1"/>
  <c r="V389" i="2" s="1"/>
  <c r="T387" i="2"/>
  <c r="U387" i="2" s="1"/>
  <c r="V387" i="2" s="1"/>
  <c r="T385" i="2"/>
  <c r="U385" i="2" s="1"/>
  <c r="V385" i="2" s="1"/>
  <c r="T383" i="2"/>
  <c r="U383" i="2" s="1"/>
  <c r="V383" i="2" s="1"/>
  <c r="T381" i="2"/>
  <c r="U381" i="2" s="1"/>
  <c r="V381" i="2" s="1"/>
  <c r="T379" i="2"/>
  <c r="U379" i="2" s="1"/>
  <c r="V379" i="2" s="1"/>
  <c r="T377" i="2"/>
  <c r="U377" i="2" s="1"/>
  <c r="V377" i="2" s="1"/>
  <c r="T375" i="2"/>
  <c r="U375" i="2" s="1"/>
  <c r="V375" i="2" s="1"/>
  <c r="T373" i="2"/>
  <c r="U373" i="2" s="1"/>
  <c r="V373" i="2" s="1"/>
  <c r="X373" i="2" s="1"/>
  <c r="T371" i="2"/>
  <c r="U371" i="2" s="1"/>
  <c r="V371" i="2" s="1"/>
  <c r="X371" i="2" s="1"/>
  <c r="T369" i="2"/>
  <c r="U369" i="2" s="1"/>
  <c r="V369" i="2" s="1"/>
  <c r="X369" i="2" s="1"/>
  <c r="T367" i="2"/>
  <c r="U367" i="2" s="1"/>
  <c r="V367" i="2" s="1"/>
  <c r="X367" i="2" s="1"/>
  <c r="T365" i="2"/>
  <c r="U365" i="2" s="1"/>
  <c r="V365" i="2" s="1"/>
  <c r="X365" i="2" s="1"/>
  <c r="T363" i="2"/>
  <c r="U363" i="2" s="1"/>
  <c r="V363" i="2" s="1"/>
  <c r="X363" i="2" s="1"/>
  <c r="T361" i="2"/>
  <c r="U361" i="2" s="1"/>
  <c r="V361" i="2" s="1"/>
  <c r="X361" i="2" s="1"/>
  <c r="T359" i="2"/>
  <c r="U359" i="2" s="1"/>
  <c r="V359" i="2" s="1"/>
  <c r="X359" i="2" s="1"/>
  <c r="T357" i="2"/>
  <c r="U357" i="2" s="1"/>
  <c r="V357" i="2" s="1"/>
  <c r="X357" i="2" s="1"/>
  <c r="T355" i="2"/>
  <c r="U355" i="2" s="1"/>
  <c r="V355" i="2" s="1"/>
  <c r="X355" i="2" s="1"/>
  <c r="T353" i="2"/>
  <c r="U353" i="2" s="1"/>
  <c r="V353" i="2" s="1"/>
  <c r="X353" i="2" s="1"/>
  <c r="T266" i="2"/>
  <c r="U266" i="2" s="1"/>
  <c r="V266" i="2" s="1"/>
  <c r="T184" i="2"/>
  <c r="T183" i="2"/>
  <c r="T181" i="2"/>
  <c r="T179" i="2"/>
  <c r="T177" i="2"/>
  <c r="T174" i="2"/>
  <c r="T172" i="2"/>
  <c r="T170" i="2"/>
  <c r="T169" i="2"/>
  <c r="T167" i="2"/>
  <c r="T166" i="2"/>
  <c r="T164" i="2"/>
  <c r="T162" i="2"/>
  <c r="T160" i="2"/>
  <c r="T158" i="2"/>
  <c r="T157" i="2"/>
  <c r="T155" i="2"/>
  <c r="T153" i="2"/>
  <c r="T152" i="2"/>
  <c r="T151" i="2"/>
  <c r="T150" i="2"/>
  <c r="T148" i="2"/>
  <c r="T146" i="2"/>
  <c r="T143" i="2"/>
  <c r="T140" i="2"/>
  <c r="T137" i="2"/>
  <c r="T136" i="2"/>
  <c r="T135" i="2"/>
  <c r="T133" i="2"/>
  <c r="T131" i="2"/>
  <c r="T129" i="2"/>
  <c r="T126" i="2"/>
  <c r="T124" i="2"/>
  <c r="T122" i="2"/>
  <c r="T120" i="2"/>
  <c r="T117" i="2"/>
  <c r="T112" i="2"/>
  <c r="T110" i="2"/>
  <c r="T107" i="2"/>
  <c r="T105" i="2"/>
  <c r="T104" i="2"/>
  <c r="T95" i="2"/>
  <c r="T94" i="2"/>
  <c r="T92" i="2"/>
  <c r="T91" i="2"/>
  <c r="T87" i="2"/>
  <c r="T85" i="2"/>
  <c r="T82" i="2"/>
  <c r="T80" i="2"/>
  <c r="T78" i="2"/>
  <c r="T76" i="2"/>
  <c r="T74" i="2"/>
  <c r="T70" i="2"/>
  <c r="T66" i="2"/>
  <c r="T63" i="2"/>
  <c r="T60" i="2"/>
  <c r="T59" i="2"/>
  <c r="T57" i="2"/>
  <c r="T56" i="2"/>
  <c r="T54" i="2"/>
  <c r="T52" i="2"/>
  <c r="T50" i="2"/>
  <c r="T48" i="2"/>
  <c r="T45" i="2"/>
  <c r="T43" i="2"/>
  <c r="T41" i="2"/>
  <c r="T40" i="2"/>
  <c r="T38" i="2"/>
  <c r="T36" i="2"/>
  <c r="T35" i="2"/>
  <c r="T33" i="2"/>
  <c r="T30" i="2"/>
  <c r="T28" i="2"/>
  <c r="T26" i="2"/>
  <c r="T24" i="2"/>
  <c r="T22" i="2"/>
  <c r="T20" i="2"/>
  <c r="T18" i="2"/>
  <c r="T16" i="2"/>
  <c r="T14" i="2"/>
  <c r="T12" i="2"/>
  <c r="T548" i="2"/>
  <c r="T546" i="2"/>
  <c r="T544" i="2"/>
  <c r="T542" i="2"/>
  <c r="T540" i="2"/>
  <c r="T538" i="2"/>
  <c r="T536" i="2"/>
  <c r="U536" i="2" s="1"/>
  <c r="T534" i="2"/>
  <c r="U534" i="2" s="1"/>
  <c r="T532" i="2"/>
  <c r="U532" i="2" s="1"/>
  <c r="T530" i="2"/>
  <c r="U530" i="2" s="1"/>
  <c r="T528" i="2"/>
  <c r="U528" i="2" s="1"/>
  <c r="T526" i="2"/>
  <c r="U526" i="2" s="1"/>
  <c r="T524" i="2"/>
  <c r="U524" i="2" s="1"/>
  <c r="T522" i="2"/>
  <c r="U522" i="2" s="1"/>
  <c r="T520" i="2"/>
  <c r="U520" i="2" s="1"/>
  <c r="T518" i="2"/>
  <c r="U518" i="2" s="1"/>
  <c r="T516" i="2"/>
  <c r="U516" i="2" s="1"/>
  <c r="T514" i="2"/>
  <c r="U514" i="2" s="1"/>
  <c r="T512" i="2"/>
  <c r="U512" i="2" s="1"/>
  <c r="V512" i="2" s="1"/>
  <c r="T510" i="2"/>
  <c r="U510" i="2" s="1"/>
  <c r="V510" i="2" s="1"/>
  <c r="T508" i="2"/>
  <c r="U508" i="2" s="1"/>
  <c r="V508" i="2" s="1"/>
  <c r="T506" i="2"/>
  <c r="U506" i="2" s="1"/>
  <c r="V506" i="2" s="1"/>
  <c r="T504" i="2"/>
  <c r="U504" i="2" s="1"/>
  <c r="V504" i="2" s="1"/>
  <c r="T502" i="2"/>
  <c r="U502" i="2" s="1"/>
  <c r="V502" i="2" s="1"/>
  <c r="T500" i="2"/>
  <c r="U500" i="2" s="1"/>
  <c r="V500" i="2" s="1"/>
  <c r="T498" i="2"/>
  <c r="U498" i="2" s="1"/>
  <c r="V498" i="2" s="1"/>
  <c r="T496" i="2"/>
  <c r="U496" i="2" s="1"/>
  <c r="V496" i="2" s="1"/>
  <c r="T494" i="2"/>
  <c r="U494" i="2" s="1"/>
  <c r="V494" i="2" s="1"/>
  <c r="T492" i="2"/>
  <c r="U492" i="2" s="1"/>
  <c r="V492" i="2" s="1"/>
  <c r="T490" i="2"/>
  <c r="U490" i="2" s="1"/>
  <c r="V490" i="2" s="1"/>
  <c r="T488" i="2"/>
  <c r="U488" i="2" s="1"/>
  <c r="V488" i="2" s="1"/>
  <c r="T486" i="2"/>
  <c r="U486" i="2" s="1"/>
  <c r="V486" i="2" s="1"/>
  <c r="T484" i="2"/>
  <c r="T482" i="2"/>
  <c r="T480" i="2"/>
  <c r="T478" i="2"/>
  <c r="U478" i="2" s="1"/>
  <c r="V478" i="2" s="1"/>
  <c r="T476" i="2"/>
  <c r="U476" i="2" s="1"/>
  <c r="V476" i="2" s="1"/>
  <c r="T474" i="2"/>
  <c r="U474" i="2" s="1"/>
  <c r="V474" i="2" s="1"/>
  <c r="T472" i="2"/>
  <c r="U472" i="2" s="1"/>
  <c r="V472" i="2" s="1"/>
  <c r="T470" i="2"/>
  <c r="U470" i="2" s="1"/>
  <c r="V470" i="2" s="1"/>
  <c r="T468" i="2"/>
  <c r="U468" i="2" s="1"/>
  <c r="V468" i="2" s="1"/>
  <c r="T466" i="2"/>
  <c r="U466" i="2" s="1"/>
  <c r="V466" i="2" s="1"/>
  <c r="T464" i="2"/>
  <c r="U464" i="2" s="1"/>
  <c r="V464" i="2" s="1"/>
  <c r="T462" i="2"/>
  <c r="U462" i="2" s="1"/>
  <c r="V462" i="2" s="1"/>
  <c r="T460" i="2"/>
  <c r="U460" i="2" s="1"/>
  <c r="V460" i="2" s="1"/>
  <c r="T458" i="2"/>
  <c r="U458" i="2" s="1"/>
  <c r="V458" i="2" s="1"/>
  <c r="T456" i="2"/>
  <c r="U456" i="2" s="1"/>
  <c r="V456" i="2" s="1"/>
  <c r="T454" i="2"/>
  <c r="U454" i="2" s="1"/>
  <c r="V454" i="2" s="1"/>
  <c r="T452" i="2"/>
  <c r="U452" i="2" s="1"/>
  <c r="V452" i="2" s="1"/>
  <c r="T450" i="2"/>
  <c r="U450" i="2" s="1"/>
  <c r="V450" i="2" s="1"/>
  <c r="T448" i="2"/>
  <c r="U448" i="2" s="1"/>
  <c r="V448" i="2" s="1"/>
  <c r="T446" i="2"/>
  <c r="U446" i="2" s="1"/>
  <c r="V446" i="2" s="1"/>
  <c r="T444" i="2"/>
  <c r="U444" i="2" s="1"/>
  <c r="V444" i="2" s="1"/>
  <c r="T442" i="2"/>
  <c r="U442" i="2" s="1"/>
  <c r="V442" i="2" s="1"/>
  <c r="T440" i="2"/>
  <c r="U440" i="2" s="1"/>
  <c r="V440" i="2" s="1"/>
  <c r="T438" i="2"/>
  <c r="U438" i="2" s="1"/>
  <c r="V438" i="2" s="1"/>
  <c r="T436" i="2"/>
  <c r="U436" i="2" s="1"/>
  <c r="V436" i="2" s="1"/>
  <c r="T434" i="2"/>
  <c r="U434" i="2" s="1"/>
  <c r="V434" i="2" s="1"/>
  <c r="T432" i="2"/>
  <c r="U432" i="2" s="1"/>
  <c r="V432" i="2" s="1"/>
  <c r="T430" i="2"/>
  <c r="U430" i="2" s="1"/>
  <c r="V430" i="2" s="1"/>
  <c r="T428" i="2"/>
  <c r="U428" i="2" s="1"/>
  <c r="V428" i="2" s="1"/>
  <c r="T426" i="2"/>
  <c r="U426" i="2" s="1"/>
  <c r="V426" i="2" s="1"/>
  <c r="T424" i="2"/>
  <c r="U424" i="2" s="1"/>
  <c r="V424" i="2" s="1"/>
  <c r="T422" i="2"/>
  <c r="U422" i="2" s="1"/>
  <c r="V422" i="2" s="1"/>
  <c r="T420" i="2"/>
  <c r="U420" i="2" s="1"/>
  <c r="V420" i="2" s="1"/>
  <c r="T418" i="2"/>
  <c r="U418" i="2" s="1"/>
  <c r="V418" i="2" s="1"/>
  <c r="T416" i="2"/>
  <c r="U416" i="2" s="1"/>
  <c r="V416" i="2" s="1"/>
  <c r="T414" i="2"/>
  <c r="U414" i="2" s="1"/>
  <c r="V414" i="2" s="1"/>
  <c r="T412" i="2"/>
  <c r="U412" i="2" s="1"/>
  <c r="V412" i="2" s="1"/>
  <c r="T410" i="2"/>
  <c r="U410" i="2" s="1"/>
  <c r="V410" i="2" s="1"/>
  <c r="T408" i="2"/>
  <c r="T406" i="2"/>
  <c r="U406" i="2" s="1"/>
  <c r="V406" i="2" s="1"/>
  <c r="T404" i="2"/>
  <c r="U404" i="2" s="1"/>
  <c r="V404" i="2" s="1"/>
  <c r="T402" i="2"/>
  <c r="U402" i="2" s="1"/>
  <c r="V402" i="2" s="1"/>
  <c r="T400" i="2"/>
  <c r="U400" i="2" s="1"/>
  <c r="V400" i="2" s="1"/>
  <c r="T398" i="2"/>
  <c r="U398" i="2" s="1"/>
  <c r="V398" i="2" s="1"/>
  <c r="T396" i="2"/>
  <c r="T394" i="2"/>
  <c r="T392" i="2"/>
  <c r="U392" i="2" s="1"/>
  <c r="V392" i="2" s="1"/>
  <c r="T390" i="2"/>
  <c r="U390" i="2" s="1"/>
  <c r="V390" i="2" s="1"/>
  <c r="T388" i="2"/>
  <c r="U388" i="2" s="1"/>
  <c r="V388" i="2" s="1"/>
  <c r="T386" i="2"/>
  <c r="U386" i="2" s="1"/>
  <c r="V386" i="2" s="1"/>
  <c r="T384" i="2"/>
  <c r="U384" i="2" s="1"/>
  <c r="V384" i="2" s="1"/>
  <c r="T382" i="2"/>
  <c r="U382" i="2" s="1"/>
  <c r="V382" i="2" s="1"/>
  <c r="T380" i="2"/>
  <c r="U380" i="2" s="1"/>
  <c r="V380" i="2" s="1"/>
  <c r="T378" i="2"/>
  <c r="U378" i="2" s="1"/>
  <c r="V378" i="2" s="1"/>
  <c r="T376" i="2"/>
  <c r="U376" i="2" s="1"/>
  <c r="V376" i="2" s="1"/>
  <c r="T374" i="2"/>
  <c r="U374" i="2" s="1"/>
  <c r="V374" i="2" s="1"/>
  <c r="X374" i="2" s="1"/>
  <c r="T372" i="2"/>
  <c r="U372" i="2" s="1"/>
  <c r="V372" i="2" s="1"/>
  <c r="X372" i="2" s="1"/>
  <c r="T370" i="2"/>
  <c r="U370" i="2" s="1"/>
  <c r="V370" i="2" s="1"/>
  <c r="X370" i="2" s="1"/>
  <c r="T368" i="2"/>
  <c r="U368" i="2" s="1"/>
  <c r="V368" i="2" s="1"/>
  <c r="X368" i="2" s="1"/>
  <c r="T366" i="2"/>
  <c r="U366" i="2" s="1"/>
  <c r="V366" i="2" s="1"/>
  <c r="X366" i="2" s="1"/>
  <c r="T364" i="2"/>
  <c r="U364" i="2" s="1"/>
  <c r="V364" i="2" s="1"/>
  <c r="X364" i="2" s="1"/>
  <c r="T362" i="2"/>
  <c r="U362" i="2" s="1"/>
  <c r="V362" i="2" s="1"/>
  <c r="X362" i="2" s="1"/>
  <c r="T360" i="2"/>
  <c r="U360" i="2" s="1"/>
  <c r="V360" i="2" s="1"/>
  <c r="X360" i="2" s="1"/>
  <c r="T358" i="2"/>
  <c r="U358" i="2" s="1"/>
  <c r="V358" i="2" s="1"/>
  <c r="X358" i="2" s="1"/>
  <c r="T356" i="2"/>
  <c r="U356" i="2" s="1"/>
  <c r="V356" i="2" s="1"/>
  <c r="X356" i="2" s="1"/>
  <c r="T354" i="2"/>
  <c r="U354" i="2" s="1"/>
  <c r="V354" i="2" s="1"/>
  <c r="X354" i="2" s="1"/>
  <c r="T267" i="2"/>
  <c r="U267" i="2" s="1"/>
  <c r="V267" i="2" s="1"/>
  <c r="X267" i="2" s="1"/>
  <c r="T182" i="2"/>
  <c r="U182" i="2" s="1"/>
  <c r="V182" i="2" s="1"/>
  <c r="T178" i="2"/>
  <c r="U178" i="2" s="1"/>
  <c r="V178" i="2" s="1"/>
  <c r="T176" i="2"/>
  <c r="T175" i="2"/>
  <c r="T171" i="2"/>
  <c r="T168" i="2"/>
  <c r="U168" i="2" s="1"/>
  <c r="V168" i="2" s="1"/>
  <c r="X168" i="2" s="1"/>
  <c r="T163" i="2"/>
  <c r="T161" i="2"/>
  <c r="U161" i="2" s="1"/>
  <c r="V161" i="2" s="1"/>
  <c r="X161" i="2" s="1"/>
  <c r="T159" i="2"/>
  <c r="T149" i="2"/>
  <c r="T145" i="2"/>
  <c r="T141" i="2"/>
  <c r="T139" i="2"/>
  <c r="T134" i="2"/>
  <c r="T130" i="2"/>
  <c r="T125" i="2"/>
  <c r="T121" i="2"/>
  <c r="T119" i="2"/>
  <c r="T115" i="2"/>
  <c r="T111" i="2"/>
  <c r="T108" i="2"/>
  <c r="T106" i="2"/>
  <c r="T96" i="2"/>
  <c r="T90" i="2"/>
  <c r="T88" i="2"/>
  <c r="T84" i="2"/>
  <c r="T83" i="2"/>
  <c r="T79" i="2"/>
  <c r="T77" i="2"/>
  <c r="T72" i="2"/>
  <c r="T69" i="2"/>
  <c r="T65" i="2"/>
  <c r="T154" i="2"/>
  <c r="U154" i="2" s="1"/>
  <c r="V154" i="2" s="1"/>
  <c r="X154" i="2" s="1"/>
  <c r="T147" i="2"/>
  <c r="T142" i="2"/>
  <c r="T138" i="2"/>
  <c r="T132" i="2"/>
  <c r="T128" i="2"/>
  <c r="T127" i="2"/>
  <c r="T123" i="2"/>
  <c r="T118" i="2"/>
  <c r="T116" i="2"/>
  <c r="T113" i="2"/>
  <c r="T109" i="2"/>
  <c r="T93" i="2"/>
  <c r="T86" i="2"/>
  <c r="T81" i="2"/>
  <c r="T75" i="2"/>
  <c r="T73" i="2"/>
  <c r="T71" i="2"/>
  <c r="T67" i="2"/>
  <c r="T64" i="2"/>
  <c r="T62" i="2"/>
  <c r="T61" i="2"/>
  <c r="T58" i="2"/>
  <c r="T55" i="2"/>
  <c r="T53" i="2"/>
  <c r="T49" i="2"/>
  <c r="T47" i="2"/>
  <c r="T46" i="2"/>
  <c r="T44" i="2"/>
  <c r="T42" i="2"/>
  <c r="T39" i="2"/>
  <c r="T37" i="2"/>
  <c r="T34" i="2"/>
  <c r="T32" i="2"/>
  <c r="T31" i="2"/>
  <c r="T29" i="2"/>
  <c r="T25" i="2"/>
  <c r="T23" i="2"/>
  <c r="T21" i="2"/>
  <c r="T19" i="2"/>
  <c r="T15" i="2"/>
  <c r="T13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T97" i="2"/>
  <c r="W97" i="2"/>
  <c r="T98" i="2"/>
  <c r="W98" i="2"/>
  <c r="W99" i="2"/>
  <c r="T100" i="2"/>
  <c r="W100" i="2"/>
  <c r="T101" i="2"/>
  <c r="W101" i="2"/>
  <c r="T102" i="2"/>
  <c r="W102" i="2"/>
  <c r="T103" i="2"/>
  <c r="W103" i="2"/>
  <c r="W104" i="2"/>
  <c r="T3" i="2"/>
  <c r="W3" i="2"/>
  <c r="T4" i="2"/>
  <c r="W4" i="2"/>
  <c r="W5" i="2"/>
  <c r="T6" i="2"/>
  <c r="W6" i="2"/>
  <c r="W7" i="2"/>
  <c r="T8" i="2"/>
  <c r="W8" i="2"/>
  <c r="T9" i="2"/>
  <c r="W9" i="2"/>
  <c r="T10" i="2"/>
  <c r="W10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263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16" i="2"/>
  <c r="W17" i="2"/>
  <c r="W18" i="2"/>
  <c r="W19" i="2"/>
  <c r="W20" i="2"/>
  <c r="W21" i="2"/>
  <c r="W22" i="2"/>
  <c r="G21" i="1" l="1"/>
  <c r="G34" i="1"/>
  <c r="G58" i="1"/>
  <c r="G82" i="1"/>
  <c r="G10" i="1"/>
  <c r="G46" i="1"/>
  <c r="G69" i="1"/>
  <c r="K3" i="1"/>
  <c r="G31" i="1"/>
  <c r="S18" i="1"/>
  <c r="S32" i="1"/>
  <c r="S69" i="1"/>
  <c r="K39" i="1"/>
  <c r="K51" i="1"/>
  <c r="K64" i="1"/>
  <c r="K16" i="1"/>
  <c r="S83" i="1"/>
  <c r="K8" i="1"/>
  <c r="K28" i="1"/>
  <c r="S16" i="1"/>
  <c r="S65" i="1"/>
  <c r="G17" i="1"/>
  <c r="G29" i="1"/>
  <c r="G52" i="1"/>
  <c r="G42" i="1"/>
  <c r="G66" i="1"/>
  <c r="G18" i="1"/>
  <c r="G44" i="1"/>
  <c r="S15" i="1"/>
  <c r="S40" i="1"/>
  <c r="K63" i="1"/>
  <c r="K75" i="1"/>
  <c r="S4" i="1"/>
  <c r="S80" i="1"/>
  <c r="K31" i="1"/>
  <c r="K53" i="1"/>
  <c r="G20" i="1"/>
  <c r="G33" i="1"/>
  <c r="G45" i="1"/>
  <c r="G57" i="1"/>
  <c r="G68" i="1"/>
  <c r="S27" i="1"/>
  <c r="S39" i="1"/>
  <c r="S51" i="1"/>
  <c r="S75" i="1"/>
  <c r="S63" i="1"/>
  <c r="G16" i="1"/>
  <c r="G28" i="1"/>
  <c r="G40" i="1"/>
  <c r="G64" i="1"/>
  <c r="G75" i="1"/>
  <c r="G51" i="1"/>
  <c r="S68" i="1"/>
  <c r="S30" i="1"/>
  <c r="S46" i="1"/>
  <c r="S57" i="1"/>
  <c r="S81" i="1"/>
  <c r="S34" i="1"/>
  <c r="S47" i="1"/>
  <c r="S59" i="1"/>
  <c r="S82" i="1"/>
  <c r="S71" i="1"/>
  <c r="S58" i="1"/>
  <c r="K42" i="1"/>
  <c r="S66" i="1"/>
  <c r="S28" i="1"/>
  <c r="S42" i="1"/>
  <c r="S52" i="1"/>
  <c r="S76" i="1"/>
  <c r="U394" i="2"/>
  <c r="V394" i="2" s="1"/>
  <c r="X394" i="2" s="1"/>
  <c r="U482" i="2"/>
  <c r="V482" i="2" s="1"/>
  <c r="X482" i="2" s="1"/>
  <c r="U413" i="2"/>
  <c r="V413" i="2" s="1"/>
  <c r="X413" i="2" s="1"/>
  <c r="U429" i="2"/>
  <c r="V429" i="2" s="1"/>
  <c r="X429" i="2" s="1"/>
  <c r="U445" i="2"/>
  <c r="V445" i="2" s="1"/>
  <c r="X445" i="2" s="1"/>
  <c r="U453" i="2"/>
  <c r="V453" i="2" s="1"/>
  <c r="X453" i="2" s="1"/>
  <c r="U469" i="2"/>
  <c r="V469" i="2" s="1"/>
  <c r="X469" i="2" s="1"/>
  <c r="U473" i="2"/>
  <c r="V473" i="2" s="1"/>
  <c r="X473" i="2" s="1"/>
  <c r="U477" i="2"/>
  <c r="V477" i="2" s="1"/>
  <c r="X477" i="2" s="1"/>
  <c r="U396" i="2"/>
  <c r="V396" i="2" s="1"/>
  <c r="X396" i="2" s="1"/>
  <c r="U408" i="2"/>
  <c r="V408" i="2" s="1"/>
  <c r="X408" i="2" s="1"/>
  <c r="U480" i="2"/>
  <c r="V480" i="2" s="1"/>
  <c r="X480" i="2" s="1"/>
  <c r="U484" i="2"/>
  <c r="V484" i="2" s="1"/>
  <c r="X484" i="2" s="1"/>
  <c r="U467" i="2"/>
  <c r="V467" i="2" s="1"/>
  <c r="X467" i="2" s="1"/>
  <c r="U471" i="2"/>
  <c r="V471" i="2" s="1"/>
  <c r="X471" i="2" s="1"/>
  <c r="U475" i="2"/>
  <c r="V475" i="2" s="1"/>
  <c r="X475" i="2" s="1"/>
  <c r="K4" i="1"/>
  <c r="X131" i="5"/>
  <c r="X133" i="5"/>
  <c r="X128" i="5"/>
  <c r="X94" i="5"/>
  <c r="X95" i="5"/>
  <c r="X178" i="2"/>
  <c r="X182" i="2"/>
  <c r="X465" i="2"/>
  <c r="X463" i="2"/>
  <c r="X461" i="2"/>
  <c r="X459" i="2"/>
  <c r="X457" i="2"/>
  <c r="X455" i="2"/>
  <c r="X449" i="2"/>
  <c r="X447" i="2"/>
  <c r="X441" i="2"/>
  <c r="X439" i="2"/>
  <c r="X437" i="2"/>
  <c r="X435" i="2"/>
  <c r="X433" i="2"/>
  <c r="X431" i="2"/>
  <c r="X425" i="2"/>
  <c r="X423" i="2"/>
  <c r="X421" i="2"/>
  <c r="X419" i="2"/>
  <c r="X417" i="2"/>
  <c r="X415" i="2"/>
  <c r="X412" i="2"/>
  <c r="X410" i="2"/>
  <c r="X404" i="2"/>
  <c r="X402" i="2"/>
  <c r="X400" i="2"/>
  <c r="X398" i="2"/>
  <c r="X390" i="2"/>
  <c r="X388" i="2"/>
  <c r="X386" i="2"/>
  <c r="X384" i="2"/>
  <c r="X382" i="2"/>
  <c r="X380" i="2"/>
  <c r="X378" i="2"/>
  <c r="X376" i="2"/>
  <c r="V263" i="2"/>
  <c r="U175" i="2"/>
  <c r="V175" i="2" s="1"/>
  <c r="X175" i="2" s="1"/>
  <c r="U171" i="2"/>
  <c r="V171" i="2" s="1"/>
  <c r="X171" i="2" s="1"/>
  <c r="U163" i="2"/>
  <c r="V163" i="2" s="1"/>
  <c r="X163" i="2" s="1"/>
  <c r="X451" i="2"/>
  <c r="X443" i="2"/>
  <c r="X427" i="2"/>
  <c r="X406" i="2"/>
  <c r="X392" i="2"/>
  <c r="U176" i="2"/>
  <c r="V176" i="2" s="1"/>
  <c r="X176" i="2" s="1"/>
  <c r="U159" i="2"/>
  <c r="V159" i="2" s="1"/>
  <c r="X159" i="2" s="1"/>
  <c r="U150" i="2"/>
  <c r="V150" i="2" s="1"/>
  <c r="X150" i="2" s="1"/>
  <c r="M5" i="1" s="1"/>
  <c r="U64" i="2"/>
  <c r="V64" i="2" s="1"/>
  <c r="X64" i="2" s="1"/>
  <c r="U62" i="2"/>
  <c r="V62" i="2" s="1"/>
  <c r="U65" i="2"/>
  <c r="V65" i="2" s="1"/>
  <c r="X65" i="2" s="1"/>
  <c r="U61" i="2"/>
  <c r="V61" i="2" s="1"/>
  <c r="X61" i="2" s="1"/>
  <c r="U58" i="2"/>
  <c r="V58" i="2" s="1"/>
  <c r="X58" i="2" s="1"/>
  <c r="U55" i="2"/>
  <c r="V55" i="2" s="1"/>
  <c r="X55" i="2" s="1"/>
  <c r="U48" i="2"/>
  <c r="V48" i="2" s="1"/>
  <c r="U53" i="2"/>
  <c r="V53" i="2" s="1"/>
  <c r="U49" i="2"/>
  <c r="V49" i="2" s="1"/>
  <c r="U45" i="2"/>
  <c r="V45" i="2" s="1"/>
  <c r="X45" i="2" s="1"/>
  <c r="U43" i="2"/>
  <c r="V43" i="2" s="1"/>
  <c r="X43" i="2" s="1"/>
  <c r="U41" i="2"/>
  <c r="V41" i="2" s="1"/>
  <c r="X41" i="2" s="1"/>
  <c r="U40" i="2"/>
  <c r="V40" i="2" s="1"/>
  <c r="X40" i="2" s="1"/>
  <c r="X485" i="2"/>
  <c r="U148" i="2"/>
  <c r="V148" i="2" s="1"/>
  <c r="X148" i="2" s="1"/>
  <c r="U146" i="2"/>
  <c r="V146" i="2" s="1"/>
  <c r="X146" i="2" s="1"/>
  <c r="U143" i="2"/>
  <c r="V143" i="2" s="1"/>
  <c r="X143" i="2" s="1"/>
  <c r="U140" i="2"/>
  <c r="V140" i="2" s="1"/>
  <c r="X140" i="2" s="1"/>
  <c r="U137" i="2"/>
  <c r="V137" i="2" s="1"/>
  <c r="X137" i="2" s="1"/>
  <c r="U136" i="2"/>
  <c r="V136" i="2" s="1"/>
  <c r="X136" i="2" s="1"/>
  <c r="U135" i="2"/>
  <c r="V135" i="2" s="1"/>
  <c r="X135" i="2" s="1"/>
  <c r="U133" i="2"/>
  <c r="V133" i="2" s="1"/>
  <c r="X133" i="2" s="1"/>
  <c r="U131" i="2"/>
  <c r="V131" i="2" s="1"/>
  <c r="X131" i="2" s="1"/>
  <c r="U129" i="2"/>
  <c r="V129" i="2" s="1"/>
  <c r="X129" i="2" s="1"/>
  <c r="U126" i="2"/>
  <c r="V126" i="2" s="1"/>
  <c r="X126" i="2" s="1"/>
  <c r="U124" i="2"/>
  <c r="V124" i="2" s="1"/>
  <c r="X124" i="2" s="1"/>
  <c r="U122" i="2"/>
  <c r="V122" i="2" s="1"/>
  <c r="X122" i="2" s="1"/>
  <c r="U120" i="2"/>
  <c r="V120" i="2" s="1"/>
  <c r="X120" i="2" s="1"/>
  <c r="U117" i="2"/>
  <c r="V117" i="2" s="1"/>
  <c r="X117" i="2" s="1"/>
  <c r="U112" i="2"/>
  <c r="V112" i="2" s="1"/>
  <c r="X112" i="2" s="1"/>
  <c r="U110" i="2"/>
  <c r="V110" i="2" s="1"/>
  <c r="X110" i="2" s="1"/>
  <c r="U107" i="2"/>
  <c r="V107" i="2" s="1"/>
  <c r="X107" i="2" s="1"/>
  <c r="W66" i="1" s="1"/>
  <c r="U105" i="2"/>
  <c r="V105" i="2" s="1"/>
  <c r="X105" i="2" s="1"/>
  <c r="U9" i="2"/>
  <c r="V9" i="2" s="1"/>
  <c r="X9" i="2" s="1"/>
  <c r="U3" i="2"/>
  <c r="V3" i="2" s="1"/>
  <c r="X3" i="2" s="1"/>
  <c r="M54" i="1" s="1"/>
  <c r="U104" i="2"/>
  <c r="V104" i="2" s="1"/>
  <c r="X104" i="2" s="1"/>
  <c r="U101" i="2"/>
  <c r="V101" i="2" s="1"/>
  <c r="U96" i="2"/>
  <c r="V96" i="2" s="1"/>
  <c r="X96" i="2" s="1"/>
  <c r="U93" i="2"/>
  <c r="V93" i="2" s="1"/>
  <c r="X93" i="2" s="1"/>
  <c r="U90" i="2"/>
  <c r="V90" i="2" s="1"/>
  <c r="X90" i="2" s="1"/>
  <c r="U88" i="2"/>
  <c r="V88" i="2" s="1"/>
  <c r="X88" i="2" s="1"/>
  <c r="U86" i="2"/>
  <c r="V86" i="2" s="1"/>
  <c r="X86" i="2" s="1"/>
  <c r="M80" i="1" s="1"/>
  <c r="U84" i="2"/>
  <c r="V84" i="2" s="1"/>
  <c r="X84" i="2" s="1"/>
  <c r="W40" i="1" s="1"/>
  <c r="U83" i="2"/>
  <c r="V83" i="2" s="1"/>
  <c r="X83" i="2" s="1"/>
  <c r="U81" i="2"/>
  <c r="V81" i="2" s="1"/>
  <c r="X81" i="2" s="1"/>
  <c r="W29" i="1" s="1"/>
  <c r="U79" i="2"/>
  <c r="V79" i="2" s="1"/>
  <c r="X79" i="2" s="1"/>
  <c r="U77" i="2"/>
  <c r="V77" i="2" s="1"/>
  <c r="X77" i="2" s="1"/>
  <c r="M56" i="1" s="1"/>
  <c r="U75" i="2"/>
  <c r="V75" i="2" s="1"/>
  <c r="X75" i="2" s="1"/>
  <c r="M72" i="1" s="1"/>
  <c r="U73" i="2"/>
  <c r="V73" i="2" s="1"/>
  <c r="X73" i="2" s="1"/>
  <c r="M68" i="1" s="1"/>
  <c r="U72" i="2"/>
  <c r="V72" i="2" s="1"/>
  <c r="X72" i="2" s="1"/>
  <c r="W51" i="1" s="1"/>
  <c r="U71" i="2"/>
  <c r="V71" i="2" s="1"/>
  <c r="X71" i="2" s="1"/>
  <c r="U69" i="2"/>
  <c r="V69" i="2" s="1"/>
  <c r="X69" i="2" s="1"/>
  <c r="U67" i="2"/>
  <c r="V67" i="2" s="1"/>
  <c r="X67" i="2" s="1"/>
  <c r="U549" i="2"/>
  <c r="V549" i="2" s="1"/>
  <c r="X549" i="2" s="1"/>
  <c r="U548" i="2"/>
  <c r="V548" i="2" s="1"/>
  <c r="X548" i="2" s="1"/>
  <c r="U547" i="2"/>
  <c r="V547" i="2" s="1"/>
  <c r="X547" i="2" s="1"/>
  <c r="U546" i="2"/>
  <c r="V546" i="2" s="1"/>
  <c r="X546" i="2" s="1"/>
  <c r="U545" i="2"/>
  <c r="V545" i="2" s="1"/>
  <c r="X545" i="2" s="1"/>
  <c r="U544" i="2"/>
  <c r="V544" i="2" s="1"/>
  <c r="X544" i="2" s="1"/>
  <c r="U543" i="2"/>
  <c r="V543" i="2" s="1"/>
  <c r="X543" i="2" s="1"/>
  <c r="U542" i="2"/>
  <c r="V542" i="2" s="1"/>
  <c r="X542" i="2" s="1"/>
  <c r="U541" i="2"/>
  <c r="V541" i="2" s="1"/>
  <c r="X541" i="2" s="1"/>
  <c r="U540" i="2"/>
  <c r="V540" i="2" s="1"/>
  <c r="X540" i="2" s="1"/>
  <c r="U539" i="2"/>
  <c r="V539" i="2" s="1"/>
  <c r="X539" i="2" s="1"/>
  <c r="U538" i="2"/>
  <c r="V538" i="2" s="1"/>
  <c r="X538" i="2" s="1"/>
  <c r="U537" i="2"/>
  <c r="V537" i="2" s="1"/>
  <c r="X537" i="2" s="1"/>
  <c r="V536" i="2"/>
  <c r="X536" i="2" s="1"/>
  <c r="V535" i="2"/>
  <c r="X535" i="2" s="1"/>
  <c r="V534" i="2"/>
  <c r="X534" i="2" s="1"/>
  <c r="V533" i="2"/>
  <c r="X533" i="2" s="1"/>
  <c r="V532" i="2"/>
  <c r="X532" i="2" s="1"/>
  <c r="V531" i="2"/>
  <c r="X531" i="2" s="1"/>
  <c r="V530" i="2"/>
  <c r="X530" i="2" s="1"/>
  <c r="V529" i="2"/>
  <c r="X529" i="2" s="1"/>
  <c r="V528" i="2"/>
  <c r="X528" i="2" s="1"/>
  <c r="V527" i="2"/>
  <c r="X527" i="2" s="1"/>
  <c r="V526" i="2"/>
  <c r="X526" i="2" s="1"/>
  <c r="V525" i="2"/>
  <c r="X525" i="2" s="1"/>
  <c r="V524" i="2"/>
  <c r="X524" i="2" s="1"/>
  <c r="V523" i="2"/>
  <c r="X523" i="2" s="1"/>
  <c r="V522" i="2"/>
  <c r="X522" i="2" s="1"/>
  <c r="V521" i="2"/>
  <c r="X521" i="2" s="1"/>
  <c r="V520" i="2"/>
  <c r="X520" i="2" s="1"/>
  <c r="V519" i="2"/>
  <c r="X519" i="2" s="1"/>
  <c r="V518" i="2"/>
  <c r="X518" i="2" s="1"/>
  <c r="V517" i="2"/>
  <c r="X517" i="2" s="1"/>
  <c r="V516" i="2"/>
  <c r="X516" i="2" s="1"/>
  <c r="V515" i="2"/>
  <c r="X515" i="2" s="1"/>
  <c r="V514" i="2"/>
  <c r="X514" i="2" s="1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3" i="2"/>
  <c r="X481" i="2"/>
  <c r="X479" i="2"/>
  <c r="X478" i="2"/>
  <c r="X476" i="2"/>
  <c r="X474" i="2"/>
  <c r="X472" i="2"/>
  <c r="X470" i="2"/>
  <c r="X468" i="2"/>
  <c r="X466" i="2"/>
  <c r="X464" i="2"/>
  <c r="X462" i="2"/>
  <c r="X460" i="2"/>
  <c r="X458" i="2"/>
  <c r="X456" i="2"/>
  <c r="X454" i="2"/>
  <c r="X452" i="2"/>
  <c r="X450" i="2"/>
  <c r="X448" i="2"/>
  <c r="X446" i="2"/>
  <c r="X444" i="2"/>
  <c r="X442" i="2"/>
  <c r="X440" i="2"/>
  <c r="X438" i="2"/>
  <c r="X436" i="2"/>
  <c r="X434" i="2"/>
  <c r="X432" i="2"/>
  <c r="X430" i="2"/>
  <c r="X428" i="2"/>
  <c r="X426" i="2"/>
  <c r="X424" i="2"/>
  <c r="X422" i="2"/>
  <c r="X420" i="2"/>
  <c r="X418" i="2"/>
  <c r="X416" i="2"/>
  <c r="X414" i="2"/>
  <c r="X411" i="2"/>
  <c r="X409" i="2"/>
  <c r="X407" i="2"/>
  <c r="X405" i="2"/>
  <c r="X403" i="2"/>
  <c r="X401" i="2"/>
  <c r="X399" i="2"/>
  <c r="X397" i="2"/>
  <c r="X395" i="2"/>
  <c r="X393" i="2"/>
  <c r="X391" i="2"/>
  <c r="X389" i="2"/>
  <c r="X387" i="2"/>
  <c r="X385" i="2"/>
  <c r="X383" i="2"/>
  <c r="X381" i="2"/>
  <c r="X379" i="2"/>
  <c r="X377" i="2"/>
  <c r="X375" i="2"/>
  <c r="U184" i="2"/>
  <c r="V184" i="2" s="1"/>
  <c r="U183" i="2"/>
  <c r="V183" i="2" s="1"/>
  <c r="U181" i="2"/>
  <c r="V181" i="2" s="1"/>
  <c r="U179" i="2"/>
  <c r="V179" i="2" s="1"/>
  <c r="U177" i="2"/>
  <c r="V177" i="2" s="1"/>
  <c r="X177" i="2" s="1"/>
  <c r="U174" i="2"/>
  <c r="V174" i="2" s="1"/>
  <c r="X174" i="2" s="1"/>
  <c r="M81" i="1" s="1"/>
  <c r="U172" i="2"/>
  <c r="V172" i="2" s="1"/>
  <c r="X172" i="2" s="1"/>
  <c r="U170" i="2"/>
  <c r="V170" i="2" s="1"/>
  <c r="X170" i="2" s="1"/>
  <c r="W79" i="1" s="1"/>
  <c r="U169" i="2"/>
  <c r="V169" i="2" s="1"/>
  <c r="X169" i="2" s="1"/>
  <c r="U167" i="2"/>
  <c r="V167" i="2" s="1"/>
  <c r="X167" i="2" s="1"/>
  <c r="U166" i="2"/>
  <c r="V166" i="2" s="1"/>
  <c r="X166" i="2" s="1"/>
  <c r="U164" i="2"/>
  <c r="V164" i="2" s="1"/>
  <c r="X164" i="2" s="1"/>
  <c r="U162" i="2"/>
  <c r="V162" i="2" s="1"/>
  <c r="X162" i="2" s="1"/>
  <c r="M17" i="1" s="1"/>
  <c r="U160" i="2"/>
  <c r="V160" i="2" s="1"/>
  <c r="X160" i="2" s="1"/>
  <c r="U158" i="2"/>
  <c r="V158" i="2" s="1"/>
  <c r="X158" i="2" s="1"/>
  <c r="U157" i="2"/>
  <c r="V157" i="2" s="1"/>
  <c r="X157" i="2" s="1"/>
  <c r="U155" i="2"/>
  <c r="V155" i="2" s="1"/>
  <c r="X155" i="2" s="1"/>
  <c r="U153" i="2"/>
  <c r="V153" i="2" s="1"/>
  <c r="X153" i="2" s="1"/>
  <c r="U152" i="2"/>
  <c r="V152" i="2" s="1"/>
  <c r="X152" i="2" s="1"/>
  <c r="U151" i="2"/>
  <c r="V151" i="2" s="1"/>
  <c r="X151" i="2" s="1"/>
  <c r="U149" i="2"/>
  <c r="V149" i="2" s="1"/>
  <c r="X149" i="2" s="1"/>
  <c r="U147" i="2"/>
  <c r="V147" i="2" s="1"/>
  <c r="X147" i="2" s="1"/>
  <c r="W76" i="1" s="1"/>
  <c r="U145" i="2"/>
  <c r="V145" i="2" s="1"/>
  <c r="X145" i="2" s="1"/>
  <c r="U142" i="2"/>
  <c r="V142" i="2" s="1"/>
  <c r="X142" i="2" s="1"/>
  <c r="U141" i="2"/>
  <c r="V141" i="2" s="1"/>
  <c r="X141" i="2" s="1"/>
  <c r="U139" i="2"/>
  <c r="V139" i="2" s="1"/>
  <c r="X139" i="2" s="1"/>
  <c r="U138" i="2"/>
  <c r="V138" i="2" s="1"/>
  <c r="X138" i="2" s="1"/>
  <c r="U134" i="2"/>
  <c r="V134" i="2" s="1"/>
  <c r="X134" i="2" s="1"/>
  <c r="U132" i="2"/>
  <c r="V132" i="2" s="1"/>
  <c r="X132" i="2" s="1"/>
  <c r="U130" i="2"/>
  <c r="V130" i="2" s="1"/>
  <c r="X130" i="2" s="1"/>
  <c r="W39" i="1" s="1"/>
  <c r="U128" i="2"/>
  <c r="V128" i="2" s="1"/>
  <c r="X128" i="2" s="1"/>
  <c r="U127" i="2"/>
  <c r="V127" i="2" s="1"/>
  <c r="X127" i="2" s="1"/>
  <c r="U125" i="2"/>
  <c r="V125" i="2" s="1"/>
  <c r="X125" i="2" s="1"/>
  <c r="U123" i="2"/>
  <c r="V123" i="2" s="1"/>
  <c r="X123" i="2" s="1"/>
  <c r="M16" i="1" s="1"/>
  <c r="U121" i="2"/>
  <c r="V121" i="2" s="1"/>
  <c r="X121" i="2" s="1"/>
  <c r="W77" i="1" s="1"/>
  <c r="U119" i="2"/>
  <c r="V119" i="2" s="1"/>
  <c r="X119" i="2" s="1"/>
  <c r="U118" i="2"/>
  <c r="V118" i="2" s="1"/>
  <c r="X118" i="2" s="1"/>
  <c r="U116" i="2"/>
  <c r="V116" i="2" s="1"/>
  <c r="X116" i="2" s="1"/>
  <c r="U115" i="2"/>
  <c r="V115" i="2" s="1"/>
  <c r="X115" i="2" s="1"/>
  <c r="U113" i="2"/>
  <c r="V113" i="2" s="1"/>
  <c r="X113" i="2" s="1"/>
  <c r="U111" i="2"/>
  <c r="V111" i="2" s="1"/>
  <c r="X111" i="2" s="1"/>
  <c r="U109" i="2"/>
  <c r="V109" i="2" s="1"/>
  <c r="X109" i="2" s="1"/>
  <c r="U108" i="2"/>
  <c r="V108" i="2" s="1"/>
  <c r="X108" i="2" s="1"/>
  <c r="U106" i="2"/>
  <c r="V106" i="2" s="1"/>
  <c r="X106" i="2" s="1"/>
  <c r="W16" i="1" s="1"/>
  <c r="U10" i="2"/>
  <c r="V10" i="2" s="1"/>
  <c r="X10" i="2" s="1"/>
  <c r="U8" i="2"/>
  <c r="V8" i="2" s="1"/>
  <c r="X8" i="2" s="1"/>
  <c r="U6" i="2"/>
  <c r="V6" i="2" s="1"/>
  <c r="X6" i="2" s="1"/>
  <c r="U4" i="2"/>
  <c r="V4" i="2" s="1"/>
  <c r="X4" i="2" s="1"/>
  <c r="M77" i="1" s="1"/>
  <c r="U103" i="2"/>
  <c r="V103" i="2" s="1"/>
  <c r="U102" i="2"/>
  <c r="V102" i="2" s="1"/>
  <c r="U100" i="2"/>
  <c r="V100" i="2" s="1"/>
  <c r="U98" i="2"/>
  <c r="V98" i="2" s="1"/>
  <c r="U97" i="2"/>
  <c r="V97" i="2" s="1"/>
  <c r="U95" i="2"/>
  <c r="V95" i="2" s="1"/>
  <c r="X95" i="2" s="1"/>
  <c r="W70" i="1" s="1"/>
  <c r="U94" i="2"/>
  <c r="V94" i="2" s="1"/>
  <c r="X94" i="2" s="1"/>
  <c r="U92" i="2"/>
  <c r="V92" i="2" s="1"/>
  <c r="X92" i="2" s="1"/>
  <c r="U91" i="2"/>
  <c r="V91" i="2" s="1"/>
  <c r="X91" i="2" s="1"/>
  <c r="U87" i="2"/>
  <c r="V87" i="2" s="1"/>
  <c r="X87" i="2" s="1"/>
  <c r="U85" i="2"/>
  <c r="V85" i="2" s="1"/>
  <c r="U82" i="2"/>
  <c r="V82" i="2" s="1"/>
  <c r="X82" i="2" s="1"/>
  <c r="U80" i="2"/>
  <c r="V80" i="2" s="1"/>
  <c r="X80" i="2" s="1"/>
  <c r="U78" i="2"/>
  <c r="V78" i="2" s="1"/>
  <c r="X78" i="2" s="1"/>
  <c r="U76" i="2"/>
  <c r="V76" i="2" s="1"/>
  <c r="X76" i="2" s="1"/>
  <c r="U74" i="2"/>
  <c r="V74" i="2" s="1"/>
  <c r="U70" i="2"/>
  <c r="V70" i="2" s="1"/>
  <c r="U66" i="2"/>
  <c r="V66" i="2" s="1"/>
  <c r="X66" i="2" s="1"/>
  <c r="M82" i="1" s="1"/>
  <c r="U63" i="2"/>
  <c r="V63" i="2" s="1"/>
  <c r="X63" i="2" s="1"/>
  <c r="U60" i="2"/>
  <c r="V60" i="2" s="1"/>
  <c r="X60" i="2" s="1"/>
  <c r="W46" i="1" s="1"/>
  <c r="U59" i="2"/>
  <c r="V59" i="2" s="1"/>
  <c r="U57" i="2"/>
  <c r="V57" i="2" s="1"/>
  <c r="X57" i="2" s="1"/>
  <c r="U56" i="2"/>
  <c r="V56" i="2" s="1"/>
  <c r="X56" i="2" s="1"/>
  <c r="U54" i="2"/>
  <c r="V54" i="2" s="1"/>
  <c r="X54" i="2" s="1"/>
  <c r="M71" i="1" s="1"/>
  <c r="U52" i="2"/>
  <c r="V52" i="2" s="1"/>
  <c r="X52" i="2" s="1"/>
  <c r="U50" i="2"/>
  <c r="V50" i="2" s="1"/>
  <c r="X50" i="2" s="1"/>
  <c r="U47" i="2"/>
  <c r="V47" i="2" s="1"/>
  <c r="X47" i="2" s="1"/>
  <c r="U46" i="2"/>
  <c r="V46" i="2" s="1"/>
  <c r="X46" i="2" s="1"/>
  <c r="U44" i="2"/>
  <c r="V44" i="2" s="1"/>
  <c r="X44" i="2" s="1"/>
  <c r="U42" i="2"/>
  <c r="V42" i="2" s="1"/>
  <c r="X42" i="2" s="1"/>
  <c r="U39" i="2"/>
  <c r="V39" i="2" s="1"/>
  <c r="X39" i="2" s="1"/>
  <c r="W45" i="1" s="1"/>
  <c r="U37" i="2"/>
  <c r="V37" i="2" s="1"/>
  <c r="U34" i="2"/>
  <c r="V34" i="2" s="1"/>
  <c r="X34" i="2" s="1"/>
  <c r="M30" i="1" s="1"/>
  <c r="U32" i="2"/>
  <c r="V32" i="2" s="1"/>
  <c r="U31" i="2"/>
  <c r="V31" i="2" s="1"/>
  <c r="U29" i="2"/>
  <c r="V29" i="2" s="1"/>
  <c r="X29" i="2" s="1"/>
  <c r="U25" i="2"/>
  <c r="V25" i="2" s="1"/>
  <c r="U23" i="2"/>
  <c r="V23" i="2" s="1"/>
  <c r="X23" i="2" s="1"/>
  <c r="U38" i="2"/>
  <c r="V38" i="2" s="1"/>
  <c r="U36" i="2"/>
  <c r="V36" i="2" s="1"/>
  <c r="U35" i="2"/>
  <c r="V35" i="2" s="1"/>
  <c r="X35" i="2" s="1"/>
  <c r="M27" i="1" s="1"/>
  <c r="U33" i="2"/>
  <c r="V33" i="2" s="1"/>
  <c r="X33" i="2" s="1"/>
  <c r="U30" i="2"/>
  <c r="V30" i="2" s="1"/>
  <c r="U28" i="2"/>
  <c r="V28" i="2" s="1"/>
  <c r="X28" i="2" s="1"/>
  <c r="U26" i="2"/>
  <c r="V26" i="2" s="1"/>
  <c r="U24" i="2"/>
  <c r="V24" i="2" s="1"/>
  <c r="U22" i="2"/>
  <c r="V22" i="2" s="1"/>
  <c r="X22" i="2" s="1"/>
  <c r="U20" i="2"/>
  <c r="V20" i="2" s="1"/>
  <c r="U18" i="2"/>
  <c r="V18" i="2" s="1"/>
  <c r="X18" i="2" s="1"/>
  <c r="M34" i="1" s="1"/>
  <c r="U16" i="2"/>
  <c r="V16" i="2" s="1"/>
  <c r="U21" i="2"/>
  <c r="V21" i="2" s="1"/>
  <c r="U19" i="2"/>
  <c r="V19" i="2" s="1"/>
  <c r="X19" i="2" s="1"/>
  <c r="W64" i="1" l="1"/>
  <c r="M63" i="1"/>
  <c r="W69" i="1"/>
  <c r="W56" i="1"/>
  <c r="W27" i="1"/>
  <c r="M65" i="1"/>
  <c r="M42" i="1"/>
  <c r="W55" i="1"/>
  <c r="M6" i="1"/>
  <c r="W53" i="1"/>
  <c r="M15" i="1"/>
  <c r="K5" i="1"/>
  <c r="S54" i="1"/>
  <c r="K30" i="1"/>
  <c r="W32" i="1"/>
  <c r="M69" i="1"/>
  <c r="W52" i="1"/>
  <c r="W34" i="1"/>
  <c r="M10" i="1"/>
  <c r="M22" i="1"/>
  <c r="M84" i="1"/>
  <c r="G9" i="1"/>
  <c r="X21" i="2"/>
  <c r="M60" i="1" s="1"/>
  <c r="X26" i="2"/>
  <c r="W5" i="1" s="1"/>
  <c r="X30" i="2"/>
  <c r="X32" i="2"/>
  <c r="M29" i="1" s="1"/>
  <c r="X37" i="2"/>
  <c r="M31" i="1" s="1"/>
  <c r="X59" i="2"/>
  <c r="W42" i="1" s="1"/>
  <c r="X70" i="2"/>
  <c r="X85" i="2"/>
  <c r="X98" i="2"/>
  <c r="W28" i="1" s="1"/>
  <c r="X102" i="2"/>
  <c r="X101" i="2"/>
  <c r="M18" i="1" s="1"/>
  <c r="X53" i="2"/>
  <c r="X62" i="2"/>
  <c r="X36" i="2"/>
  <c r="X16" i="2"/>
  <c r="X20" i="2"/>
  <c r="M35" i="1" s="1"/>
  <c r="X38" i="2"/>
  <c r="X25" i="2"/>
  <c r="X31" i="2"/>
  <c r="W58" i="1" s="1"/>
  <c r="X74" i="2"/>
  <c r="X97" i="2"/>
  <c r="X100" i="2"/>
  <c r="X103" i="2"/>
  <c r="M83" i="1" s="1"/>
  <c r="X49" i="2"/>
  <c r="X48" i="2"/>
  <c r="X24" i="2"/>
  <c r="W41" i="1" s="1"/>
  <c r="X183" i="2"/>
  <c r="X179" i="2"/>
  <c r="X181" i="2"/>
  <c r="X184" i="2"/>
  <c r="X264" i="2"/>
  <c r="M79" i="1" s="1"/>
  <c r="X266" i="2"/>
  <c r="X263" i="2"/>
  <c r="X265" i="2"/>
  <c r="O50" i="9"/>
  <c r="P50" i="9" s="1"/>
  <c r="T50" i="9" s="1"/>
  <c r="U50" i="9" s="1"/>
  <c r="V50" i="9" s="1"/>
  <c r="X50" i="9" s="1"/>
  <c r="C39" i="1" s="1"/>
  <c r="W9" i="1" l="1"/>
  <c r="M36" i="1"/>
  <c r="M43" i="1"/>
  <c r="W43" i="1"/>
  <c r="M48" i="1"/>
  <c r="W19" i="1"/>
  <c r="M46" i="1"/>
  <c r="M57" i="1"/>
  <c r="M3" i="6"/>
  <c r="N3" i="6" s="1"/>
  <c r="T3" i="6" s="1"/>
  <c r="U3" i="6" s="1"/>
  <c r="M4" i="9"/>
  <c r="N4" i="9" s="1"/>
  <c r="T4" i="9" s="1"/>
  <c r="U4" i="9" s="1"/>
  <c r="V4" i="9" s="1"/>
  <c r="X4" i="9" s="1"/>
  <c r="M41" i="9"/>
  <c r="N41" i="9" s="1"/>
  <c r="T41" i="9" s="1"/>
  <c r="U41" i="9" s="1"/>
  <c r="V41" i="9" s="1"/>
  <c r="X41" i="9" s="1"/>
  <c r="M36" i="9"/>
  <c r="N36" i="9" s="1"/>
  <c r="T36" i="9" s="1"/>
  <c r="U36" i="9" s="1"/>
  <c r="V36" i="9" s="1"/>
  <c r="X36" i="9" s="1"/>
  <c r="M23" i="9"/>
  <c r="N23" i="9" s="1"/>
  <c r="T23" i="9" s="1"/>
  <c r="U23" i="9" s="1"/>
  <c r="V23" i="9" s="1"/>
  <c r="X23" i="9" s="1"/>
  <c r="Q12" i="9"/>
  <c r="R12" i="9" s="1"/>
  <c r="T12" i="9" s="1"/>
  <c r="U12" i="9" s="1"/>
  <c r="V12" i="9" s="1"/>
  <c r="X12" i="9" s="1"/>
  <c r="Q13" i="9"/>
  <c r="R13" i="9" s="1"/>
  <c r="T13" i="9" s="1"/>
  <c r="U13" i="9" s="1"/>
  <c r="V13" i="9" s="1"/>
  <c r="X13" i="9" s="1"/>
  <c r="C29" i="1" s="1"/>
  <c r="M7" i="9"/>
  <c r="N7" i="9" s="1"/>
  <c r="T7" i="9" s="1"/>
  <c r="U7" i="9" s="1"/>
  <c r="V7" i="9" s="1"/>
  <c r="X7" i="9" s="1"/>
  <c r="Q33" i="9"/>
  <c r="R33" i="9" s="1"/>
  <c r="T33" i="9" s="1"/>
  <c r="U33" i="9" s="1"/>
  <c r="V33" i="9" s="1"/>
  <c r="X33" i="9" s="1"/>
  <c r="K20" i="9"/>
  <c r="L20" i="9" s="1"/>
  <c r="T20" i="9" s="1"/>
  <c r="U20" i="9" s="1"/>
  <c r="V20" i="9" s="1"/>
  <c r="X20" i="9" s="1"/>
  <c r="M5" i="9"/>
  <c r="N5" i="9" s="1"/>
  <c r="T5" i="9" s="1"/>
  <c r="U5" i="9" s="1"/>
  <c r="V5" i="9" s="1"/>
  <c r="X5" i="9" s="1"/>
  <c r="C85" i="1" s="1"/>
  <c r="T19" i="6"/>
  <c r="U19" i="6" s="1"/>
  <c r="V19" i="6" s="1"/>
  <c r="X19" i="6" s="1"/>
  <c r="M7" i="2"/>
  <c r="N7" i="2" s="1"/>
  <c r="T7" i="2" s="1"/>
  <c r="U7" i="2" s="1"/>
  <c r="V7" i="2" s="1"/>
  <c r="M144" i="2"/>
  <c r="N144" i="2" s="1"/>
  <c r="T144" i="2" s="1"/>
  <c r="U144" i="2" s="1"/>
  <c r="V144" i="2" s="1"/>
  <c r="X144" i="2" s="1"/>
  <c r="M165" i="2"/>
  <c r="N165" i="2" s="1"/>
  <c r="T165" i="2" s="1"/>
  <c r="U165" i="2" s="1"/>
  <c r="V165" i="2" s="1"/>
  <c r="X165" i="2" s="1"/>
  <c r="M173" i="2"/>
  <c r="N173" i="2" s="1"/>
  <c r="T173" i="2" s="1"/>
  <c r="U173" i="2" s="1"/>
  <c r="V173" i="2" s="1"/>
  <c r="X173" i="2" s="1"/>
  <c r="W30" i="1" s="1"/>
  <c r="M180" i="2"/>
  <c r="N180" i="2" s="1"/>
  <c r="T180" i="2" s="1"/>
  <c r="U180" i="2" s="1"/>
  <c r="V180" i="2" s="1"/>
  <c r="X180" i="2" s="1"/>
  <c r="M20" i="1" s="1"/>
  <c r="K114" i="2"/>
  <c r="L114" i="2" s="1"/>
  <c r="T114" i="2" s="1"/>
  <c r="U114" i="2" s="1"/>
  <c r="V114" i="2" s="1"/>
  <c r="X114" i="2" s="1"/>
  <c r="K156" i="2"/>
  <c r="L156" i="2" s="1"/>
  <c r="T156" i="2" s="1"/>
  <c r="U156" i="2" s="1"/>
  <c r="V156" i="2" s="1"/>
  <c r="X156" i="2" s="1"/>
  <c r="W81" i="1" s="1"/>
  <c r="M5" i="2"/>
  <c r="N5" i="2" s="1"/>
  <c r="T5" i="2" s="1"/>
  <c r="U5" i="2" s="1"/>
  <c r="V5" i="2" s="1"/>
  <c r="M99" i="2"/>
  <c r="N99" i="2" s="1"/>
  <c r="T99" i="2" s="1"/>
  <c r="U99" i="2" s="1"/>
  <c r="V99" i="2" s="1"/>
  <c r="K68" i="2"/>
  <c r="L68" i="2" s="1"/>
  <c r="T68" i="2" s="1"/>
  <c r="U68" i="2" s="1"/>
  <c r="V68" i="2" s="1"/>
  <c r="X68" i="2" s="1"/>
  <c r="M17" i="2"/>
  <c r="N17" i="2" s="1"/>
  <c r="T17" i="2" s="1"/>
  <c r="U17" i="2" s="1"/>
  <c r="V17" i="2" s="1"/>
  <c r="M27" i="2"/>
  <c r="N27" i="2" s="1"/>
  <c r="T27" i="2" s="1"/>
  <c r="U27" i="2" s="1"/>
  <c r="V27" i="2" s="1"/>
  <c r="M89" i="2"/>
  <c r="N89" i="2" s="1"/>
  <c r="T89" i="2" s="1"/>
  <c r="U89" i="2" s="1"/>
  <c r="V89" i="2" s="1"/>
  <c r="X89" i="2" s="1"/>
  <c r="M33" i="1" s="1"/>
  <c r="K51" i="2"/>
  <c r="L51" i="2" s="1"/>
  <c r="T51" i="2" s="1"/>
  <c r="U51" i="2" s="1"/>
  <c r="V51" i="2" s="1"/>
  <c r="X51" i="2" s="1"/>
  <c r="M44" i="1" s="1"/>
  <c r="C37" i="1" l="1"/>
  <c r="C60" i="1"/>
  <c r="C23" i="1"/>
  <c r="C6" i="1"/>
  <c r="C18" i="1"/>
  <c r="C32" i="1"/>
  <c r="C66" i="1"/>
  <c r="C43" i="1"/>
  <c r="C54" i="1"/>
  <c r="C79" i="1"/>
  <c r="C8" i="1"/>
  <c r="C19" i="1"/>
  <c r="W68" i="1"/>
  <c r="M70" i="1"/>
  <c r="V3" i="6"/>
  <c r="X3" i="6" s="1"/>
  <c r="X17" i="2"/>
  <c r="X99" i="2"/>
  <c r="M4" i="1" s="1"/>
  <c r="X27" i="2"/>
  <c r="W54" i="1" s="1"/>
  <c r="X5" i="2"/>
  <c r="W15" i="1" s="1"/>
  <c r="X7" i="2"/>
  <c r="W14" i="2"/>
  <c r="W13" i="2"/>
  <c r="W12" i="2"/>
  <c r="W15" i="2"/>
  <c r="W11" i="2"/>
  <c r="M32" i="1" l="1"/>
  <c r="M47" i="1"/>
  <c r="W18" i="1"/>
  <c r="W44" i="1"/>
  <c r="M58" i="1"/>
  <c r="U14" i="2"/>
  <c r="V14" i="2" s="1"/>
  <c r="U13" i="2"/>
  <c r="V13" i="2" s="1"/>
  <c r="U15" i="2"/>
  <c r="V15" i="2" s="1"/>
  <c r="U12" i="2"/>
  <c r="V12" i="2" s="1"/>
  <c r="X12" i="2" s="1"/>
  <c r="U11" i="2"/>
  <c r="V11" i="2" s="1"/>
  <c r="X11" i="2" s="1"/>
  <c r="M28" i="1" s="1"/>
  <c r="X15" i="2" l="1"/>
  <c r="X14" i="2"/>
  <c r="X13" i="2"/>
  <c r="W4" i="1" l="1"/>
  <c r="M40" i="1"/>
  <c r="M39" i="1"/>
  <c r="M3" i="1"/>
  <c r="W6" i="1"/>
</calcChain>
</file>

<file path=xl/comments1.xml><?xml version="1.0" encoding="utf-8"?>
<comments xmlns="http://schemas.openxmlformats.org/spreadsheetml/2006/main">
  <authors>
    <author>姚虎</author>
  </authors>
  <commentList>
    <comment ref="T75" authorId="0">
      <text/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U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含物料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U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含物料</t>
        </r>
      </text>
    </comment>
    <comment ref="C26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原归于肉类, 2009年7月末调整至蛋类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U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含物料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U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含物料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3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原归于肉类, 2009年7月末调整至蛋类</t>
        </r>
      </text>
    </comment>
  </commentList>
</comments>
</file>

<file path=xl/sharedStrings.xml><?xml version="1.0" encoding="utf-8"?>
<sst xmlns="http://schemas.openxmlformats.org/spreadsheetml/2006/main" count="4690" uniqueCount="3163">
  <si>
    <t>香芹</t>
  </si>
  <si>
    <t>茴香</t>
  </si>
  <si>
    <t>茼蒿</t>
  </si>
  <si>
    <t>百合</t>
  </si>
  <si>
    <t>芦笋</t>
  </si>
  <si>
    <t>牛柳</t>
  </si>
  <si>
    <t>南瓜</t>
  </si>
  <si>
    <t>鸡蛋</t>
  </si>
  <si>
    <t>青蒜</t>
  </si>
  <si>
    <t>泥肠</t>
  </si>
  <si>
    <t>名称</t>
    <phoneticPr fontId="1" type="noConversion"/>
  </si>
  <si>
    <t>晚餐</t>
  </si>
  <si>
    <t>建议售价</t>
  </si>
  <si>
    <t>毛料单价(元)</t>
  </si>
  <si>
    <t>香菜</t>
  </si>
  <si>
    <t>主料</t>
    <phoneticPr fontId="1" type="noConversion"/>
  </si>
  <si>
    <t>调料</t>
    <phoneticPr fontId="1" type="noConversion"/>
  </si>
  <si>
    <t>食材小计</t>
    <phoneticPr fontId="1" type="noConversion"/>
  </si>
  <si>
    <t>综合成本</t>
    <phoneticPr fontId="1" type="noConversion"/>
  </si>
  <si>
    <t>折合单菜成本</t>
    <phoneticPr fontId="1" type="noConversion"/>
  </si>
  <si>
    <t>单菜重量(斤)</t>
    <phoneticPr fontId="1" type="noConversion"/>
  </si>
  <si>
    <t>名称</t>
    <phoneticPr fontId="1" type="noConversion"/>
  </si>
  <si>
    <t>数量(斤)</t>
    <phoneticPr fontId="1" type="noConversion"/>
  </si>
  <si>
    <t>金额(元)</t>
    <phoneticPr fontId="1" type="noConversion"/>
  </si>
  <si>
    <t>收货日期</t>
    <phoneticPr fontId="1" type="noConversion"/>
  </si>
  <si>
    <t>采购品种</t>
    <phoneticPr fontId="1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</si>
  <si>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</si>
  <si>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</si>
  <si>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</si>
  <si>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送货人</t>
    <phoneticPr fontId="1" type="noConversion"/>
  </si>
  <si>
    <t>库组别</t>
    <phoneticPr fontId="1" type="noConversion"/>
  </si>
  <si>
    <t>豇豆</t>
  </si>
  <si>
    <t>西葫芦</t>
  </si>
  <si>
    <t>菠菜</t>
  </si>
  <si>
    <t>广菜心</t>
  </si>
  <si>
    <t>青椒</t>
  </si>
  <si>
    <t>红椒</t>
  </si>
  <si>
    <t>芹菜</t>
  </si>
  <si>
    <t>尖椒</t>
  </si>
  <si>
    <t>莲藕</t>
  </si>
  <si>
    <t>菜花</t>
  </si>
  <si>
    <t>绿豆芽</t>
  </si>
  <si>
    <t>腐竹</t>
  </si>
  <si>
    <t>韭菜</t>
  </si>
  <si>
    <t>苦瓜</t>
  </si>
  <si>
    <t>姜</t>
  </si>
  <si>
    <t>蒜苗</t>
  </si>
  <si>
    <t>盖菜</t>
  </si>
  <si>
    <t>带皮前尖</t>
  </si>
  <si>
    <t>猪心</t>
  </si>
  <si>
    <t>带皮后尖</t>
  </si>
  <si>
    <t>鲶鱼</t>
  </si>
  <si>
    <t>韭黄</t>
  </si>
  <si>
    <t>份数</t>
    <phoneticPr fontId="1" type="noConversion"/>
  </si>
  <si>
    <t>主料</t>
    <phoneticPr fontId="1" type="noConversion"/>
  </si>
  <si>
    <t>拉皮</t>
  </si>
  <si>
    <t>酸菜</t>
  </si>
  <si>
    <t>牛肚</t>
  </si>
  <si>
    <t>苦菊</t>
  </si>
  <si>
    <t>香葱</t>
  </si>
  <si>
    <t>腊肉</t>
  </si>
  <si>
    <t>金瓜</t>
  </si>
  <si>
    <t>茭白</t>
  </si>
  <si>
    <t>草菇</t>
  </si>
  <si>
    <t>武昌鱼</t>
  </si>
  <si>
    <t>鱼酸菜</t>
  </si>
  <si>
    <t>西芹</t>
  </si>
  <si>
    <t>红肠</t>
  </si>
  <si>
    <t>北极虾</t>
  </si>
  <si>
    <t>早餐</t>
    <phoneticPr fontId="1" type="noConversion"/>
  </si>
  <si>
    <t>午餐</t>
    <phoneticPr fontId="1" type="noConversion"/>
  </si>
  <si>
    <t>樱桃萝卜</t>
  </si>
  <si>
    <t>黄瓜</t>
  </si>
  <si>
    <t>雪里红</t>
  </si>
  <si>
    <t>芽菜</t>
  </si>
  <si>
    <t>腊肠</t>
  </si>
  <si>
    <t>草鱼</t>
  </si>
  <si>
    <t>鸡珍</t>
  </si>
  <si>
    <t>冬笋</t>
  </si>
  <si>
    <t>蟹棒</t>
  </si>
  <si>
    <t>洋葱</t>
  </si>
  <si>
    <t>鸽肚</t>
  </si>
  <si>
    <t>苋菜</t>
  </si>
  <si>
    <t>地耳</t>
  </si>
  <si>
    <t>滑子菇</t>
  </si>
  <si>
    <t>鲤鱼</t>
  </si>
  <si>
    <t>羊腩</t>
  </si>
  <si>
    <t>鸡米花</t>
  </si>
  <si>
    <t>日本豆腐</t>
  </si>
  <si>
    <t>鸡爪</t>
  </si>
  <si>
    <t>鸡腿菇</t>
  </si>
  <si>
    <t>鸭珍</t>
  </si>
  <si>
    <t>鸡柳</t>
  </si>
  <si>
    <t>鲫鱼</t>
  </si>
  <si>
    <t>鸡心</t>
  </si>
  <si>
    <t>鸡肝</t>
  </si>
  <si>
    <t>甜豆</t>
  </si>
  <si>
    <t>鸭腿</t>
  </si>
  <si>
    <t>斤单价</t>
    <phoneticPr fontId="1" type="noConversion"/>
  </si>
  <si>
    <t>西装鸡</t>
  </si>
  <si>
    <t>鸭胸</t>
  </si>
  <si>
    <t>牛肉丸</t>
  </si>
  <si>
    <t>虾丸</t>
  </si>
  <si>
    <t>牛里脊</t>
  </si>
  <si>
    <t>羊排</t>
  </si>
  <si>
    <t>口蘑</t>
  </si>
  <si>
    <t>茶树菇</t>
  </si>
  <si>
    <t>牛棒骨</t>
    <phoneticPr fontId="17" type="noConversion"/>
  </si>
  <si>
    <t>荷兰小黄瓜</t>
    <phoneticPr fontId="17" type="noConversion"/>
  </si>
  <si>
    <t>西红柿</t>
  </si>
  <si>
    <t>圆茄子</t>
  </si>
  <si>
    <t>红美人椒</t>
  </si>
  <si>
    <t>西兰花</t>
  </si>
  <si>
    <t>冬瓜</t>
  </si>
  <si>
    <t>荷兰小黄瓜</t>
  </si>
  <si>
    <t>鲜香菇</t>
  </si>
  <si>
    <t>咸鸭蛋</t>
  </si>
  <si>
    <t>熟鹌鹑蛋</t>
  </si>
  <si>
    <t>咸菜丝</t>
  </si>
  <si>
    <t>酱黄瓜</t>
  </si>
  <si>
    <t>榨菜丝</t>
  </si>
  <si>
    <t>酸豆角</t>
  </si>
  <si>
    <t>八宝菜</t>
  </si>
  <si>
    <t>榨菜头</t>
  </si>
  <si>
    <t>大葱</t>
  </si>
  <si>
    <t>水发鱿鱼</t>
  </si>
  <si>
    <t>樟茶鸭</t>
  </si>
  <si>
    <t>羊头肉</t>
  </si>
  <si>
    <t>大白菜</t>
  </si>
  <si>
    <t>小白菜</t>
  </si>
  <si>
    <t>油菜</t>
  </si>
  <si>
    <t>快菜</t>
  </si>
  <si>
    <t>花叶生菜</t>
  </si>
  <si>
    <t>圆生菜</t>
  </si>
  <si>
    <t>芥兰</t>
  </si>
  <si>
    <t>紫甘蓝</t>
  </si>
  <si>
    <t>圆白菜</t>
  </si>
  <si>
    <t>娃娃菜</t>
  </si>
  <si>
    <t>蒿子杆</t>
  </si>
  <si>
    <t>空心菜</t>
  </si>
  <si>
    <t>木耳菜</t>
  </si>
  <si>
    <t>油麦菜</t>
  </si>
  <si>
    <t>鸡毛菜</t>
  </si>
  <si>
    <t>菊花菜</t>
  </si>
  <si>
    <t>荷兰豆</t>
  </si>
  <si>
    <t>豌豆苗</t>
  </si>
  <si>
    <t>白萝卜</t>
  </si>
  <si>
    <t>胡萝卜</t>
  </si>
  <si>
    <t>心里美</t>
  </si>
  <si>
    <t>毛豆</t>
  </si>
  <si>
    <t>胖头鱼尾</t>
  </si>
  <si>
    <t>紫薯</t>
  </si>
  <si>
    <t>黄豆芽</t>
  </si>
  <si>
    <t>鲜鸡腿</t>
  </si>
  <si>
    <t>三黄鸡</t>
  </si>
  <si>
    <t>白条鸭</t>
  </si>
  <si>
    <t>牛棒骨</t>
  </si>
  <si>
    <t>羊肉片</t>
  </si>
  <si>
    <t>黄喉</t>
  </si>
  <si>
    <t>红薯</t>
  </si>
  <si>
    <t>细葱</t>
  </si>
  <si>
    <t>圆茄</t>
  </si>
  <si>
    <t>长茄</t>
  </si>
  <si>
    <t>蒜子</t>
  </si>
  <si>
    <t>蒜头</t>
  </si>
  <si>
    <t>青笋</t>
  </si>
  <si>
    <t>平蘑</t>
  </si>
  <si>
    <t>金针菇</t>
  </si>
  <si>
    <t>杏鲍菇</t>
  </si>
  <si>
    <t>百灵菇</t>
  </si>
  <si>
    <t>本地菜心</t>
  </si>
  <si>
    <t>青红杭椒</t>
  </si>
  <si>
    <t>小米椒</t>
  </si>
  <si>
    <t>野杏仁</t>
  </si>
  <si>
    <t>马蹄</t>
  </si>
  <si>
    <t>大芋头</t>
  </si>
  <si>
    <t>小芋头</t>
  </si>
  <si>
    <t>缅山药</t>
  </si>
  <si>
    <t>苤兰</t>
  </si>
  <si>
    <t>冻玉米粒(袋)</t>
    <phoneticPr fontId="17" type="noConversion"/>
  </si>
  <si>
    <t>冻青豆(袋)</t>
    <phoneticPr fontId="17" type="noConversion"/>
  </si>
  <si>
    <t>香椿苗</t>
  </si>
  <si>
    <t>紫叶生菜</t>
  </si>
  <si>
    <t>蒜黄</t>
    <phoneticPr fontId="17" type="noConversion"/>
  </si>
  <si>
    <t>青黄西葫芦</t>
  </si>
  <si>
    <t>碗豆尖</t>
  </si>
  <si>
    <t>紫贝天葵</t>
  </si>
  <si>
    <t>红黄彩椒</t>
  </si>
  <si>
    <t>花生(湿)</t>
  </si>
  <si>
    <t>前尖瘦肉</t>
  </si>
  <si>
    <t>去皮前尖</t>
  </si>
  <si>
    <t>去皮后尖</t>
  </si>
  <si>
    <t>精五花</t>
  </si>
  <si>
    <t>一级五花</t>
  </si>
  <si>
    <t>二级五花</t>
  </si>
  <si>
    <t>去皮五花</t>
  </si>
  <si>
    <t>后尖瘦肉</t>
  </si>
  <si>
    <t>小五花</t>
  </si>
  <si>
    <t>猪通脊</t>
  </si>
  <si>
    <t>纯排骨</t>
  </si>
  <si>
    <t>小排骨</t>
  </si>
  <si>
    <t>排骨(带腔)</t>
  </si>
  <si>
    <t>腔骨(冻)</t>
  </si>
  <si>
    <t>带肉棒骨</t>
  </si>
  <si>
    <t>光棒骨</t>
  </si>
  <si>
    <t>猪前肘</t>
  </si>
  <si>
    <t>冻猪前排</t>
  </si>
  <si>
    <t>猪蹄</t>
  </si>
  <si>
    <t>精品大肠</t>
  </si>
  <si>
    <t>猪耳朵(熟)</t>
  </si>
  <si>
    <t>猪肺</t>
  </si>
  <si>
    <t>猪腰(冻)</t>
  </si>
  <si>
    <t>猪皮</t>
  </si>
  <si>
    <t>前尖肉馅</t>
  </si>
  <si>
    <t>四号肉</t>
  </si>
  <si>
    <t>猪尾</t>
  </si>
  <si>
    <t>一级精碎肉</t>
  </si>
  <si>
    <t>二级精碎肉</t>
  </si>
  <si>
    <t>肉丝肉片丁</t>
  </si>
  <si>
    <t>牛通脊</t>
  </si>
  <si>
    <t>牛淋(冻)</t>
  </si>
  <si>
    <t>牛肉块(冻)</t>
  </si>
  <si>
    <t>牛腩(鲜)</t>
  </si>
  <si>
    <t>牛后(冻)</t>
  </si>
  <si>
    <t>牛腱子(冻)</t>
  </si>
  <si>
    <t>牛瓜条</t>
  </si>
  <si>
    <t>牛蹄筋</t>
  </si>
  <si>
    <t>牛肉馅</t>
  </si>
  <si>
    <t>牛心</t>
  </si>
  <si>
    <t>牛肠</t>
  </si>
  <si>
    <t>肥牛片</t>
  </si>
  <si>
    <t>牛油(冻)</t>
  </si>
  <si>
    <t>牛舌</t>
  </si>
  <si>
    <t>牛尾</t>
  </si>
  <si>
    <t>牛排</t>
  </si>
  <si>
    <t>羊后腿肉</t>
  </si>
  <si>
    <t>羊前腿肉</t>
  </si>
  <si>
    <t>羊蝎子（肉多）</t>
  </si>
  <si>
    <t>羊蝎子（骨）</t>
  </si>
  <si>
    <t>羊肉馅</t>
  </si>
  <si>
    <t>羊尾油</t>
  </si>
  <si>
    <t>羊棒骨</t>
  </si>
  <si>
    <t>西装兔</t>
  </si>
  <si>
    <t>兔子肉</t>
  </si>
  <si>
    <t>兔腿</t>
  </si>
  <si>
    <t>双大鸡胸</t>
  </si>
  <si>
    <t>鸡边腿</t>
  </si>
  <si>
    <t>鸡架</t>
  </si>
  <si>
    <t>双大琵琶腿</t>
  </si>
  <si>
    <t>普通琵琶腿</t>
  </si>
  <si>
    <t>鸡腿肉</t>
  </si>
  <si>
    <t>鸡胸</t>
  </si>
  <si>
    <t>老鸡</t>
  </si>
  <si>
    <t>鸡排腿</t>
  </si>
  <si>
    <t>鸡肉丝丁/片</t>
  </si>
  <si>
    <t>鸡翅</t>
  </si>
  <si>
    <t>双大翅中</t>
  </si>
  <si>
    <t>普通翅中</t>
  </si>
  <si>
    <t>鸡翅根</t>
  </si>
  <si>
    <t>鸡脖</t>
  </si>
  <si>
    <t>黄油老鸡</t>
  </si>
  <si>
    <t>童子鸡</t>
  </si>
  <si>
    <t>乌鸡</t>
  </si>
  <si>
    <t>西装鸭</t>
  </si>
  <si>
    <t>老鸭</t>
  </si>
  <si>
    <t>鸭翅</t>
  </si>
  <si>
    <t>半片鸭带腿</t>
  </si>
  <si>
    <t>鸭头</t>
  </si>
  <si>
    <t>鸭脖</t>
  </si>
  <si>
    <t>鸭肝</t>
  </si>
  <si>
    <t>鸭脯</t>
  </si>
  <si>
    <t>安康鱼</t>
  </si>
  <si>
    <t>罗非鱼(100-200)</t>
  </si>
  <si>
    <t>平鱼(2-3)</t>
  </si>
  <si>
    <t>小黄鱼</t>
  </si>
  <si>
    <t>单冻黄鱼</t>
  </si>
  <si>
    <t>霸鱼</t>
  </si>
  <si>
    <t>加工肉鲳</t>
  </si>
  <si>
    <t>带鱼(200-300)</t>
  </si>
  <si>
    <t>草鱼(加工)</t>
  </si>
  <si>
    <t>鲶鱼(加工)</t>
  </si>
  <si>
    <t>白鲢鱼</t>
  </si>
  <si>
    <t>胖头鱼头</t>
  </si>
  <si>
    <t>单冻平鱼</t>
  </si>
  <si>
    <t>鲅鱼</t>
  </si>
  <si>
    <t>鳝鱼片</t>
  </si>
  <si>
    <t>虾肉</t>
  </si>
  <si>
    <t>美极虾</t>
  </si>
  <si>
    <t>海参</t>
  </si>
  <si>
    <t>小河虾(冻块)</t>
  </si>
  <si>
    <t>毛肚</t>
  </si>
  <si>
    <t>百叶</t>
  </si>
  <si>
    <t>墨鱼(3-5)斤</t>
  </si>
  <si>
    <t>墨鱼仔</t>
  </si>
  <si>
    <t>广味香肠</t>
  </si>
  <si>
    <t>猪头肉</t>
  </si>
  <si>
    <t>羊杂</t>
  </si>
  <si>
    <t>火腿(根)</t>
  </si>
  <si>
    <t>骨肉相连</t>
  </si>
  <si>
    <t>鱼/鸡肉丸</t>
  </si>
  <si>
    <t>鱼丸(斤)</t>
  </si>
  <si>
    <t>鸡丸(斤)</t>
  </si>
  <si>
    <t>亲亲肠(斤)</t>
  </si>
  <si>
    <t>脆片肠(斤)</t>
  </si>
  <si>
    <t>龙鱼卷(斤)</t>
  </si>
  <si>
    <t>鱼豆腐(斤)</t>
  </si>
  <si>
    <t>奥尔良烤鸡(斤)</t>
  </si>
  <si>
    <t>奥尔良腿排(斤)</t>
  </si>
  <si>
    <t>牛排(件)</t>
  </si>
  <si>
    <t>鸡排(件)</t>
  </si>
  <si>
    <t>白身鱼排</t>
    <phoneticPr fontId="17" type="noConversion"/>
  </si>
  <si>
    <t>培根(袋)</t>
  </si>
  <si>
    <t>青虾仁(31-40)块</t>
  </si>
  <si>
    <t>狗肉</t>
  </si>
  <si>
    <t>狮子头</t>
  </si>
  <si>
    <t>鹌鹑蛋(熟)</t>
  </si>
  <si>
    <t>叉烧肉(袋)</t>
  </si>
  <si>
    <t>驴肉</t>
  </si>
  <si>
    <t>鸡蛋(箱)</t>
  </si>
  <si>
    <t>鸡蛋(筐)</t>
  </si>
  <si>
    <t>柴鸡蛋(得青源盒)</t>
  </si>
  <si>
    <t>皮蛋（松花蛋）</t>
  </si>
  <si>
    <t>鹌鹑蛋(生)</t>
  </si>
  <si>
    <t>南瓜饼(件)</t>
  </si>
  <si>
    <t>杂粮包(件)</t>
  </si>
  <si>
    <t>鸭饼(小包)</t>
  </si>
  <si>
    <t>混饨(件)</t>
  </si>
  <si>
    <t>舂卷皮(包)</t>
  </si>
  <si>
    <t>核桃仁(袋)</t>
  </si>
  <si>
    <t>雕鱼片(斤)</t>
  </si>
  <si>
    <t>碟鱼头(斤)</t>
  </si>
  <si>
    <t>目鱼花(斤)</t>
  </si>
  <si>
    <t>三全水饺(件)</t>
  </si>
  <si>
    <t>南豆腐(甜水源)</t>
  </si>
  <si>
    <t>盒豆腐</t>
  </si>
  <si>
    <t>凉粉</t>
  </si>
  <si>
    <t>凉面筋</t>
  </si>
  <si>
    <t>香干散装</t>
  </si>
  <si>
    <t>豆皮散装</t>
  </si>
  <si>
    <t>鸭血盒</t>
  </si>
  <si>
    <t>老豆腐白玉</t>
  </si>
  <si>
    <t>香干白玉</t>
  </si>
  <si>
    <t>豆腐丝白玉</t>
  </si>
  <si>
    <t>盒豆腐白玉</t>
  </si>
  <si>
    <t>熏干白玉</t>
  </si>
  <si>
    <t>白玉豆皮</t>
  </si>
  <si>
    <t>咸菜头</t>
  </si>
  <si>
    <t>裙带菜</t>
  </si>
  <si>
    <t>麻辣金丝</t>
  </si>
  <si>
    <t>红油榨菜丝</t>
  </si>
  <si>
    <t>冬笋丝</t>
  </si>
  <si>
    <t>海带丝(小箱)</t>
  </si>
  <si>
    <t>素蜇丝</t>
  </si>
  <si>
    <t>木耳(斤)</t>
    <phoneticPr fontId="17" type="noConversion"/>
  </si>
  <si>
    <t>龙口粉丝1*30包</t>
    <phoneticPr fontId="17" type="noConversion"/>
  </si>
  <si>
    <t>芝麻酱(口福)1*3250g</t>
    <phoneticPr fontId="17" type="noConversion"/>
  </si>
  <si>
    <t>辣椒酱(湘辣王)1*24*248g</t>
    <phoneticPr fontId="17" type="noConversion"/>
  </si>
  <si>
    <t>豆豉鲮鱼(金银花)1*24*148g</t>
  </si>
  <si>
    <t>枸杞子</t>
    <phoneticPr fontId="17" type="noConversion"/>
  </si>
  <si>
    <t>冰糖(斤)</t>
    <phoneticPr fontId="17" type="noConversion"/>
  </si>
  <si>
    <t>味精(双桥)1*20*400g</t>
  </si>
  <si>
    <t>干荷叶</t>
    <phoneticPr fontId="17" type="noConversion"/>
  </si>
  <si>
    <t>陶华碧老干妈风味豆豉油质辣椒1*24*280g</t>
    <phoneticPr fontId="17" type="noConversion"/>
  </si>
  <si>
    <t>散干细粉条</t>
    <phoneticPr fontId="17" type="noConversion"/>
  </si>
  <si>
    <t>翔誉京东板栗1*12*380g</t>
    <phoneticPr fontId="17" type="noConversion"/>
  </si>
  <si>
    <t>大枣</t>
    <phoneticPr fontId="17" type="noConversion"/>
  </si>
  <si>
    <t>糖桂花(紫菊)1*24*300g</t>
    <phoneticPr fontId="17" type="noConversion"/>
  </si>
  <si>
    <t>挂面(鲁王)1*30*350g</t>
  </si>
  <si>
    <t>玉米羹(金泰)1*24*410g</t>
  </si>
  <si>
    <t>劲松纯香姜汁1*40*130ml</t>
  </si>
  <si>
    <t>散干宽粉条</t>
    <phoneticPr fontId="17" type="noConversion"/>
  </si>
  <si>
    <t>绿豆粉(斤)</t>
    <phoneticPr fontId="17" type="noConversion"/>
  </si>
  <si>
    <t>优质小枣</t>
  </si>
  <si>
    <t>享氏番茄膏1*6*3kg</t>
  </si>
  <si>
    <t>白果(散)</t>
  </si>
  <si>
    <t>家乐牌鹰粟粉1*12*800克</t>
  </si>
  <si>
    <t>琼脂1*100袋*25克</t>
  </si>
  <si>
    <t>海天一品鲜酱油</t>
  </si>
  <si>
    <t>玉竹</t>
  </si>
  <si>
    <t>桂圆干</t>
  </si>
  <si>
    <t>丘比蓝莓酱</t>
  </si>
  <si>
    <t>美玫粉（香港）</t>
  </si>
  <si>
    <t>金象粉（香港）</t>
  </si>
  <si>
    <t>罗卜臣鱼胶粉</t>
  </si>
  <si>
    <t>东北黑木耳</t>
    <phoneticPr fontId="17" type="noConversion"/>
  </si>
  <si>
    <t>大白菜</t>
    <phoneticPr fontId="1" type="noConversion"/>
  </si>
  <si>
    <t>鲜香菇</t>
    <phoneticPr fontId="1" type="noConversion"/>
  </si>
  <si>
    <t>主料</t>
    <phoneticPr fontId="1" type="noConversion"/>
  </si>
  <si>
    <t>副料1</t>
    <phoneticPr fontId="1" type="noConversion"/>
  </si>
  <si>
    <t>副料2</t>
    <phoneticPr fontId="1" type="noConversion"/>
  </si>
  <si>
    <t>副料3</t>
    <phoneticPr fontId="1" type="noConversion"/>
  </si>
  <si>
    <t>名称</t>
    <phoneticPr fontId="1" type="noConversion"/>
  </si>
  <si>
    <t>木耳(斤)</t>
    <phoneticPr fontId="1" type="noConversion"/>
  </si>
  <si>
    <t>龙口粉丝1*30包</t>
    <phoneticPr fontId="1" type="noConversion"/>
  </si>
  <si>
    <t>莲藕</t>
    <phoneticPr fontId="1" type="noConversion"/>
  </si>
  <si>
    <t>主食</t>
    <phoneticPr fontId="17" type="noConversion"/>
  </si>
  <si>
    <t>热菜</t>
    <phoneticPr fontId="17" type="noConversion"/>
  </si>
  <si>
    <t>凉菜</t>
    <phoneticPr fontId="17" type="noConversion"/>
  </si>
  <si>
    <t>小吃</t>
    <phoneticPr fontId="17" type="noConversion"/>
  </si>
  <si>
    <t>汤粥</t>
    <phoneticPr fontId="17" type="noConversion"/>
  </si>
  <si>
    <t>冬笋里脊丝</t>
    <phoneticPr fontId="22" type="noConversion"/>
  </si>
  <si>
    <t>元宝烧肉</t>
    <phoneticPr fontId="22" type="noConversion"/>
  </si>
  <si>
    <t>肉末豇豆</t>
    <phoneticPr fontId="22" type="noConversion"/>
  </si>
  <si>
    <t>肉丝榨菜</t>
    <phoneticPr fontId="22" type="noConversion"/>
  </si>
  <si>
    <t>肉片青椒香干</t>
    <phoneticPr fontId="22" type="noConversion"/>
  </si>
  <si>
    <t>香菇冬瓜</t>
    <phoneticPr fontId="22" type="noConversion"/>
  </si>
  <si>
    <t>大葱</t>
    <phoneticPr fontId="22" type="noConversion"/>
  </si>
  <si>
    <t>四号肉</t>
    <phoneticPr fontId="22" type="noConversion"/>
  </si>
  <si>
    <t>冬笋丝</t>
    <phoneticPr fontId="22" type="noConversion"/>
  </si>
  <si>
    <t>鸡胸</t>
    <phoneticPr fontId="22" type="noConversion"/>
  </si>
  <si>
    <t>豇豆</t>
    <phoneticPr fontId="22" type="noConversion"/>
  </si>
  <si>
    <t>青椒</t>
    <phoneticPr fontId="22" type="noConversion"/>
  </si>
  <si>
    <t>西红柿</t>
    <phoneticPr fontId="22" type="noConversion"/>
  </si>
  <si>
    <t>冬瓜</t>
    <phoneticPr fontId="22" type="noConversion"/>
  </si>
  <si>
    <t>鲜香菇</t>
    <phoneticPr fontId="22" type="noConversion"/>
  </si>
  <si>
    <t>花生米</t>
    <phoneticPr fontId="22" type="noConversion"/>
  </si>
  <si>
    <t>香菇蒸鸡块</t>
    <phoneticPr fontId="1" type="noConversion"/>
  </si>
  <si>
    <t>鸡边腿</t>
    <phoneticPr fontId="1" type="noConversion"/>
  </si>
  <si>
    <t>鲜香菇</t>
    <phoneticPr fontId="1" type="noConversion"/>
  </si>
  <si>
    <t>03.31晚</t>
    <phoneticPr fontId="1" type="noConversion"/>
  </si>
  <si>
    <t>西红柿鸡蛋刀削面</t>
    <phoneticPr fontId="1" type="noConversion"/>
  </si>
  <si>
    <t>鲜蘑肉丁刀削面</t>
    <phoneticPr fontId="1" type="noConversion"/>
  </si>
  <si>
    <t>主食</t>
    <phoneticPr fontId="17" type="noConversion"/>
  </si>
  <si>
    <t>面粉</t>
    <phoneticPr fontId="22" type="noConversion"/>
  </si>
  <si>
    <t>面粉</t>
    <phoneticPr fontId="1" type="noConversion"/>
  </si>
  <si>
    <t>一级五花</t>
    <phoneticPr fontId="22" type="noConversion"/>
  </si>
  <si>
    <t>桂林米线1*8*2kg</t>
  </si>
  <si>
    <t>酸辣米线</t>
    <phoneticPr fontId="22" type="noConversion"/>
  </si>
  <si>
    <t>黄豆</t>
    <phoneticPr fontId="22" type="noConversion"/>
  </si>
  <si>
    <t>油菜</t>
    <phoneticPr fontId="22" type="noConversion"/>
  </si>
  <si>
    <t>水煮肉片</t>
    <phoneticPr fontId="1" type="noConversion"/>
  </si>
  <si>
    <t>土豆翅根</t>
    <phoneticPr fontId="1" type="noConversion"/>
  </si>
  <si>
    <t>木耳西葫芦</t>
    <phoneticPr fontId="1" type="noConversion"/>
  </si>
  <si>
    <t>圆白菜粉条</t>
    <phoneticPr fontId="1" type="noConversion"/>
  </si>
  <si>
    <t>四号肉</t>
    <phoneticPr fontId="1" type="noConversion"/>
  </si>
  <si>
    <t>鸡翅根</t>
    <phoneticPr fontId="1" type="noConversion"/>
  </si>
  <si>
    <t>尖椒</t>
    <phoneticPr fontId="1" type="noConversion"/>
  </si>
  <si>
    <t>西葫芦</t>
    <phoneticPr fontId="1" type="noConversion"/>
  </si>
  <si>
    <t>圆白菜</t>
    <phoneticPr fontId="1" type="noConversion"/>
  </si>
  <si>
    <t>青蒜</t>
    <phoneticPr fontId="1" type="noConversion"/>
  </si>
  <si>
    <t>毛血旺</t>
    <phoneticPr fontId="1" type="noConversion"/>
  </si>
  <si>
    <t>青笋排骨</t>
    <phoneticPr fontId="1" type="noConversion"/>
  </si>
  <si>
    <t>酸萝卜炖老鸭</t>
    <phoneticPr fontId="1" type="noConversion"/>
  </si>
  <si>
    <t>青笋木耳鸡片</t>
    <phoneticPr fontId="1" type="noConversion"/>
  </si>
  <si>
    <t>小葱鸡蛋</t>
    <phoneticPr fontId="1" type="noConversion"/>
  </si>
  <si>
    <t>炒双豆</t>
    <phoneticPr fontId="1" type="noConversion"/>
  </si>
  <si>
    <t>干锅娃娃菜</t>
    <phoneticPr fontId="1" type="noConversion"/>
  </si>
  <si>
    <t>青笋</t>
    <phoneticPr fontId="1" type="noConversion"/>
  </si>
  <si>
    <t>豇豆</t>
    <phoneticPr fontId="1" type="noConversion"/>
  </si>
  <si>
    <t>娃娃菜</t>
    <phoneticPr fontId="1" type="noConversion"/>
  </si>
  <si>
    <t>菠菜</t>
    <phoneticPr fontId="1" type="noConversion"/>
  </si>
  <si>
    <t>酸萝卜</t>
    <phoneticPr fontId="1" type="noConversion"/>
  </si>
  <si>
    <t>西红柿</t>
    <phoneticPr fontId="1" type="noConversion"/>
  </si>
  <si>
    <t>香菜</t>
    <phoneticPr fontId="1" type="noConversion"/>
  </si>
  <si>
    <t>鸡胸</t>
    <phoneticPr fontId="1" type="noConversion"/>
  </si>
  <si>
    <t>青椒</t>
    <phoneticPr fontId="1" type="noConversion"/>
  </si>
  <si>
    <t>小米椒</t>
    <phoneticPr fontId="1" type="noConversion"/>
  </si>
  <si>
    <t>黄豆芽</t>
    <phoneticPr fontId="1" type="noConversion"/>
  </si>
  <si>
    <t>辣子鸡丁</t>
    <phoneticPr fontId="1" type="noConversion"/>
  </si>
  <si>
    <t>红烧鱼块</t>
    <phoneticPr fontId="1" type="noConversion"/>
  </si>
  <si>
    <t>草鱼</t>
    <phoneticPr fontId="1" type="noConversion"/>
  </si>
  <si>
    <t>菜花</t>
    <phoneticPr fontId="1" type="noConversion"/>
  </si>
  <si>
    <t>剁椒鱼块</t>
    <phoneticPr fontId="1" type="noConversion"/>
  </si>
  <si>
    <t>西红柿牛腩</t>
    <phoneticPr fontId="1" type="noConversion"/>
  </si>
  <si>
    <t>豆花里脊</t>
    <phoneticPr fontId="1" type="noConversion"/>
  </si>
  <si>
    <t>炒三丁</t>
    <phoneticPr fontId="1" type="noConversion"/>
  </si>
  <si>
    <t>宫爆鹌鹑蛋</t>
    <phoneticPr fontId="1" type="noConversion"/>
  </si>
  <si>
    <t>红烧日本豆腐</t>
    <phoneticPr fontId="1" type="noConversion"/>
  </si>
  <si>
    <t>蒜茸娃娃菜</t>
    <phoneticPr fontId="1" type="noConversion"/>
  </si>
  <si>
    <t>清炒土豆丝</t>
    <phoneticPr fontId="1" type="noConversion"/>
  </si>
  <si>
    <t>鸡边腿</t>
    <phoneticPr fontId="1" type="noConversion"/>
  </si>
  <si>
    <t>盒豆腐</t>
    <phoneticPr fontId="1" type="noConversion"/>
  </si>
  <si>
    <t>日本豆腐</t>
    <phoneticPr fontId="1" type="noConversion"/>
  </si>
  <si>
    <t>油麦菜</t>
    <phoneticPr fontId="1" type="noConversion"/>
  </si>
  <si>
    <t>冬瓜</t>
    <phoneticPr fontId="1" type="noConversion"/>
  </si>
  <si>
    <t>大葱</t>
    <phoneticPr fontId="1" type="noConversion"/>
  </si>
  <si>
    <t>胡萝卜</t>
    <phoneticPr fontId="1" type="noConversion"/>
  </si>
  <si>
    <t>花生米</t>
    <phoneticPr fontId="1" type="noConversion"/>
  </si>
  <si>
    <t>红椒</t>
    <phoneticPr fontId="1" type="noConversion"/>
  </si>
  <si>
    <t>北菇蒸滑鸡</t>
    <phoneticPr fontId="1" type="noConversion"/>
  </si>
  <si>
    <t>鱼香小滑肉</t>
    <phoneticPr fontId="1" type="noConversion"/>
  </si>
  <si>
    <t>豉椒肉片</t>
    <phoneticPr fontId="1" type="noConversion"/>
  </si>
  <si>
    <t>溜茄丁</t>
    <phoneticPr fontId="1" type="noConversion"/>
  </si>
  <si>
    <t>洋葱</t>
    <phoneticPr fontId="1" type="noConversion"/>
  </si>
  <si>
    <t>西兰花</t>
    <phoneticPr fontId="1" type="noConversion"/>
  </si>
  <si>
    <t>冬笋</t>
    <phoneticPr fontId="1" type="noConversion"/>
  </si>
  <si>
    <t>飞鸿香辣鱼</t>
    <phoneticPr fontId="1" type="noConversion"/>
  </si>
  <si>
    <t>羊肉汆萝卜</t>
    <phoneticPr fontId="1" type="noConversion"/>
  </si>
  <si>
    <t>土豆扣肉</t>
    <phoneticPr fontId="1" type="noConversion"/>
  </si>
  <si>
    <t>樟茶鸭</t>
    <phoneticPr fontId="1" type="noConversion"/>
  </si>
  <si>
    <t>肉片鲜蘑</t>
    <phoneticPr fontId="1" type="noConversion"/>
  </si>
  <si>
    <t>煎焖豆腐</t>
    <phoneticPr fontId="1" type="noConversion"/>
  </si>
  <si>
    <t>素什锦</t>
    <phoneticPr fontId="1" type="noConversion"/>
  </si>
  <si>
    <t>炝炒圆白菜</t>
    <phoneticPr fontId="1" type="noConversion"/>
  </si>
  <si>
    <t>蒜茸蒿子杆</t>
    <phoneticPr fontId="1" type="noConversion"/>
  </si>
  <si>
    <t>羊肉片</t>
    <phoneticPr fontId="1" type="noConversion"/>
  </si>
  <si>
    <t>蒜苗</t>
    <phoneticPr fontId="1" type="noConversion"/>
  </si>
  <si>
    <t>黄瓜</t>
    <phoneticPr fontId="1" type="noConversion"/>
  </si>
  <si>
    <t>芹菜</t>
    <phoneticPr fontId="1" type="noConversion"/>
  </si>
  <si>
    <t>蒿子杆</t>
    <phoneticPr fontId="1" type="noConversion"/>
  </si>
  <si>
    <t>白萝卜</t>
    <phoneticPr fontId="1" type="noConversion"/>
  </si>
  <si>
    <t>腐竹</t>
    <phoneticPr fontId="1" type="noConversion"/>
  </si>
  <si>
    <t>油菜</t>
    <phoneticPr fontId="1" type="noConversion"/>
  </si>
  <si>
    <t>贵州嫩鸡</t>
    <phoneticPr fontId="1" type="noConversion"/>
  </si>
  <si>
    <t>雪菜豆腐</t>
    <phoneticPr fontId="1" type="noConversion"/>
  </si>
  <si>
    <t>肉末芹菜粉</t>
    <phoneticPr fontId="1" type="noConversion"/>
  </si>
  <si>
    <t>青蒜鸡蛋</t>
    <phoneticPr fontId="1" type="noConversion"/>
  </si>
  <si>
    <t>莲藕</t>
    <phoneticPr fontId="1" type="noConversion"/>
  </si>
  <si>
    <t>干烧鱼</t>
    <phoneticPr fontId="1" type="noConversion"/>
  </si>
  <si>
    <t>蚝油牛肉粒</t>
    <phoneticPr fontId="1" type="noConversion"/>
  </si>
  <si>
    <t>菠萝古老肉</t>
    <phoneticPr fontId="1" type="noConversion"/>
  </si>
  <si>
    <t>莲藕猪手</t>
    <phoneticPr fontId="1" type="noConversion"/>
  </si>
  <si>
    <t>五花肉圆白菜</t>
    <phoneticPr fontId="1" type="noConversion"/>
  </si>
  <si>
    <t>肉丝蒜苗</t>
    <phoneticPr fontId="1" type="noConversion"/>
  </si>
  <si>
    <t>素烧冬瓜</t>
    <phoneticPr fontId="1" type="noConversion"/>
  </si>
  <si>
    <t>烧双豆</t>
    <phoneticPr fontId="1" type="noConversion"/>
  </si>
  <si>
    <t>菠萝</t>
    <phoneticPr fontId="1" type="noConversion"/>
  </si>
  <si>
    <t>锅巴鸡米花</t>
    <phoneticPr fontId="1" type="noConversion"/>
  </si>
  <si>
    <t>白菜粉条烧肉</t>
    <phoneticPr fontId="1" type="noConversion"/>
  </si>
  <si>
    <t>红烧鲳鱼</t>
    <phoneticPr fontId="1" type="noConversion"/>
  </si>
  <si>
    <t>蒸蛋羹</t>
    <phoneticPr fontId="1" type="noConversion"/>
  </si>
  <si>
    <t>虎皮尖椒</t>
    <phoneticPr fontId="1" type="noConversion"/>
  </si>
  <si>
    <t>黄豆盖菜</t>
    <phoneticPr fontId="1" type="noConversion"/>
  </si>
  <si>
    <t>鸡米花</t>
    <phoneticPr fontId="1" type="noConversion"/>
  </si>
  <si>
    <t>盖菜</t>
    <phoneticPr fontId="1" type="noConversion"/>
  </si>
  <si>
    <t>锅巴</t>
    <phoneticPr fontId="1" type="noConversion"/>
  </si>
  <si>
    <t>黄豆</t>
    <phoneticPr fontId="1" type="noConversion"/>
  </si>
  <si>
    <t>酸菜鱼</t>
    <phoneticPr fontId="1" type="noConversion"/>
  </si>
  <si>
    <t>京酱肉丝</t>
    <phoneticPr fontId="1" type="noConversion"/>
  </si>
  <si>
    <t>糖醋里脊</t>
    <phoneticPr fontId="1" type="noConversion"/>
  </si>
  <si>
    <t>土豆鸡块</t>
    <phoneticPr fontId="1" type="noConversion"/>
  </si>
  <si>
    <t>肉末酸豆角</t>
    <phoneticPr fontId="1" type="noConversion"/>
  </si>
  <si>
    <t>肉丝熏干芹菜</t>
    <phoneticPr fontId="1" type="noConversion"/>
  </si>
  <si>
    <t>小葱炒鸡蛋</t>
    <phoneticPr fontId="1" type="noConversion"/>
  </si>
  <si>
    <t>五花白菜炖豆泡</t>
    <phoneticPr fontId="1" type="noConversion"/>
  </si>
  <si>
    <t>炝炒红根</t>
    <phoneticPr fontId="1" type="noConversion"/>
  </si>
  <si>
    <t>酸辣藕片</t>
    <phoneticPr fontId="1" type="noConversion"/>
  </si>
  <si>
    <t>鲮鱼油麦菜</t>
    <phoneticPr fontId="1" type="noConversion"/>
  </si>
  <si>
    <t>酸豆角</t>
    <phoneticPr fontId="1" type="noConversion"/>
  </si>
  <si>
    <t>鱼酸菜</t>
    <phoneticPr fontId="1" type="noConversion"/>
  </si>
  <si>
    <t>豆腐鲶鱼</t>
    <phoneticPr fontId="1" type="noConversion"/>
  </si>
  <si>
    <t>水煮肥牛</t>
    <phoneticPr fontId="1" type="noConversion"/>
  </si>
  <si>
    <t>滑溜肉片</t>
    <phoneticPr fontId="1" type="noConversion"/>
  </si>
  <si>
    <t>蒜黄鸡蛋</t>
    <phoneticPr fontId="1" type="noConversion"/>
  </si>
  <si>
    <t>五花土豆片</t>
    <phoneticPr fontId="1" type="noConversion"/>
  </si>
  <si>
    <t>肉丝黄豆芽</t>
    <phoneticPr fontId="1" type="noConversion"/>
  </si>
  <si>
    <t>菠菜粉丝</t>
    <phoneticPr fontId="1" type="noConversion"/>
  </si>
  <si>
    <t>鲶鱼</t>
    <phoneticPr fontId="1" type="noConversion"/>
  </si>
  <si>
    <t>蒜黄</t>
    <phoneticPr fontId="1" type="noConversion"/>
  </si>
  <si>
    <t>法式牛腩</t>
    <phoneticPr fontId="1" type="noConversion"/>
  </si>
  <si>
    <t>花仁腊肉</t>
    <phoneticPr fontId="1" type="noConversion"/>
  </si>
  <si>
    <t>水果鸡球</t>
    <phoneticPr fontId="1" type="noConversion"/>
  </si>
  <si>
    <t>蒜苗鸡蛋</t>
    <phoneticPr fontId="1" type="noConversion"/>
  </si>
  <si>
    <t>麻辣豆腐</t>
    <phoneticPr fontId="1" type="noConversion"/>
  </si>
  <si>
    <t>葱油芹菜</t>
    <phoneticPr fontId="1" type="noConversion"/>
  </si>
  <si>
    <t>椒油双花</t>
    <phoneticPr fontId="1" type="noConversion"/>
  </si>
  <si>
    <t>枸杞冬瓜条</t>
    <phoneticPr fontId="1" type="noConversion"/>
  </si>
  <si>
    <t>腊肉</t>
    <phoneticPr fontId="1" type="noConversion"/>
  </si>
  <si>
    <t>鸡腿肉</t>
    <phoneticPr fontId="1" type="noConversion"/>
  </si>
  <si>
    <t>苹果</t>
    <phoneticPr fontId="1" type="noConversion"/>
  </si>
  <si>
    <t>桔子</t>
    <phoneticPr fontId="1" type="noConversion"/>
  </si>
  <si>
    <t>红烧狮子头</t>
    <phoneticPr fontId="1" type="noConversion"/>
  </si>
  <si>
    <t>炸鱼排</t>
    <phoneticPr fontId="1" type="noConversion"/>
  </si>
  <si>
    <t>白菜豆腐</t>
    <phoneticPr fontId="1" type="noConversion"/>
  </si>
  <si>
    <t>银丝娃娃菜</t>
    <phoneticPr fontId="1" type="noConversion"/>
  </si>
  <si>
    <t>银耳南瓜</t>
    <phoneticPr fontId="1" type="noConversion"/>
  </si>
  <si>
    <t>南瓜</t>
    <phoneticPr fontId="1" type="noConversion"/>
  </si>
  <si>
    <r>
      <rPr>
        <sz val="10"/>
        <color indexed="8"/>
        <rFont val="宋体"/>
        <family val="3"/>
        <charset val="134"/>
      </rPr>
      <t>银耳</t>
    </r>
    <r>
      <rPr>
        <sz val="10"/>
        <color indexed="8"/>
        <rFont val="Comic Sans MS"/>
        <family val="4"/>
      </rPr>
      <t>(</t>
    </r>
    <r>
      <rPr>
        <sz val="10"/>
        <color indexed="8"/>
        <rFont val="宋体"/>
        <family val="3"/>
        <charset val="134"/>
      </rPr>
      <t>白木耳</t>
    </r>
    <r>
      <rPr>
        <sz val="10"/>
        <color indexed="8"/>
        <rFont val="Comic Sans MS"/>
        <family val="4"/>
      </rPr>
      <t>)</t>
    </r>
    <phoneticPr fontId="17" type="noConversion"/>
  </si>
  <si>
    <t>香菇鸡块</t>
    <phoneticPr fontId="22" type="noConversion"/>
  </si>
  <si>
    <t>海带烧肉</t>
    <phoneticPr fontId="22" type="noConversion"/>
  </si>
  <si>
    <t>蒜苗肉丝</t>
    <phoneticPr fontId="22" type="noConversion"/>
  </si>
  <si>
    <t>青笋木耳鸡蛋</t>
    <phoneticPr fontId="22" type="noConversion"/>
  </si>
  <si>
    <t>麻婆豆腐</t>
    <phoneticPr fontId="22" type="noConversion"/>
  </si>
  <si>
    <t>醋烹豆芽</t>
    <phoneticPr fontId="22" type="noConversion"/>
  </si>
  <si>
    <t>清炒小白菜</t>
    <phoneticPr fontId="22" type="noConversion"/>
  </si>
  <si>
    <t>鸡边腿</t>
    <phoneticPr fontId="22" type="noConversion"/>
  </si>
  <si>
    <t>蒜苗</t>
    <phoneticPr fontId="22" type="noConversion"/>
  </si>
  <si>
    <t>青笋</t>
    <phoneticPr fontId="22" type="noConversion"/>
  </si>
  <si>
    <t>绿豆芽</t>
    <phoneticPr fontId="22" type="noConversion"/>
  </si>
  <si>
    <t>小白菜</t>
    <phoneticPr fontId="22" type="noConversion"/>
  </si>
  <si>
    <t>鲜香菇</t>
    <phoneticPr fontId="22" type="noConversion"/>
  </si>
  <si>
    <t>四号肉</t>
    <phoneticPr fontId="22" type="noConversion"/>
  </si>
  <si>
    <t>红椒</t>
    <phoneticPr fontId="22" type="noConversion"/>
  </si>
  <si>
    <t>青蒜</t>
    <phoneticPr fontId="22" type="noConversion"/>
  </si>
  <si>
    <t>清蒸鱼</t>
    <phoneticPr fontId="22" type="noConversion"/>
  </si>
  <si>
    <t>黒椒牛柳</t>
    <phoneticPr fontId="22" type="noConversion"/>
  </si>
  <si>
    <t>土豆排骨</t>
    <phoneticPr fontId="22" type="noConversion"/>
  </si>
  <si>
    <t>孜然烤鸡腿</t>
    <phoneticPr fontId="22" type="noConversion"/>
  </si>
  <si>
    <t>肉片山药木耳</t>
    <phoneticPr fontId="22" type="noConversion"/>
  </si>
  <si>
    <t>肉末鸡油豆腐</t>
    <phoneticPr fontId="22" type="noConversion"/>
  </si>
  <si>
    <t>番茄菜花</t>
    <phoneticPr fontId="22" type="noConversion"/>
  </si>
  <si>
    <t>尖椒土豆丝</t>
    <phoneticPr fontId="22" type="noConversion"/>
  </si>
  <si>
    <t>手撕圆白菜</t>
    <phoneticPr fontId="22" type="noConversion"/>
  </si>
  <si>
    <t>清炒油菜</t>
    <phoneticPr fontId="22" type="noConversion"/>
  </si>
  <si>
    <t>草鱼</t>
    <phoneticPr fontId="22" type="noConversion"/>
  </si>
  <si>
    <t>香芹</t>
    <phoneticPr fontId="22" type="noConversion"/>
  </si>
  <si>
    <t>西红柿</t>
    <phoneticPr fontId="22" type="noConversion"/>
  </si>
  <si>
    <t>菜花</t>
    <phoneticPr fontId="22" type="noConversion"/>
  </si>
  <si>
    <t>圆白菜</t>
    <phoneticPr fontId="22" type="noConversion"/>
  </si>
  <si>
    <t>油菜</t>
    <phoneticPr fontId="22" type="noConversion"/>
  </si>
  <si>
    <t>大葱</t>
    <phoneticPr fontId="22" type="noConversion"/>
  </si>
  <si>
    <t>洋葱</t>
    <phoneticPr fontId="22" type="noConversion"/>
  </si>
  <si>
    <t>尖椒</t>
    <phoneticPr fontId="22" type="noConversion"/>
  </si>
  <si>
    <t>姜</t>
    <phoneticPr fontId="22" type="noConversion"/>
  </si>
  <si>
    <t>青椒</t>
    <phoneticPr fontId="22" type="noConversion"/>
  </si>
  <si>
    <t>大饼回锅肉</t>
    <phoneticPr fontId="1" type="noConversion"/>
  </si>
  <si>
    <t>醋焖带鱼</t>
    <phoneticPr fontId="1" type="noConversion"/>
  </si>
  <si>
    <t>五彩鸡片</t>
    <phoneticPr fontId="1" type="noConversion"/>
  </si>
  <si>
    <t>木须肉</t>
    <phoneticPr fontId="1" type="noConversion"/>
  </si>
  <si>
    <t>金瓜百合炒木耳</t>
    <phoneticPr fontId="1" type="noConversion"/>
  </si>
  <si>
    <t>白菜粉条炖豆腐</t>
    <phoneticPr fontId="1" type="noConversion"/>
  </si>
  <si>
    <t>蒜茸西兰花</t>
    <phoneticPr fontId="1" type="noConversion"/>
  </si>
  <si>
    <t>虾皮小白菜</t>
    <phoneticPr fontId="1" type="noConversion"/>
  </si>
  <si>
    <t>鸡胸</t>
    <phoneticPr fontId="1" type="noConversion"/>
  </si>
  <si>
    <t>四号肉</t>
    <phoneticPr fontId="1" type="noConversion"/>
  </si>
  <si>
    <t>金瓜</t>
    <phoneticPr fontId="1" type="noConversion"/>
  </si>
  <si>
    <t>西兰花</t>
    <phoneticPr fontId="1" type="noConversion"/>
  </si>
  <si>
    <t>小白菜</t>
    <phoneticPr fontId="1" type="noConversion"/>
  </si>
  <si>
    <t>蒜苗</t>
    <phoneticPr fontId="1" type="noConversion"/>
  </si>
  <si>
    <t>香菇、木耳</t>
    <phoneticPr fontId="1" type="noConversion"/>
  </si>
  <si>
    <t>虾皮</t>
    <phoneticPr fontId="1" type="noConversion"/>
  </si>
  <si>
    <t>冬笋</t>
    <phoneticPr fontId="1" type="noConversion"/>
  </si>
  <si>
    <t>黄瓜</t>
    <phoneticPr fontId="1" type="noConversion"/>
  </si>
  <si>
    <t>百合</t>
    <phoneticPr fontId="1" type="noConversion"/>
  </si>
  <si>
    <t>胡萝卜、黄瓜</t>
    <phoneticPr fontId="1" type="noConversion"/>
  </si>
  <si>
    <t>干烧带鱼</t>
    <phoneticPr fontId="1" type="noConversion"/>
  </si>
  <si>
    <t>鱼香肉丝</t>
    <phoneticPr fontId="1" type="noConversion"/>
  </si>
  <si>
    <t>油淋鸡</t>
    <phoneticPr fontId="1" type="noConversion"/>
  </si>
  <si>
    <t>芸豆猪手</t>
    <phoneticPr fontId="1" type="noConversion"/>
  </si>
  <si>
    <t>青笋木耳肉片</t>
    <phoneticPr fontId="1" type="noConversion"/>
  </si>
  <si>
    <t>肉末豆腐</t>
    <phoneticPr fontId="1" type="noConversion"/>
  </si>
  <si>
    <t>上汤娃娃菜</t>
    <phoneticPr fontId="1" type="noConversion"/>
  </si>
  <si>
    <t>粉丝菠菜</t>
    <phoneticPr fontId="1" type="noConversion"/>
  </si>
  <si>
    <t>板栗冬瓜条</t>
    <phoneticPr fontId="1" type="noConversion"/>
  </si>
  <si>
    <t>鸡边腿</t>
    <phoneticPr fontId="1" type="noConversion"/>
  </si>
  <si>
    <t>青笋</t>
    <phoneticPr fontId="1" type="noConversion"/>
  </si>
  <si>
    <t>娃娃菜</t>
    <phoneticPr fontId="1" type="noConversion"/>
  </si>
  <si>
    <t>菠菜</t>
    <phoneticPr fontId="1" type="noConversion"/>
  </si>
  <si>
    <t>冬瓜</t>
    <phoneticPr fontId="1" type="noConversion"/>
  </si>
  <si>
    <t>大葱</t>
    <phoneticPr fontId="1" type="noConversion"/>
  </si>
  <si>
    <t>芸豆</t>
    <phoneticPr fontId="1" type="noConversion"/>
  </si>
  <si>
    <t>胡萝卜、青椒各</t>
    <phoneticPr fontId="1" type="noConversion"/>
  </si>
  <si>
    <t>姜</t>
    <phoneticPr fontId="1" type="noConversion"/>
  </si>
  <si>
    <t>酱爆鸡丁</t>
    <phoneticPr fontId="22" type="noConversion"/>
  </si>
  <si>
    <t>蜀香鲶鱼</t>
    <phoneticPr fontId="22" type="noConversion"/>
  </si>
  <si>
    <t>葱爆羊肉</t>
    <phoneticPr fontId="22" type="noConversion"/>
  </si>
  <si>
    <t>酸菜白肉</t>
    <phoneticPr fontId="22" type="noConversion"/>
  </si>
  <si>
    <t>粉条黄豆芽</t>
    <phoneticPr fontId="22" type="noConversion"/>
  </si>
  <si>
    <t>花仁盖菜</t>
    <phoneticPr fontId="22" type="noConversion"/>
  </si>
  <si>
    <t>鸡胸</t>
    <phoneticPr fontId="22" type="noConversion"/>
  </si>
  <si>
    <t>鲶鱼</t>
    <phoneticPr fontId="22" type="noConversion"/>
  </si>
  <si>
    <t>酸菜</t>
    <phoneticPr fontId="22" type="noConversion"/>
  </si>
  <si>
    <t>黄豆芽</t>
    <phoneticPr fontId="22" type="noConversion"/>
  </si>
  <si>
    <t>盖菜</t>
    <phoneticPr fontId="22" type="noConversion"/>
  </si>
  <si>
    <t>黄瓜</t>
    <phoneticPr fontId="22" type="noConversion"/>
  </si>
  <si>
    <t>垮炖鱼块</t>
    <phoneticPr fontId="22" type="noConversion"/>
  </si>
  <si>
    <t>孜然羊肉</t>
    <phoneticPr fontId="22" type="noConversion"/>
  </si>
  <si>
    <t>糖醋鸡柳</t>
    <phoneticPr fontId="22" type="noConversion"/>
  </si>
  <si>
    <t>莲藕排骨</t>
    <phoneticPr fontId="22" type="noConversion"/>
  </si>
  <si>
    <t>豉汁蛋羹</t>
    <phoneticPr fontId="22" type="noConversion"/>
  </si>
  <si>
    <t>肉片菜花</t>
    <phoneticPr fontId="22" type="noConversion"/>
  </si>
  <si>
    <t>烧茄子</t>
    <phoneticPr fontId="22" type="noConversion"/>
  </si>
  <si>
    <t>家常豆腐</t>
    <phoneticPr fontId="22" type="noConversion"/>
  </si>
  <si>
    <t>上汤萝卜丝</t>
    <phoneticPr fontId="22" type="noConversion"/>
  </si>
  <si>
    <t>清炒快菜</t>
    <phoneticPr fontId="22" type="noConversion"/>
  </si>
  <si>
    <t>鸡腿肉</t>
    <phoneticPr fontId="22" type="noConversion"/>
  </si>
  <si>
    <t>白萝卜</t>
    <phoneticPr fontId="22" type="noConversion"/>
  </si>
  <si>
    <t>快菜</t>
    <phoneticPr fontId="22" type="noConversion"/>
  </si>
  <si>
    <t>莲藕</t>
    <phoneticPr fontId="22" type="noConversion"/>
  </si>
  <si>
    <t>胡萝卜</t>
    <phoneticPr fontId="22" type="noConversion"/>
  </si>
  <si>
    <t>香菜</t>
    <phoneticPr fontId="22" type="noConversion"/>
  </si>
  <si>
    <t>枸杞子</t>
    <phoneticPr fontId="17" type="noConversion"/>
  </si>
  <si>
    <t>红烧罗非鱼</t>
    <phoneticPr fontId="1" type="noConversion"/>
  </si>
  <si>
    <t>干豆角烧肉</t>
    <phoneticPr fontId="1" type="noConversion"/>
  </si>
  <si>
    <t>鲜蘑肉片</t>
    <phoneticPr fontId="1" type="noConversion"/>
  </si>
  <si>
    <t>虾皮冬瓜</t>
    <phoneticPr fontId="1" type="noConversion"/>
  </si>
  <si>
    <t>蒜茸菠菜</t>
    <phoneticPr fontId="1" type="noConversion"/>
  </si>
  <si>
    <t>西红柿</t>
    <phoneticPr fontId="1" type="noConversion"/>
  </si>
  <si>
    <t>干豆角</t>
    <phoneticPr fontId="1" type="noConversion"/>
  </si>
  <si>
    <t>重庆辣子鸡</t>
    <phoneticPr fontId="1" type="noConversion"/>
  </si>
  <si>
    <t>红焖牛腩</t>
    <phoneticPr fontId="1" type="noConversion"/>
  </si>
  <si>
    <t>香炸小黄鱼</t>
    <phoneticPr fontId="1" type="noConversion"/>
  </si>
  <si>
    <t>肉片尖椒豆皮</t>
    <phoneticPr fontId="1" type="noConversion"/>
  </si>
  <si>
    <t>干锅萝卜</t>
    <phoneticPr fontId="1" type="noConversion"/>
  </si>
  <si>
    <t>地三鲜</t>
    <phoneticPr fontId="1" type="noConversion"/>
  </si>
  <si>
    <t>香葱鸡蛋</t>
    <phoneticPr fontId="1" type="noConversion"/>
  </si>
  <si>
    <t>木耳白菜</t>
    <phoneticPr fontId="1" type="noConversion"/>
  </si>
  <si>
    <t>香菇油菜</t>
    <phoneticPr fontId="1" type="noConversion"/>
  </si>
  <si>
    <t>小黄鱼</t>
    <phoneticPr fontId="1" type="noConversion"/>
  </si>
  <si>
    <t>白萝卜</t>
    <phoneticPr fontId="1" type="noConversion"/>
  </si>
  <si>
    <t>大白菜</t>
    <phoneticPr fontId="1" type="noConversion"/>
  </si>
  <si>
    <t>油菜</t>
    <phoneticPr fontId="1" type="noConversion"/>
  </si>
  <si>
    <t>芹菜</t>
    <phoneticPr fontId="1" type="noConversion"/>
  </si>
  <si>
    <t>胡萝卜</t>
    <phoneticPr fontId="1" type="noConversion"/>
  </si>
  <si>
    <t>尖椒</t>
    <phoneticPr fontId="1" type="noConversion"/>
  </si>
  <si>
    <t>香葱</t>
    <phoneticPr fontId="1" type="noConversion"/>
  </si>
  <si>
    <t>鲜香菇</t>
    <phoneticPr fontId="1" type="noConversion"/>
  </si>
  <si>
    <t>青蒜</t>
    <phoneticPr fontId="1" type="noConversion"/>
  </si>
  <si>
    <t>腐竹</t>
    <phoneticPr fontId="1" type="noConversion"/>
  </si>
  <si>
    <t>青椒</t>
    <phoneticPr fontId="1" type="noConversion"/>
  </si>
  <si>
    <t>椒盐虾</t>
    <phoneticPr fontId="1" type="noConversion"/>
  </si>
  <si>
    <t>宽粉烧肉</t>
    <phoneticPr fontId="1" type="noConversion"/>
  </si>
  <si>
    <t>荷塘小炒</t>
    <phoneticPr fontId="1" type="noConversion"/>
  </si>
  <si>
    <t>肉片西葫芦</t>
    <phoneticPr fontId="1" type="noConversion"/>
  </si>
  <si>
    <t>酸辣白菜粉</t>
    <phoneticPr fontId="1" type="noConversion"/>
  </si>
  <si>
    <t>小枣南瓜</t>
    <phoneticPr fontId="1" type="noConversion"/>
  </si>
  <si>
    <t>青椒土豆片</t>
    <phoneticPr fontId="1" type="noConversion"/>
  </si>
  <si>
    <t>美极虾</t>
    <phoneticPr fontId="1" type="noConversion"/>
  </si>
  <si>
    <t>西葫芦</t>
    <phoneticPr fontId="1" type="noConversion"/>
  </si>
  <si>
    <t>南瓜</t>
    <phoneticPr fontId="1" type="noConversion"/>
  </si>
  <si>
    <t>圆生菜</t>
    <phoneticPr fontId="1" type="noConversion"/>
  </si>
  <si>
    <t>荷兰豆</t>
    <phoneticPr fontId="1" type="noConversion"/>
  </si>
  <si>
    <t>小米椒</t>
    <phoneticPr fontId="1" type="noConversion"/>
  </si>
  <si>
    <t>红烧鲳鱼块</t>
    <phoneticPr fontId="1" type="noConversion"/>
  </si>
  <si>
    <t>红焖鸭块</t>
    <phoneticPr fontId="1" type="noConversion"/>
  </si>
  <si>
    <t>锅包肉</t>
    <phoneticPr fontId="1" type="noConversion"/>
  </si>
  <si>
    <t>肉丝酸菜粉</t>
    <phoneticPr fontId="1" type="noConversion"/>
  </si>
  <si>
    <t>冬瓜丸子</t>
    <phoneticPr fontId="1" type="noConversion"/>
  </si>
  <si>
    <t>椒油圆白菜</t>
    <phoneticPr fontId="1" type="noConversion"/>
  </si>
  <si>
    <t>酸菜</t>
    <phoneticPr fontId="1" type="noConversion"/>
  </si>
  <si>
    <t>圆白菜</t>
    <phoneticPr fontId="1" type="noConversion"/>
  </si>
  <si>
    <t>牛肉丸</t>
    <phoneticPr fontId="1" type="noConversion"/>
  </si>
  <si>
    <t>香菜</t>
    <phoneticPr fontId="1" type="noConversion"/>
  </si>
  <si>
    <t>荷香鸡块</t>
    <phoneticPr fontId="1" type="noConversion"/>
  </si>
  <si>
    <t>焦溜丸子</t>
    <phoneticPr fontId="1" type="noConversion"/>
  </si>
  <si>
    <t>炸鱿鱼串</t>
    <phoneticPr fontId="1" type="noConversion"/>
  </si>
  <si>
    <t>圆白菜豆腐丝</t>
    <phoneticPr fontId="1" type="noConversion"/>
  </si>
  <si>
    <t>重庆烤鱼</t>
    <phoneticPr fontId="1" type="noConversion"/>
  </si>
  <si>
    <t>红焖羊排</t>
    <phoneticPr fontId="1" type="noConversion"/>
  </si>
  <si>
    <t>清炖狮子头</t>
    <phoneticPr fontId="1" type="noConversion"/>
  </si>
  <si>
    <t>骨肉相连</t>
    <phoneticPr fontId="1" type="noConversion"/>
  </si>
  <si>
    <t>肉末海带丝</t>
    <phoneticPr fontId="1" type="noConversion"/>
  </si>
  <si>
    <t>尖椒鸡蛋</t>
    <phoneticPr fontId="1" type="noConversion"/>
  </si>
  <si>
    <t>乡村茄子</t>
    <phoneticPr fontId="1" type="noConversion"/>
  </si>
  <si>
    <t>韭香银芽</t>
    <phoneticPr fontId="1" type="noConversion"/>
  </si>
  <si>
    <t>草鱼</t>
    <phoneticPr fontId="1" type="noConversion"/>
  </si>
  <si>
    <t>羊排</t>
    <phoneticPr fontId="1" type="noConversion"/>
  </si>
  <si>
    <t>海带丝</t>
    <phoneticPr fontId="1" type="noConversion"/>
  </si>
  <si>
    <t>绿豆芽</t>
    <phoneticPr fontId="1" type="noConversion"/>
  </si>
  <si>
    <t>韭菜</t>
    <phoneticPr fontId="1" type="noConversion"/>
  </si>
  <si>
    <t>红椒</t>
    <phoneticPr fontId="1" type="noConversion"/>
  </si>
  <si>
    <t>鱿鱼串</t>
    <phoneticPr fontId="1" type="noConversion"/>
  </si>
  <si>
    <t>拍黄瓜</t>
    <phoneticPr fontId="22" type="noConversion"/>
  </si>
  <si>
    <t>五香豆腐丝</t>
    <phoneticPr fontId="22" type="noConversion"/>
  </si>
  <si>
    <t>川北凉粉</t>
    <phoneticPr fontId="22" type="noConversion"/>
  </si>
  <si>
    <t>蒜泥茄子</t>
    <phoneticPr fontId="22" type="noConversion"/>
  </si>
  <si>
    <t>三色花生米</t>
    <phoneticPr fontId="22" type="noConversion"/>
  </si>
  <si>
    <t>爽口木耳</t>
    <phoneticPr fontId="22" type="noConversion"/>
  </si>
  <si>
    <t>凉粉</t>
    <phoneticPr fontId="22" type="noConversion"/>
  </si>
  <si>
    <t>1瓶</t>
    <phoneticPr fontId="22" type="noConversion"/>
  </si>
  <si>
    <t>芹菜</t>
    <phoneticPr fontId="22" type="noConversion"/>
  </si>
  <si>
    <r>
      <t>0，</t>
    </r>
    <r>
      <rPr>
        <sz val="12"/>
        <rFont val="宋体"/>
        <family val="3"/>
        <charset val="134"/>
      </rPr>
      <t>5</t>
    </r>
    <phoneticPr fontId="22" type="noConversion"/>
  </si>
  <si>
    <t>蒜苗肉丝</t>
    <phoneticPr fontId="17" type="noConversion"/>
  </si>
  <si>
    <t>香菇鸡块</t>
    <phoneticPr fontId="17" type="noConversion"/>
  </si>
  <si>
    <t>麻婆豆腐</t>
    <phoneticPr fontId="17" type="noConversion"/>
  </si>
  <si>
    <t>青笋木耳鸡蛋</t>
    <phoneticPr fontId="17" type="noConversion"/>
  </si>
  <si>
    <t>清炒小白菜</t>
    <phoneticPr fontId="17" type="noConversion"/>
  </si>
  <si>
    <t>醋烹豆芽</t>
    <phoneticPr fontId="17" type="noConversion"/>
  </si>
  <si>
    <t>红烧黄菇鱼</t>
    <phoneticPr fontId="17" type="noConversion"/>
  </si>
  <si>
    <t>餐次</t>
    <phoneticPr fontId="1" type="noConversion"/>
  </si>
  <si>
    <t>61785部队餐厅日投料计划表</t>
    <phoneticPr fontId="1" type="noConversion"/>
  </si>
  <si>
    <t>牛肉拉面</t>
    <phoneticPr fontId="22" type="noConversion"/>
  </si>
  <si>
    <t>蒙古一品羊杂汤</t>
    <phoneticPr fontId="22" type="noConversion"/>
  </si>
  <si>
    <t>红油笋条</t>
    <phoneticPr fontId="1" type="noConversion"/>
  </si>
  <si>
    <t>巧拌白菜丝</t>
    <phoneticPr fontId="1" type="noConversion"/>
  </si>
  <si>
    <t>小葱豆腐</t>
    <phoneticPr fontId="1" type="noConversion"/>
  </si>
  <si>
    <t>老虎菜</t>
    <phoneticPr fontId="1" type="noConversion"/>
  </si>
  <si>
    <t>糖醋藕片</t>
    <phoneticPr fontId="1" type="noConversion"/>
  </si>
  <si>
    <t>蕨根粉</t>
    <phoneticPr fontId="1" type="noConversion"/>
  </si>
  <si>
    <t>盒豆腐</t>
    <phoneticPr fontId="1" type="noConversion"/>
  </si>
  <si>
    <t>大拌菜</t>
    <phoneticPr fontId="1" type="noConversion"/>
  </si>
  <si>
    <t>酸辣藕片</t>
    <phoneticPr fontId="1" type="noConversion"/>
  </si>
  <si>
    <t>腐竹芹菜</t>
    <phoneticPr fontId="1" type="noConversion"/>
  </si>
  <si>
    <t>拌三丝</t>
    <phoneticPr fontId="1" type="noConversion"/>
  </si>
  <si>
    <t>蓝莓山药</t>
    <phoneticPr fontId="1" type="noConversion"/>
  </si>
  <si>
    <t>心里美</t>
    <phoneticPr fontId="1" type="noConversion"/>
  </si>
  <si>
    <t>1瓶</t>
    <phoneticPr fontId="1" type="noConversion"/>
  </si>
  <si>
    <t>巧拌木耳</t>
    <phoneticPr fontId="1" type="noConversion"/>
  </si>
  <si>
    <t>酸辣瓜条</t>
    <phoneticPr fontId="1" type="noConversion"/>
  </si>
  <si>
    <t>香椿苗豆腐丝</t>
    <phoneticPr fontId="1" type="noConversion"/>
  </si>
  <si>
    <t>三色杏仁</t>
    <phoneticPr fontId="1" type="noConversion"/>
  </si>
  <si>
    <t>卤味香干</t>
    <phoneticPr fontId="1" type="noConversion"/>
  </si>
  <si>
    <t>香椿苗</t>
    <phoneticPr fontId="1" type="noConversion"/>
  </si>
  <si>
    <t>糯米藕</t>
    <phoneticPr fontId="1" type="noConversion"/>
  </si>
  <si>
    <t>巧拌苦菊</t>
    <phoneticPr fontId="1" type="noConversion"/>
  </si>
  <si>
    <t>拌拉皮</t>
    <phoneticPr fontId="1" type="noConversion"/>
  </si>
  <si>
    <t>麻辣凤尾</t>
    <phoneticPr fontId="1" type="noConversion"/>
  </si>
  <si>
    <t>莲藕</t>
    <phoneticPr fontId="1" type="noConversion"/>
  </si>
  <si>
    <t>苦菊</t>
    <phoneticPr fontId="1" type="noConversion"/>
  </si>
  <si>
    <t>拉皮</t>
    <phoneticPr fontId="1" type="noConversion"/>
  </si>
  <si>
    <t>油麦菜</t>
    <phoneticPr fontId="1" type="noConversion"/>
  </si>
  <si>
    <t>红黄彩椒</t>
    <phoneticPr fontId="1" type="noConversion"/>
  </si>
  <si>
    <t>小菜</t>
    <phoneticPr fontId="17" type="noConversion"/>
  </si>
  <si>
    <t>酸辣海白菜</t>
    <phoneticPr fontId="22" type="noConversion"/>
  </si>
  <si>
    <t>西芹百合</t>
    <phoneticPr fontId="22" type="noConversion"/>
  </si>
  <si>
    <t>新疆大拌菜</t>
    <phoneticPr fontId="22" type="noConversion"/>
  </si>
  <si>
    <t>香辣魔芋丝</t>
    <phoneticPr fontId="22" type="noConversion"/>
  </si>
  <si>
    <t>海白菜</t>
    <phoneticPr fontId="22" type="noConversion"/>
  </si>
  <si>
    <t>西芹</t>
    <phoneticPr fontId="22" type="noConversion"/>
  </si>
  <si>
    <t>西红柿</t>
    <phoneticPr fontId="22" type="noConversion"/>
  </si>
  <si>
    <t>百合</t>
    <phoneticPr fontId="22" type="noConversion"/>
  </si>
  <si>
    <t>黄瓜</t>
    <phoneticPr fontId="22" type="noConversion"/>
  </si>
  <si>
    <t>尖椒</t>
    <phoneticPr fontId="22" type="noConversion"/>
  </si>
  <si>
    <t>麻油笋丝</t>
    <phoneticPr fontId="22" type="noConversion"/>
  </si>
  <si>
    <t>芹菜花生</t>
    <phoneticPr fontId="22" type="noConversion"/>
  </si>
  <si>
    <t>泡椒三洋</t>
    <phoneticPr fontId="22" type="noConversion"/>
  </si>
  <si>
    <t>皮蛋豆腐</t>
    <phoneticPr fontId="22" type="noConversion"/>
  </si>
  <si>
    <t>青笋</t>
    <phoneticPr fontId="22" type="noConversion"/>
  </si>
  <si>
    <t>芹菜</t>
    <phoneticPr fontId="22" type="noConversion"/>
  </si>
  <si>
    <t>盒豆腐</t>
    <phoneticPr fontId="22" type="noConversion"/>
  </si>
  <si>
    <t>蔬菜沙拉</t>
    <phoneticPr fontId="1" type="noConversion"/>
  </si>
  <si>
    <t>椒油黑豆苗</t>
    <phoneticPr fontId="1" type="noConversion"/>
  </si>
  <si>
    <t>酱香罗汉笋</t>
    <phoneticPr fontId="1" type="noConversion"/>
  </si>
  <si>
    <t>炝拌石花菜</t>
    <phoneticPr fontId="1" type="noConversion"/>
  </si>
  <si>
    <t>花色小萝卜</t>
    <phoneticPr fontId="1" type="noConversion"/>
  </si>
  <si>
    <t>鲜汁豆腐</t>
    <phoneticPr fontId="1" type="noConversion"/>
  </si>
  <si>
    <t>黑豆苗</t>
    <phoneticPr fontId="1" type="noConversion"/>
  </si>
  <si>
    <t>石花菜</t>
    <phoneticPr fontId="1" type="noConversion"/>
  </si>
  <si>
    <t>苦菊</t>
    <phoneticPr fontId="1" type="noConversion"/>
  </si>
  <si>
    <t>红椒</t>
    <phoneticPr fontId="1" type="noConversion"/>
  </si>
  <si>
    <t xml:space="preserve">黄豆酱 </t>
    <phoneticPr fontId="1" type="noConversion"/>
  </si>
  <si>
    <t>香菜</t>
    <phoneticPr fontId="1" type="noConversion"/>
  </si>
  <si>
    <t>黄瓜</t>
    <phoneticPr fontId="1" type="noConversion"/>
  </si>
  <si>
    <t>红黄彩椒</t>
    <phoneticPr fontId="1" type="noConversion"/>
  </si>
  <si>
    <t>卤水豆腐散装</t>
    <phoneticPr fontId="1" type="noConversion"/>
  </si>
  <si>
    <t>青苗虫草花</t>
    <phoneticPr fontId="1" type="noConversion"/>
  </si>
  <si>
    <t>老醋哲头</t>
    <phoneticPr fontId="1" type="noConversion"/>
  </si>
  <si>
    <t>鲜椒黑珍珠</t>
    <phoneticPr fontId="1" type="noConversion"/>
  </si>
  <si>
    <t>粉丝菠菜</t>
    <phoneticPr fontId="1" type="noConversion"/>
  </si>
  <si>
    <t>虫草花</t>
    <phoneticPr fontId="1" type="noConversion"/>
  </si>
  <si>
    <t>哲头</t>
    <phoneticPr fontId="1" type="noConversion"/>
  </si>
  <si>
    <t>菠菜</t>
    <phoneticPr fontId="1" type="noConversion"/>
  </si>
  <si>
    <t>香椿苗</t>
    <phoneticPr fontId="1" type="noConversion"/>
  </si>
  <si>
    <t>小米辣</t>
    <phoneticPr fontId="1" type="noConversion"/>
  </si>
  <si>
    <t>龙口粉丝1*30包</t>
    <phoneticPr fontId="17" type="noConversion"/>
  </si>
  <si>
    <t>麻酱凤尾</t>
    <phoneticPr fontId="1" type="noConversion"/>
  </si>
  <si>
    <t>长茄子</t>
    <phoneticPr fontId="1" type="noConversion"/>
  </si>
  <si>
    <t>油麦菜</t>
    <phoneticPr fontId="1" type="noConversion"/>
  </si>
  <si>
    <t>酸奶青瓜</t>
    <phoneticPr fontId="1" type="noConversion"/>
  </si>
  <si>
    <t>姜汁松花蛋</t>
    <phoneticPr fontId="1" type="noConversion"/>
  </si>
  <si>
    <t>回味茄子</t>
    <phoneticPr fontId="1" type="noConversion"/>
  </si>
  <si>
    <t>麻辣素腰花</t>
    <phoneticPr fontId="1" type="noConversion"/>
  </si>
  <si>
    <t>炝拌土豆丝</t>
    <phoneticPr fontId="1" type="noConversion"/>
  </si>
  <si>
    <t>松花蛋</t>
    <phoneticPr fontId="1" type="noConversion"/>
  </si>
  <si>
    <t>素腰花</t>
    <phoneticPr fontId="1" type="noConversion"/>
  </si>
  <si>
    <t>油条</t>
  </si>
  <si>
    <t>烧饼</t>
  </si>
  <si>
    <t>南瓜饼</t>
  </si>
  <si>
    <t>糖三角</t>
  </si>
  <si>
    <t>烫面蒸饺</t>
  </si>
  <si>
    <t>蒸红薯</t>
  </si>
  <si>
    <t>桃酥</t>
  </si>
  <si>
    <t>枣糕</t>
  </si>
  <si>
    <t>南瓜粥</t>
  </si>
  <si>
    <t>紫米粥</t>
  </si>
  <si>
    <t>豆浆</t>
  </si>
  <si>
    <t>豆腐脑</t>
  </si>
  <si>
    <t>面片汤</t>
  </si>
  <si>
    <t>馄饨</t>
  </si>
  <si>
    <t>小笼包</t>
  </si>
  <si>
    <t>油</t>
  </si>
  <si>
    <t>红糖</t>
  </si>
  <si>
    <t>油饼</t>
  </si>
  <si>
    <t>麻酱烧饼</t>
  </si>
  <si>
    <t>馿打滚</t>
  </si>
  <si>
    <t>黄豆面</t>
  </si>
  <si>
    <t>麻团</t>
  </si>
  <si>
    <t>芝麻</t>
  </si>
  <si>
    <t>肉笼</t>
  </si>
  <si>
    <t>蒸玉米</t>
  </si>
  <si>
    <t>锅贴</t>
  </si>
  <si>
    <t>萨琪玛</t>
  </si>
  <si>
    <t>糖2.5</t>
  </si>
  <si>
    <t>鸡蛋2.5</t>
  </si>
  <si>
    <t>油0.6</t>
  </si>
  <si>
    <t>果脯料1.5</t>
  </si>
  <si>
    <t>芝麻0.5</t>
  </si>
  <si>
    <t>绿豆酥皮</t>
  </si>
  <si>
    <t>红薯粥</t>
  </si>
  <si>
    <t>红豆粥</t>
  </si>
  <si>
    <t>面条汤</t>
  </si>
  <si>
    <r>
      <t>豆沙</t>
    </r>
    <r>
      <rPr>
        <sz val="10"/>
        <color indexed="8"/>
        <rFont val="Comic Sans MS"/>
        <family val="4"/>
      </rPr>
      <t>1*20*500g</t>
    </r>
    <phoneticPr fontId="17" type="noConversion"/>
  </si>
  <si>
    <t>绵白糖(雪景)1*100斤</t>
    <phoneticPr fontId="17" type="noConversion"/>
  </si>
  <si>
    <t>去皮前尖</t>
    <phoneticPr fontId="22" type="noConversion"/>
  </si>
  <si>
    <t>猪油(正义)1*15kg</t>
    <phoneticPr fontId="17" type="noConversion"/>
  </si>
  <si>
    <t>豇豆焖面</t>
    <phoneticPr fontId="1" type="noConversion"/>
  </si>
  <si>
    <t>牛肉拉面</t>
    <phoneticPr fontId="1" type="noConversion"/>
  </si>
  <si>
    <t>牛棒骨</t>
    <phoneticPr fontId="1" type="noConversion"/>
  </si>
  <si>
    <t>青蒜</t>
    <phoneticPr fontId="1" type="noConversion"/>
  </si>
  <si>
    <t>酸辣粉</t>
    <phoneticPr fontId="1" type="noConversion"/>
  </si>
  <si>
    <t>酸豆角</t>
    <phoneticPr fontId="1" type="noConversion"/>
  </si>
  <si>
    <t>油菜</t>
    <phoneticPr fontId="1" type="noConversion"/>
  </si>
  <si>
    <t>炒牛河</t>
    <phoneticPr fontId="1" type="noConversion"/>
  </si>
  <si>
    <t>牛河</t>
    <phoneticPr fontId="1" type="noConversion"/>
  </si>
  <si>
    <t>胡萝卜</t>
    <phoneticPr fontId="1" type="noConversion"/>
  </si>
  <si>
    <t>洋葱</t>
    <phoneticPr fontId="1" type="noConversion"/>
  </si>
  <si>
    <t>黄豆</t>
    <phoneticPr fontId="1" type="noConversion"/>
  </si>
  <si>
    <t>面粉</t>
    <phoneticPr fontId="1" type="noConversion"/>
  </si>
  <si>
    <t>西红柿</t>
    <phoneticPr fontId="1" type="noConversion"/>
  </si>
  <si>
    <t>新疆炒面片</t>
    <phoneticPr fontId="1" type="noConversion"/>
  </si>
  <si>
    <t>四号肉</t>
    <phoneticPr fontId="1" type="noConversion"/>
  </si>
  <si>
    <t>尖椒</t>
    <phoneticPr fontId="1" type="noConversion"/>
  </si>
  <si>
    <t>红椒</t>
    <phoneticPr fontId="1" type="noConversion"/>
  </si>
  <si>
    <t>西葫芦</t>
    <phoneticPr fontId="1" type="noConversion"/>
  </si>
  <si>
    <t>水饺</t>
    <phoneticPr fontId="1" type="noConversion"/>
  </si>
  <si>
    <t>芹菜</t>
    <phoneticPr fontId="1" type="noConversion"/>
  </si>
  <si>
    <t>鸡架</t>
    <phoneticPr fontId="1" type="noConversion"/>
  </si>
  <si>
    <t>担担面</t>
    <phoneticPr fontId="1" type="noConversion"/>
  </si>
  <si>
    <t>牛腩河粉</t>
    <phoneticPr fontId="1" type="noConversion"/>
  </si>
  <si>
    <t>牛肉罩饼</t>
    <phoneticPr fontId="1" type="noConversion"/>
  </si>
  <si>
    <t>炒米线</t>
    <phoneticPr fontId="1" type="noConversion"/>
  </si>
  <si>
    <t>卤蛋米线</t>
    <phoneticPr fontId="1" type="noConversion"/>
  </si>
  <si>
    <t>肉炒面</t>
    <phoneticPr fontId="1" type="noConversion"/>
  </si>
  <si>
    <t>新疆大盘鸡</t>
    <phoneticPr fontId="1" type="noConversion"/>
  </si>
  <si>
    <t>青椒</t>
    <phoneticPr fontId="1" type="noConversion"/>
  </si>
  <si>
    <t>羊肉泡馍</t>
    <phoneticPr fontId="1" type="noConversion"/>
  </si>
  <si>
    <t>羊棒骨、糖蒜1.5</t>
    <phoneticPr fontId="1" type="noConversion"/>
  </si>
  <si>
    <t>羊头肉、粉条5</t>
    <phoneticPr fontId="1" type="noConversion"/>
  </si>
  <si>
    <t>羊肚、油菜3</t>
    <phoneticPr fontId="1" type="noConversion"/>
  </si>
  <si>
    <t>草鱼</t>
    <phoneticPr fontId="1" type="noConversion"/>
  </si>
  <si>
    <t>韩式烤肉饭</t>
    <phoneticPr fontId="1" type="noConversion"/>
  </si>
  <si>
    <t>鸡腿肉</t>
    <phoneticPr fontId="1" type="noConversion"/>
  </si>
  <si>
    <t>梅肉粉</t>
    <phoneticPr fontId="1" type="noConversion"/>
  </si>
  <si>
    <t>干炒牛河</t>
    <phoneticPr fontId="1" type="noConversion"/>
  </si>
  <si>
    <t>紫菜鸡蛋汤</t>
    <phoneticPr fontId="1" type="noConversion"/>
  </si>
  <si>
    <t>玉米面粥</t>
    <phoneticPr fontId="1" type="noConversion"/>
  </si>
  <si>
    <t>玉米面</t>
    <phoneticPr fontId="1" type="noConversion"/>
  </si>
  <si>
    <r>
      <t>双鱼野生紫菜</t>
    </r>
    <r>
      <rPr>
        <sz val="10"/>
        <color indexed="8"/>
        <rFont val="Comic Sans MS"/>
        <family val="4"/>
      </rPr>
      <t>1*160*50g</t>
    </r>
    <phoneticPr fontId="17" type="noConversion"/>
  </si>
  <si>
    <t>米饭</t>
    <phoneticPr fontId="1" type="noConversion"/>
  </si>
  <si>
    <t>馒头</t>
    <phoneticPr fontId="1" type="noConversion"/>
  </si>
  <si>
    <t>花卷</t>
    <phoneticPr fontId="1" type="noConversion"/>
  </si>
  <si>
    <t>红豆饭</t>
    <phoneticPr fontId="1" type="noConversion"/>
  </si>
  <si>
    <t>手抓饼</t>
    <phoneticPr fontId="1" type="noConversion"/>
  </si>
  <si>
    <t>紫米发糕</t>
    <phoneticPr fontId="1" type="noConversion"/>
  </si>
  <si>
    <t>千层饼</t>
    <phoneticPr fontId="1" type="noConversion"/>
  </si>
  <si>
    <t>酱豆腐</t>
    <phoneticPr fontId="1" type="noConversion"/>
  </si>
  <si>
    <t>咸菜丝</t>
    <phoneticPr fontId="1" type="noConversion"/>
  </si>
  <si>
    <t>芹菜胡萝卜</t>
    <phoneticPr fontId="1" type="noConversion"/>
  </si>
  <si>
    <t>爽口白菜丝</t>
    <phoneticPr fontId="1" type="noConversion"/>
  </si>
  <si>
    <t>醋烹豆芽</t>
    <phoneticPr fontId="1" type="noConversion"/>
  </si>
  <si>
    <t>尖椒土豆丝</t>
    <phoneticPr fontId="1" type="noConversion"/>
  </si>
  <si>
    <t>清炒盖菜</t>
    <phoneticPr fontId="1" type="noConversion"/>
  </si>
  <si>
    <t>木耳圆白菜</t>
    <phoneticPr fontId="1" type="noConversion"/>
  </si>
  <si>
    <t>红油笋丝</t>
    <phoneticPr fontId="1" type="noConversion"/>
  </si>
  <si>
    <t>酸辣白菜</t>
    <phoneticPr fontId="1" type="noConversion"/>
  </si>
  <si>
    <t>清炒油菜</t>
    <phoneticPr fontId="1" type="noConversion"/>
  </si>
  <si>
    <t>大米</t>
    <phoneticPr fontId="1" type="noConversion"/>
  </si>
  <si>
    <t>江米</t>
    <phoneticPr fontId="1" type="noConversion"/>
  </si>
  <si>
    <t>红薯</t>
    <phoneticPr fontId="1" type="noConversion"/>
  </si>
  <si>
    <t>南瓜</t>
    <phoneticPr fontId="1" type="noConversion"/>
  </si>
  <si>
    <t>紫米</t>
    <phoneticPr fontId="1" type="noConversion"/>
  </si>
  <si>
    <t>馄饨皮</t>
    <phoneticPr fontId="1" type="noConversion"/>
  </si>
  <si>
    <t>大葱</t>
    <phoneticPr fontId="1" type="noConversion"/>
  </si>
  <si>
    <t>荆沙土鸡</t>
    <phoneticPr fontId="1" type="noConversion"/>
  </si>
  <si>
    <t>老鸡</t>
    <phoneticPr fontId="1" type="noConversion"/>
  </si>
  <si>
    <t>湖北鱼丸</t>
    <phoneticPr fontId="1" type="noConversion"/>
  </si>
  <si>
    <t>干烹叼子鱼</t>
    <phoneticPr fontId="1" type="noConversion"/>
  </si>
  <si>
    <t>香芹黄牛肉</t>
    <phoneticPr fontId="1" type="noConversion"/>
  </si>
  <si>
    <t>香芹</t>
    <phoneticPr fontId="1" type="noConversion"/>
  </si>
  <si>
    <t>泡椒牛蛙</t>
    <phoneticPr fontId="1" type="noConversion"/>
  </si>
  <si>
    <t>钵子乳黄瓜</t>
    <phoneticPr fontId="1" type="noConversion"/>
  </si>
  <si>
    <t>家乡粉蒸肉</t>
    <phoneticPr fontId="1" type="noConversion"/>
  </si>
  <si>
    <t>滋补酱猪手</t>
    <phoneticPr fontId="1" type="noConversion"/>
  </si>
  <si>
    <t>香酥小河虾</t>
    <phoneticPr fontId="1" type="noConversion"/>
  </si>
  <si>
    <t>蓉山泡椒1*36*250g</t>
    <phoneticPr fontId="17" type="noConversion"/>
  </si>
  <si>
    <t>叼子鱼</t>
    <phoneticPr fontId="1" type="noConversion"/>
  </si>
  <si>
    <t>牛蛙</t>
    <phoneticPr fontId="1" type="noConversion"/>
  </si>
  <si>
    <t>野山椒</t>
    <phoneticPr fontId="1" type="noConversion"/>
  </si>
  <si>
    <t>蒸肉米粉(孙师博)1*50*150g</t>
    <phoneticPr fontId="17" type="noConversion"/>
  </si>
  <si>
    <t>猪肉白菜包子</t>
    <phoneticPr fontId="22" type="noConversion"/>
  </si>
  <si>
    <t>猪肉香菇包子</t>
    <phoneticPr fontId="22" type="noConversion"/>
  </si>
  <si>
    <t>煮鸡蛋</t>
    <phoneticPr fontId="22" type="noConversion"/>
  </si>
  <si>
    <t>黄花(金针菜)</t>
  </si>
  <si>
    <t>葱花饼</t>
    <phoneticPr fontId="1" type="noConversion"/>
  </si>
  <si>
    <t>玉米发糕</t>
    <phoneticPr fontId="1" type="noConversion"/>
  </si>
  <si>
    <t>豆沙包</t>
    <phoneticPr fontId="1" type="noConversion"/>
  </si>
  <si>
    <t>面粉</t>
    <phoneticPr fontId="22" type="noConversion"/>
  </si>
  <si>
    <t>青蒜</t>
    <phoneticPr fontId="22" type="noConversion"/>
  </si>
  <si>
    <t>散干米线</t>
  </si>
  <si>
    <t>牛柳</t>
    <phoneticPr fontId="1" type="noConversion"/>
  </si>
  <si>
    <t>紫米</t>
    <phoneticPr fontId="22" type="noConversion"/>
  </si>
  <si>
    <t>面粉</t>
    <phoneticPr fontId="22" type="noConversion"/>
  </si>
  <si>
    <t>自制酸奶</t>
    <phoneticPr fontId="22" type="noConversion"/>
  </si>
  <si>
    <t>伊利早餐奶</t>
    <phoneticPr fontId="22" type="noConversion"/>
  </si>
  <si>
    <t>伊利纯牛奶</t>
    <phoneticPr fontId="22" type="noConversion"/>
  </si>
  <si>
    <t>虾皮</t>
    <phoneticPr fontId="1" type="noConversion"/>
  </si>
  <si>
    <t>煎饼</t>
    <phoneticPr fontId="22" type="noConversion"/>
  </si>
  <si>
    <t>腐乳</t>
    <phoneticPr fontId="1" type="noConversion"/>
  </si>
  <si>
    <t>咸菜头</t>
    <phoneticPr fontId="1" type="noConversion"/>
  </si>
  <si>
    <t>香菜</t>
    <phoneticPr fontId="1" type="noConversion"/>
  </si>
  <si>
    <t>芹菜</t>
    <phoneticPr fontId="1" type="noConversion"/>
  </si>
  <si>
    <t>胡萝卜</t>
    <phoneticPr fontId="1" type="noConversion"/>
  </si>
  <si>
    <t>大白菜</t>
    <phoneticPr fontId="1" type="noConversion"/>
  </si>
  <si>
    <t>绿豆芽</t>
    <phoneticPr fontId="1" type="noConversion"/>
  </si>
  <si>
    <t>尖椒</t>
    <phoneticPr fontId="1" type="noConversion"/>
  </si>
  <si>
    <t>盖菜</t>
    <phoneticPr fontId="1" type="noConversion"/>
  </si>
  <si>
    <t>大土豆</t>
    <phoneticPr fontId="1" type="noConversion"/>
  </si>
  <si>
    <t>豆腐丝散装</t>
    <phoneticPr fontId="1" type="noConversion"/>
  </si>
  <si>
    <t>心里美</t>
    <phoneticPr fontId="1" type="noConversion"/>
  </si>
  <si>
    <t>心里美</t>
    <phoneticPr fontId="1" type="noConversion"/>
  </si>
  <si>
    <t>圆白菜</t>
    <phoneticPr fontId="1" type="noConversion"/>
  </si>
  <si>
    <t>青笋</t>
    <phoneticPr fontId="1" type="noConversion"/>
  </si>
  <si>
    <t>酸豆角</t>
    <phoneticPr fontId="1" type="noConversion"/>
  </si>
  <si>
    <t>油菜</t>
    <phoneticPr fontId="1" type="noConversion"/>
  </si>
  <si>
    <t>豆腐丝</t>
    <phoneticPr fontId="1" type="noConversion"/>
  </si>
  <si>
    <t>炒酸豇豆</t>
    <phoneticPr fontId="1" type="noConversion"/>
  </si>
  <si>
    <t>宫保鸡丁</t>
    <phoneticPr fontId="22" type="noConversion"/>
  </si>
  <si>
    <t>西红柿鸡蛋汤</t>
  </si>
  <si>
    <t>香菇、鸡蛋</t>
    <phoneticPr fontId="1" type="noConversion"/>
  </si>
  <si>
    <t>木耳(斤)</t>
  </si>
  <si>
    <t>爽口木耳</t>
  </si>
  <si>
    <t>蒜泥茄子</t>
  </si>
  <si>
    <t>五香豆腐丝</t>
  </si>
  <si>
    <t>三色花生米</t>
  </si>
  <si>
    <t>拍黄瓜</t>
  </si>
  <si>
    <t>川北凉粉</t>
  </si>
  <si>
    <t>大饼</t>
    <phoneticPr fontId="1" type="noConversion"/>
  </si>
  <si>
    <t>老干妈茄子</t>
    <phoneticPr fontId="1" type="noConversion"/>
  </si>
  <si>
    <t>肉沫香芹粉条</t>
    <phoneticPr fontId="22" type="noConversion"/>
  </si>
  <si>
    <t>糖火烧</t>
    <phoneticPr fontId="22" type="noConversion"/>
  </si>
  <si>
    <t>面粉</t>
    <phoneticPr fontId="22" type="noConversion"/>
  </si>
  <si>
    <t>红糖</t>
    <phoneticPr fontId="22" type="noConversion"/>
  </si>
  <si>
    <t>芝麻酱(口福)1*3250g</t>
    <phoneticPr fontId="22" type="noConversion"/>
  </si>
  <si>
    <t>小米粥</t>
  </si>
  <si>
    <t>AKA大豆油</t>
    <phoneticPr fontId="1" type="noConversion"/>
  </si>
  <si>
    <t>茄子鸡蛋素包子</t>
    <phoneticPr fontId="22" type="noConversion"/>
  </si>
  <si>
    <t>鸡蛋小白菜素包子</t>
    <phoneticPr fontId="22" type="noConversion"/>
  </si>
  <si>
    <t>玉米面</t>
    <phoneticPr fontId="1" type="noConversion"/>
  </si>
  <si>
    <t>大葱</t>
    <phoneticPr fontId="22" type="noConversion"/>
  </si>
  <si>
    <t>羊肉片</t>
    <phoneticPr fontId="1" type="noConversion"/>
  </si>
  <si>
    <t>肥牛片</t>
    <phoneticPr fontId="1" type="noConversion"/>
  </si>
  <si>
    <t>水煮肥牛</t>
    <phoneticPr fontId="17" type="noConversion"/>
  </si>
  <si>
    <t>木耳大白菜</t>
    <phoneticPr fontId="1" type="noConversion"/>
  </si>
  <si>
    <t>大白菜</t>
    <phoneticPr fontId="1" type="noConversion"/>
  </si>
  <si>
    <t>炝炒绿豆芽</t>
    <phoneticPr fontId="1" type="noConversion"/>
  </si>
  <si>
    <t>拌芹菜</t>
    <phoneticPr fontId="1" type="noConversion"/>
  </si>
  <si>
    <t>芹菜</t>
    <phoneticPr fontId="1" type="noConversion"/>
  </si>
  <si>
    <t>豆腐小白菜素包子</t>
    <phoneticPr fontId="22" type="noConversion"/>
  </si>
  <si>
    <t>鸭珍</t>
    <phoneticPr fontId="22" type="noConversion"/>
  </si>
  <si>
    <t>鸡块米线</t>
    <phoneticPr fontId="22" type="noConversion"/>
  </si>
  <si>
    <t>鸡边腿</t>
    <phoneticPr fontId="30" type="noConversion"/>
  </si>
  <si>
    <t>鲜米线</t>
    <phoneticPr fontId="30" type="noConversion"/>
  </si>
  <si>
    <t>油菜</t>
    <phoneticPr fontId="30" type="noConversion"/>
  </si>
  <si>
    <t>芽菜</t>
    <phoneticPr fontId="30" type="noConversion"/>
  </si>
  <si>
    <t>豇豆焖面</t>
    <phoneticPr fontId="22" type="noConversion"/>
  </si>
  <si>
    <t>豇豆</t>
    <phoneticPr fontId="30" type="noConversion"/>
  </si>
  <si>
    <t>台式卤肉套餐</t>
    <phoneticPr fontId="22" type="noConversion"/>
  </si>
  <si>
    <t>一级五花</t>
    <phoneticPr fontId="30" type="noConversion"/>
  </si>
  <si>
    <t>土豆</t>
    <phoneticPr fontId="30" type="noConversion"/>
  </si>
  <si>
    <t>鸡蛋</t>
    <phoneticPr fontId="30" type="noConversion"/>
  </si>
  <si>
    <t>鸡蛋</t>
    <phoneticPr fontId="30" type="noConversion"/>
  </si>
  <si>
    <t>圣女果、香干、胡萝卜、西兰花各</t>
    <phoneticPr fontId="30" type="noConversion"/>
  </si>
  <si>
    <t>西红柿鸡蛋刀削面</t>
    <phoneticPr fontId="30" type="noConversion"/>
  </si>
  <si>
    <t>肉丁茄子面</t>
    <phoneticPr fontId="30" type="noConversion"/>
  </si>
  <si>
    <t>圆茄子</t>
    <phoneticPr fontId="30" type="noConversion"/>
  </si>
  <si>
    <t>五花肉</t>
    <phoneticPr fontId="30" type="noConversion"/>
  </si>
  <si>
    <t>尖椒</t>
    <phoneticPr fontId="30" type="noConversion"/>
  </si>
  <si>
    <t>面粉</t>
    <phoneticPr fontId="30" type="noConversion"/>
  </si>
  <si>
    <t>龙炒手</t>
    <phoneticPr fontId="30" type="noConversion"/>
  </si>
  <si>
    <t>前尖</t>
    <phoneticPr fontId="30" type="noConversion"/>
  </si>
  <si>
    <t>茴香</t>
    <phoneticPr fontId="30" type="noConversion"/>
  </si>
  <si>
    <t>饺子皮</t>
    <phoneticPr fontId="30" type="noConversion"/>
  </si>
  <si>
    <t>鸡蛋、海带丝1、豆皮1</t>
    <phoneticPr fontId="30" type="noConversion"/>
  </si>
  <si>
    <t>新疆拉条子</t>
    <phoneticPr fontId="30" type="noConversion"/>
  </si>
  <si>
    <t>后尖</t>
    <phoneticPr fontId="30" type="noConversion"/>
  </si>
  <si>
    <t>青椒</t>
    <phoneticPr fontId="30" type="noConversion"/>
  </si>
  <si>
    <t>红椒</t>
    <phoneticPr fontId="30" type="noConversion"/>
  </si>
  <si>
    <t>大白菜</t>
    <phoneticPr fontId="30" type="noConversion"/>
  </si>
  <si>
    <t>芹菜3、西红柿4、洋葱3、面粉</t>
    <phoneticPr fontId="30" type="noConversion"/>
  </si>
  <si>
    <t>青椒茄子面</t>
    <phoneticPr fontId="30" type="noConversion"/>
  </si>
  <si>
    <t>韩式烤鸡腿套餐</t>
    <phoneticPr fontId="30" type="noConversion"/>
  </si>
  <si>
    <t>西兰花、圣女果1</t>
    <phoneticPr fontId="30" type="noConversion"/>
  </si>
  <si>
    <t>鸡蛋炒饼</t>
    <phoneticPr fontId="30" type="noConversion"/>
  </si>
  <si>
    <t>圆白菜</t>
    <phoneticPr fontId="30" type="noConversion"/>
  </si>
  <si>
    <t xml:space="preserve">面粉 </t>
    <phoneticPr fontId="30" type="noConversion"/>
  </si>
  <si>
    <t>红烧肉刀削面</t>
    <phoneticPr fontId="30" type="noConversion"/>
  </si>
  <si>
    <t>鲜蘑</t>
    <phoneticPr fontId="30" type="noConversion"/>
  </si>
  <si>
    <t>香菇</t>
    <phoneticPr fontId="30" type="noConversion"/>
  </si>
  <si>
    <t>尖椒鸡蛋刀削面</t>
    <phoneticPr fontId="30" type="noConversion"/>
  </si>
  <si>
    <t>牛肉炒米饭</t>
    <phoneticPr fontId="30" type="noConversion"/>
  </si>
  <si>
    <t>鲜米粉</t>
    <phoneticPr fontId="30" type="noConversion"/>
  </si>
  <si>
    <t>鲜米粉</t>
    <phoneticPr fontId="30" type="noConversion"/>
  </si>
  <si>
    <t>牛后</t>
    <phoneticPr fontId="30" type="noConversion"/>
  </si>
  <si>
    <t>香芹</t>
    <phoneticPr fontId="30" type="noConversion"/>
  </si>
  <si>
    <t>青蒜1、面粉</t>
    <phoneticPr fontId="30" type="noConversion"/>
  </si>
  <si>
    <t>青蒜1、胡萝卜</t>
    <phoneticPr fontId="30" type="noConversion"/>
  </si>
  <si>
    <t>羊肉烩面</t>
    <phoneticPr fontId="30" type="noConversion"/>
  </si>
  <si>
    <t>山羊肉</t>
    <phoneticPr fontId="30" type="noConversion"/>
  </si>
  <si>
    <t>羊棒骨</t>
    <phoneticPr fontId="30" type="noConversion"/>
  </si>
  <si>
    <t>海带丝</t>
    <phoneticPr fontId="30" type="noConversion"/>
  </si>
  <si>
    <r>
      <t>豆皮1、面粉</t>
    </r>
    <r>
      <rPr>
        <sz val="12"/>
        <rFont val="宋体"/>
        <family val="3"/>
        <charset val="134"/>
      </rPr>
      <t>10、油菜</t>
    </r>
    <phoneticPr fontId="30" type="noConversion"/>
  </si>
  <si>
    <t>木耳鸡蛋刀削面</t>
    <phoneticPr fontId="30" type="noConversion"/>
  </si>
  <si>
    <t>木耳</t>
    <phoneticPr fontId="30" type="noConversion"/>
  </si>
  <si>
    <t>蒙古一品羊杂汤</t>
    <phoneticPr fontId="30" type="noConversion"/>
  </si>
  <si>
    <t>羊杂</t>
    <phoneticPr fontId="30" type="noConversion"/>
  </si>
  <si>
    <t>羊头肉</t>
    <phoneticPr fontId="30" type="noConversion"/>
  </si>
  <si>
    <t>羊肚</t>
    <phoneticPr fontId="30" type="noConversion"/>
  </si>
  <si>
    <r>
      <t>土豆1</t>
    </r>
    <r>
      <rPr>
        <sz val="12"/>
        <rFont val="宋体"/>
        <family val="3"/>
        <charset val="134"/>
      </rPr>
      <t>0、香菜</t>
    </r>
    <phoneticPr fontId="30" type="noConversion"/>
  </si>
  <si>
    <t>炒河粉</t>
    <phoneticPr fontId="30" type="noConversion"/>
  </si>
  <si>
    <t>河粉</t>
    <phoneticPr fontId="30" type="noConversion"/>
  </si>
  <si>
    <t>四号肉</t>
    <phoneticPr fontId="30" type="noConversion"/>
  </si>
  <si>
    <t>洋葱</t>
    <phoneticPr fontId="30" type="noConversion"/>
  </si>
  <si>
    <t>胡萝卜2、青蒜</t>
    <phoneticPr fontId="30" type="noConversion"/>
  </si>
  <si>
    <t>木耳鸡蛋烩面</t>
    <phoneticPr fontId="30" type="noConversion"/>
  </si>
  <si>
    <t>一品牛腩饭</t>
    <phoneticPr fontId="30" type="noConversion"/>
  </si>
  <si>
    <t>牛腩</t>
    <phoneticPr fontId="30" type="noConversion"/>
  </si>
  <si>
    <t>胡萝卜</t>
    <phoneticPr fontId="30" type="noConversion"/>
  </si>
  <si>
    <r>
      <t>鸡蛋2、圆白菜</t>
    </r>
    <r>
      <rPr>
        <sz val="12"/>
        <rFont val="宋体"/>
        <family val="3"/>
        <charset val="134"/>
      </rPr>
      <t>3、西兰花2、圣女果</t>
    </r>
    <phoneticPr fontId="30" type="noConversion"/>
  </si>
  <si>
    <t>酸菜肉丝面</t>
    <phoneticPr fontId="30" type="noConversion"/>
  </si>
  <si>
    <t>鱼酸菜</t>
    <phoneticPr fontId="30" type="noConversion"/>
  </si>
  <si>
    <r>
      <t>小米辣1、面粉</t>
    </r>
    <r>
      <rPr>
        <sz val="12"/>
        <rFont val="宋体"/>
        <family val="3"/>
        <charset val="134"/>
      </rPr>
      <t>8</t>
    </r>
    <phoneticPr fontId="30" type="noConversion"/>
  </si>
  <si>
    <t>木须打卤面</t>
    <phoneticPr fontId="30" type="noConversion"/>
  </si>
  <si>
    <t>黄花</t>
    <phoneticPr fontId="30" type="noConversion"/>
  </si>
  <si>
    <t>地耳</t>
    <phoneticPr fontId="30" type="noConversion"/>
  </si>
  <si>
    <t>饼丝</t>
    <phoneticPr fontId="30" type="noConversion"/>
  </si>
  <si>
    <t>04.10午</t>
    <phoneticPr fontId="30" type="noConversion"/>
  </si>
  <si>
    <t>土豆鸡块拌面</t>
    <phoneticPr fontId="30" type="noConversion"/>
  </si>
  <si>
    <r>
      <t>青椒1、红椒</t>
    </r>
    <r>
      <rPr>
        <sz val="12"/>
        <rFont val="宋体"/>
        <family val="3"/>
        <charset val="134"/>
      </rPr>
      <t>1面粉</t>
    </r>
    <phoneticPr fontId="30" type="noConversion"/>
  </si>
  <si>
    <t>陕西燥子面</t>
    <phoneticPr fontId="30" type="noConversion"/>
  </si>
  <si>
    <t>香干</t>
    <phoneticPr fontId="30" type="noConversion"/>
  </si>
  <si>
    <t>蒜苔</t>
    <phoneticPr fontId="30" type="noConversion"/>
  </si>
  <si>
    <r>
      <t>油菜3、土豆</t>
    </r>
    <r>
      <rPr>
        <sz val="12"/>
        <rFont val="宋体"/>
        <family val="3"/>
        <charset val="134"/>
      </rPr>
      <t>3面粉</t>
    </r>
    <phoneticPr fontId="30" type="noConversion"/>
  </si>
  <si>
    <t>香辣牛腩粉</t>
    <phoneticPr fontId="30" type="noConversion"/>
  </si>
  <si>
    <t>老干妈炒饭</t>
    <phoneticPr fontId="30" type="noConversion"/>
  </si>
  <si>
    <t>老干妈</t>
    <phoneticPr fontId="30" type="noConversion"/>
  </si>
  <si>
    <t>米饭1屉</t>
    <phoneticPr fontId="30" type="noConversion"/>
  </si>
  <si>
    <t>五香熏鱼饭套餐</t>
    <phoneticPr fontId="30" type="noConversion"/>
  </si>
  <si>
    <t>草鱼</t>
    <phoneticPr fontId="30" type="noConversion"/>
  </si>
  <si>
    <t>长茄子</t>
    <phoneticPr fontId="30" type="noConversion"/>
  </si>
  <si>
    <r>
      <t>豆腐丝2、圣女果</t>
    </r>
    <r>
      <rPr>
        <sz val="12"/>
        <rFont val="宋体"/>
        <family val="3"/>
        <charset val="134"/>
      </rPr>
      <t>1、西兰花</t>
    </r>
    <phoneticPr fontId="30" type="noConversion"/>
  </si>
  <si>
    <t>04.10晚</t>
    <phoneticPr fontId="30" type="noConversion"/>
  </si>
  <si>
    <t>豇豆2、面粉</t>
    <phoneticPr fontId="30" type="noConversion"/>
  </si>
  <si>
    <t>肉三丁刀削面</t>
    <phoneticPr fontId="30" type="noConversion"/>
  </si>
  <si>
    <t>西红柿茄丁面</t>
    <phoneticPr fontId="30" type="noConversion"/>
  </si>
  <si>
    <t>西红柿</t>
    <phoneticPr fontId="30" type="noConversion"/>
  </si>
  <si>
    <t>意式螺纹粉</t>
    <phoneticPr fontId="30" type="noConversion"/>
  </si>
  <si>
    <t>螺纹粉</t>
    <phoneticPr fontId="30" type="noConversion"/>
  </si>
  <si>
    <t>04.11午</t>
    <phoneticPr fontId="30" type="noConversion"/>
  </si>
  <si>
    <t>红烧牛肉面</t>
    <phoneticPr fontId="30" type="noConversion"/>
  </si>
  <si>
    <r>
      <t>油菜3、香菜</t>
    </r>
    <r>
      <rPr>
        <sz val="12"/>
        <rFont val="宋体"/>
        <family val="3"/>
        <charset val="134"/>
      </rPr>
      <t>1、面粉</t>
    </r>
    <phoneticPr fontId="30" type="noConversion"/>
  </si>
  <si>
    <t>牛肉河粉</t>
    <phoneticPr fontId="30" type="noConversion"/>
  </si>
  <si>
    <t>蛋炒饭</t>
    <phoneticPr fontId="30" type="noConversion"/>
  </si>
  <si>
    <t>黄瓜</t>
    <phoneticPr fontId="30" type="noConversion"/>
  </si>
  <si>
    <t>叉烧排骨套餐</t>
    <phoneticPr fontId="30" type="noConversion"/>
  </si>
  <si>
    <t>排骨</t>
    <phoneticPr fontId="30" type="noConversion"/>
  </si>
  <si>
    <t>腐竹</t>
    <phoneticPr fontId="30" type="noConversion"/>
  </si>
  <si>
    <t>04.11晚</t>
    <phoneticPr fontId="30" type="noConversion"/>
  </si>
  <si>
    <t>三鲜肉丝面</t>
    <phoneticPr fontId="30" type="noConversion"/>
  </si>
  <si>
    <t>油菜3、面粉</t>
    <phoneticPr fontId="30" type="noConversion"/>
  </si>
  <si>
    <t>双色丸子粉</t>
    <phoneticPr fontId="30" type="noConversion"/>
  </si>
  <si>
    <t>牛肉丸</t>
    <phoneticPr fontId="30" type="noConversion"/>
  </si>
  <si>
    <t>鸡丸</t>
    <phoneticPr fontId="30" type="noConversion"/>
  </si>
  <si>
    <t>火腿</t>
    <phoneticPr fontId="30" type="noConversion"/>
  </si>
  <si>
    <t>油菜2、粉条</t>
    <phoneticPr fontId="30" type="noConversion"/>
  </si>
  <si>
    <t>04.12午</t>
    <phoneticPr fontId="30" type="noConversion"/>
  </si>
  <si>
    <t>老北京打卤面</t>
    <phoneticPr fontId="30" type="noConversion"/>
  </si>
  <si>
    <t>鸡蛋3、面粉</t>
    <phoneticPr fontId="30" type="noConversion"/>
  </si>
  <si>
    <t>西红柿鸡蛋面</t>
    <phoneticPr fontId="30" type="noConversion"/>
  </si>
  <si>
    <t>土豆粉</t>
    <phoneticPr fontId="30" type="noConversion"/>
  </si>
  <si>
    <t>黄豆芽</t>
    <phoneticPr fontId="30" type="noConversion"/>
  </si>
  <si>
    <t>豆皮1、油菜</t>
    <phoneticPr fontId="30" type="noConversion"/>
  </si>
  <si>
    <t>豇豆焖面</t>
    <phoneticPr fontId="30" type="noConversion"/>
  </si>
  <si>
    <t>三鲜炒饭</t>
    <phoneticPr fontId="30" type="noConversion"/>
  </si>
  <si>
    <t>04.12晚</t>
    <phoneticPr fontId="30" type="noConversion"/>
  </si>
  <si>
    <t>04.13午</t>
    <phoneticPr fontId="30" type="noConversion"/>
  </si>
  <si>
    <t>牛肉拉面</t>
    <phoneticPr fontId="30" type="noConversion"/>
  </si>
  <si>
    <t>牛棒骨</t>
    <phoneticPr fontId="30" type="noConversion"/>
  </si>
  <si>
    <t>香菜</t>
    <phoneticPr fontId="30" type="noConversion"/>
  </si>
  <si>
    <t>蒜台1.白萝卜1.面20斤</t>
    <phoneticPr fontId="30" type="noConversion"/>
  </si>
  <si>
    <t>04.13晚</t>
    <phoneticPr fontId="30" type="noConversion"/>
  </si>
  <si>
    <t>茄子肉丁面</t>
    <phoneticPr fontId="30" type="noConversion"/>
  </si>
  <si>
    <t>面</t>
    <phoneticPr fontId="30" type="noConversion"/>
  </si>
  <si>
    <t>鲜花五花肉片面</t>
    <phoneticPr fontId="30" type="noConversion"/>
  </si>
  <si>
    <t>鲜花</t>
    <phoneticPr fontId="30" type="noConversion"/>
  </si>
  <si>
    <t>素炒饼</t>
    <phoneticPr fontId="30" type="noConversion"/>
  </si>
  <si>
    <t>咸菜丝</t>
    <phoneticPr fontId="22" type="noConversion"/>
  </si>
  <si>
    <t>04.07早</t>
    <phoneticPr fontId="30" type="noConversion"/>
  </si>
  <si>
    <t>咸菜丝</t>
    <phoneticPr fontId="30" type="noConversion"/>
  </si>
  <si>
    <t>豆腐乳</t>
    <phoneticPr fontId="30" type="noConversion"/>
  </si>
  <si>
    <t>炝拌白菜丝</t>
    <phoneticPr fontId="30" type="noConversion"/>
  </si>
  <si>
    <t>白菜</t>
    <phoneticPr fontId="30" type="noConversion"/>
  </si>
  <si>
    <t>香菜</t>
    <phoneticPr fontId="30" type="noConversion"/>
  </si>
  <si>
    <t>红椒</t>
    <phoneticPr fontId="30" type="noConversion"/>
  </si>
  <si>
    <t>拍黄瓜</t>
    <phoneticPr fontId="30" type="noConversion"/>
  </si>
  <si>
    <t>三色花生米</t>
    <phoneticPr fontId="30" type="noConversion"/>
  </si>
  <si>
    <t>黄瓜</t>
    <phoneticPr fontId="30" type="noConversion"/>
  </si>
  <si>
    <t>04.07晚</t>
    <phoneticPr fontId="30" type="noConversion"/>
  </si>
  <si>
    <t>04.07午</t>
    <phoneticPr fontId="30" type="noConversion"/>
  </si>
  <si>
    <t>糖醋莲藕</t>
    <phoneticPr fontId="30" type="noConversion"/>
  </si>
  <si>
    <t>莲藕</t>
    <phoneticPr fontId="30" type="noConversion"/>
  </si>
  <si>
    <t>胡萝卜</t>
    <phoneticPr fontId="30" type="noConversion"/>
  </si>
  <si>
    <t>青椒</t>
    <phoneticPr fontId="30" type="noConversion"/>
  </si>
  <si>
    <t>养生云耳</t>
    <phoneticPr fontId="30" type="noConversion"/>
  </si>
  <si>
    <t>云耳</t>
    <phoneticPr fontId="30" type="noConversion"/>
  </si>
  <si>
    <t>洋葱</t>
    <phoneticPr fontId="30" type="noConversion"/>
  </si>
  <si>
    <t>酸辣蕨根粉</t>
    <phoneticPr fontId="30" type="noConversion"/>
  </si>
  <si>
    <t>西芹百合</t>
    <phoneticPr fontId="30" type="noConversion"/>
  </si>
  <si>
    <t>老干妈茄条</t>
    <phoneticPr fontId="30" type="noConversion"/>
  </si>
  <si>
    <t>长茄子</t>
    <phoneticPr fontId="30" type="noConversion"/>
  </si>
  <si>
    <t>老干妈</t>
    <phoneticPr fontId="30" type="noConversion"/>
  </si>
  <si>
    <t>凉拌土豆丝</t>
    <phoneticPr fontId="30" type="noConversion"/>
  </si>
  <si>
    <t>土豆</t>
    <phoneticPr fontId="30" type="noConversion"/>
  </si>
  <si>
    <t>油炸花生米</t>
    <phoneticPr fontId="30" type="noConversion"/>
  </si>
  <si>
    <t>花生米</t>
    <phoneticPr fontId="30" type="noConversion"/>
  </si>
  <si>
    <t>酱拌罗汉笋</t>
    <phoneticPr fontId="30" type="noConversion"/>
  </si>
  <si>
    <t>罗汉笋</t>
    <phoneticPr fontId="30" type="noConversion"/>
  </si>
  <si>
    <t>黄豆酱</t>
    <phoneticPr fontId="30" type="noConversion"/>
  </si>
  <si>
    <t>椒油黑豆苗</t>
    <phoneticPr fontId="30" type="noConversion"/>
  </si>
  <si>
    <t>红油粉鱼</t>
    <phoneticPr fontId="30" type="noConversion"/>
  </si>
  <si>
    <t>粉鱼</t>
    <phoneticPr fontId="30" type="noConversion"/>
  </si>
  <si>
    <t>04.08早</t>
    <phoneticPr fontId="30" type="noConversion"/>
  </si>
  <si>
    <t>咸菜丁</t>
    <phoneticPr fontId="30" type="noConversion"/>
  </si>
  <si>
    <t>咸菜头</t>
    <phoneticPr fontId="30" type="noConversion"/>
  </si>
  <si>
    <t>雪里红炒黄豆</t>
    <phoneticPr fontId="30" type="noConversion"/>
  </si>
  <si>
    <t>雪里红</t>
    <phoneticPr fontId="30" type="noConversion"/>
  </si>
  <si>
    <t>黄豆</t>
    <phoneticPr fontId="30" type="noConversion"/>
  </si>
  <si>
    <t>枪拌萝卜丝</t>
    <phoneticPr fontId="30" type="noConversion"/>
  </si>
  <si>
    <t>白萝卜</t>
    <phoneticPr fontId="30" type="noConversion"/>
  </si>
  <si>
    <t>04.08午</t>
    <phoneticPr fontId="30" type="noConversion"/>
  </si>
  <si>
    <t>川北凉粉</t>
    <phoneticPr fontId="30" type="noConversion"/>
  </si>
  <si>
    <t>凉粉</t>
    <phoneticPr fontId="30" type="noConversion"/>
  </si>
  <si>
    <t>辣妹子</t>
    <phoneticPr fontId="30" type="noConversion"/>
  </si>
  <si>
    <t>香葱</t>
    <phoneticPr fontId="30" type="noConversion"/>
  </si>
  <si>
    <t>酸辣瓜条</t>
    <phoneticPr fontId="30" type="noConversion"/>
  </si>
  <si>
    <t>蒜子</t>
    <phoneticPr fontId="30" type="noConversion"/>
  </si>
  <si>
    <t>香椿苗拌豆腐丝</t>
    <phoneticPr fontId="30" type="noConversion"/>
  </si>
  <si>
    <t>香椿苗</t>
    <phoneticPr fontId="30" type="noConversion"/>
  </si>
  <si>
    <t>豆腐丝</t>
    <phoneticPr fontId="30" type="noConversion"/>
  </si>
  <si>
    <t>老醋花生米</t>
    <phoneticPr fontId="30" type="noConversion"/>
  </si>
  <si>
    <t>去皮花生米</t>
    <phoneticPr fontId="30" type="noConversion"/>
  </si>
  <si>
    <t>麻酱油麦菜</t>
    <phoneticPr fontId="30" type="noConversion"/>
  </si>
  <si>
    <t>油麦菜</t>
    <phoneticPr fontId="30" type="noConversion"/>
  </si>
  <si>
    <t>04.08晚</t>
    <phoneticPr fontId="30" type="noConversion"/>
  </si>
  <si>
    <t>五彩石花菜</t>
    <phoneticPr fontId="30" type="noConversion"/>
  </si>
  <si>
    <t>石花菜</t>
    <phoneticPr fontId="30" type="noConversion"/>
  </si>
  <si>
    <t>小葱豆腐</t>
    <phoneticPr fontId="30" type="noConversion"/>
  </si>
  <si>
    <t xml:space="preserve">姜汁皮蛋 </t>
    <phoneticPr fontId="30" type="noConversion"/>
  </si>
  <si>
    <t>皮蛋</t>
    <phoneticPr fontId="30" type="noConversion"/>
  </si>
  <si>
    <t>姜</t>
    <phoneticPr fontId="30" type="noConversion"/>
  </si>
  <si>
    <t>青香蕨菜</t>
    <phoneticPr fontId="30" type="noConversion"/>
  </si>
  <si>
    <t>蕨菜</t>
    <phoneticPr fontId="30" type="noConversion"/>
  </si>
  <si>
    <t>04.09早</t>
    <phoneticPr fontId="30" type="noConversion"/>
  </si>
  <si>
    <t>圆白菜</t>
    <phoneticPr fontId="30" type="noConversion"/>
  </si>
  <si>
    <t>炝拌圆白菜</t>
    <phoneticPr fontId="30" type="noConversion"/>
  </si>
  <si>
    <t>清香西葫芦</t>
    <phoneticPr fontId="30" type="noConversion"/>
  </si>
  <si>
    <t>西葫芦</t>
    <phoneticPr fontId="30" type="noConversion"/>
  </si>
  <si>
    <t>炝拌地耳</t>
    <phoneticPr fontId="30" type="noConversion"/>
  </si>
  <si>
    <t>地耳</t>
    <phoneticPr fontId="30" type="noConversion"/>
  </si>
  <si>
    <t>04.09午</t>
    <phoneticPr fontId="30" type="noConversion"/>
  </si>
  <si>
    <t>红油脆豆腐</t>
    <phoneticPr fontId="30" type="noConversion"/>
  </si>
  <si>
    <t>脆豆腐</t>
    <phoneticPr fontId="30" type="noConversion"/>
  </si>
  <si>
    <t>榄菜青豆</t>
    <phoneticPr fontId="30" type="noConversion"/>
  </si>
  <si>
    <t>青豆</t>
    <phoneticPr fontId="30" type="noConversion"/>
  </si>
  <si>
    <t>榄菜</t>
    <phoneticPr fontId="30" type="noConversion"/>
  </si>
  <si>
    <t>熏干万年青</t>
    <phoneticPr fontId="30" type="noConversion"/>
  </si>
  <si>
    <t>香干</t>
    <phoneticPr fontId="30" type="noConversion"/>
  </si>
  <si>
    <t>万年青</t>
    <phoneticPr fontId="30" type="noConversion"/>
  </si>
  <si>
    <t>八宝粥</t>
    <phoneticPr fontId="22" type="noConversion"/>
  </si>
  <si>
    <t>玉米渣粥</t>
    <phoneticPr fontId="22" type="noConversion"/>
  </si>
  <si>
    <t>玉米渣</t>
    <phoneticPr fontId="22" type="noConversion"/>
  </si>
  <si>
    <t>炝炒快菜</t>
    <phoneticPr fontId="1" type="noConversion"/>
  </si>
  <si>
    <t>快菜</t>
    <phoneticPr fontId="1" type="noConversion"/>
  </si>
  <si>
    <t>面粉</t>
    <phoneticPr fontId="1" type="noConversion"/>
  </si>
  <si>
    <t>大米</t>
    <phoneticPr fontId="1" type="noConversion"/>
  </si>
  <si>
    <t>黄豆</t>
    <phoneticPr fontId="1" type="noConversion"/>
  </si>
  <si>
    <t>AKA大豆油</t>
    <phoneticPr fontId="1" type="noConversion"/>
  </si>
  <si>
    <t>牛河</t>
    <phoneticPr fontId="1" type="noConversion"/>
  </si>
  <si>
    <t>红糖</t>
    <phoneticPr fontId="1" type="noConversion"/>
  </si>
  <si>
    <t>馄饨皮</t>
    <phoneticPr fontId="1" type="noConversion"/>
  </si>
  <si>
    <t>红黄彩椒各1</t>
    <phoneticPr fontId="1" type="noConversion"/>
  </si>
  <si>
    <t>叼子鱼</t>
    <phoneticPr fontId="1" type="noConversion"/>
  </si>
  <si>
    <t>野山椒</t>
    <phoneticPr fontId="1" type="noConversion"/>
  </si>
  <si>
    <t>腐乳</t>
    <phoneticPr fontId="1" type="noConversion"/>
  </si>
  <si>
    <t>牛蛙</t>
    <phoneticPr fontId="1" type="noConversion"/>
  </si>
  <si>
    <t>冻玉米粒(袋)</t>
  </si>
  <si>
    <t>冻青豆(袋)</t>
  </si>
  <si>
    <t>无籽西瓜</t>
  </si>
  <si>
    <t>西瓜</t>
  </si>
  <si>
    <t>红黄圣女果</t>
  </si>
  <si>
    <t>进口香蕉</t>
  </si>
  <si>
    <t>芒果</t>
  </si>
  <si>
    <t>桂圆</t>
  </si>
  <si>
    <t>葡萄</t>
  </si>
  <si>
    <t>菠萝</t>
  </si>
  <si>
    <t>毛桃</t>
  </si>
  <si>
    <t>木瓜</t>
  </si>
  <si>
    <t>哈密瓜</t>
  </si>
  <si>
    <t>黄河密</t>
  </si>
  <si>
    <t>青苹果</t>
  </si>
  <si>
    <t>火龙果</t>
  </si>
  <si>
    <t>橘子</t>
  </si>
  <si>
    <t>冬枣</t>
  </si>
  <si>
    <t>龙口粉丝1*30包</t>
  </si>
  <si>
    <t>车轮人造黄奶油1*16kg</t>
  </si>
  <si>
    <t>老干妈辣椒酱(华群)1*24*210g</t>
  </si>
  <si>
    <t>素牛肚(斤)</t>
  </si>
  <si>
    <t>银耳(白木耳)</t>
  </si>
  <si>
    <t>土豆粉1*6*2.46kg</t>
  </si>
  <si>
    <t>螺纹粉(蔡树)1*40*200g</t>
  </si>
  <si>
    <t>散干细粉条</t>
  </si>
  <si>
    <t>蒸肉米粉(孙师博)1*50*150g</t>
  </si>
  <si>
    <t>鸿盛香港橄榄菜1*48*180g</t>
  </si>
  <si>
    <t>酸辣汤</t>
    <phoneticPr fontId="1" type="noConversion"/>
  </si>
  <si>
    <t>卤水豆腐散装</t>
    <phoneticPr fontId="1" type="noConversion"/>
  </si>
  <si>
    <t>木耳(斤)</t>
    <phoneticPr fontId="1" type="noConversion"/>
  </si>
  <si>
    <t>西葫芦鸡蛋包子</t>
    <phoneticPr fontId="1" type="noConversion"/>
  </si>
  <si>
    <t>面粉</t>
    <phoneticPr fontId="1" type="noConversion"/>
  </si>
  <si>
    <t>西葫芦</t>
    <phoneticPr fontId="1" type="noConversion"/>
  </si>
  <si>
    <t>发面饼</t>
    <phoneticPr fontId="1" type="noConversion"/>
  </si>
  <si>
    <t>木耳南瓜</t>
    <phoneticPr fontId="1" type="noConversion"/>
  </si>
  <si>
    <t>南瓜</t>
    <phoneticPr fontId="1" type="noConversion"/>
  </si>
  <si>
    <t>木耳(斤)</t>
    <phoneticPr fontId="1" type="noConversion"/>
  </si>
  <si>
    <t>干辣椒</t>
    <phoneticPr fontId="1" type="noConversion"/>
  </si>
  <si>
    <t>红小豆</t>
    <phoneticPr fontId="1" type="noConversion"/>
  </si>
  <si>
    <t>红小豆</t>
    <phoneticPr fontId="1" type="noConversion"/>
  </si>
  <si>
    <t>江米</t>
    <phoneticPr fontId="1" type="noConversion"/>
  </si>
  <si>
    <t>免费鱼头汤</t>
    <phoneticPr fontId="22" type="noConversion"/>
  </si>
  <si>
    <t>长茄</t>
    <phoneticPr fontId="1" type="noConversion"/>
  </si>
  <si>
    <t>长茄</t>
    <phoneticPr fontId="1" type="noConversion"/>
  </si>
  <si>
    <t>花生米</t>
    <phoneticPr fontId="1" type="noConversion"/>
  </si>
  <si>
    <t>糊塌子</t>
  </si>
  <si>
    <t>猪肉圆白菜包子</t>
  </si>
  <si>
    <t>茴香鸡蛋包子</t>
  </si>
  <si>
    <t>咸菜丁</t>
  </si>
  <si>
    <t>豆腐乳</t>
  </si>
  <si>
    <t>彩色圆白菜</t>
  </si>
  <si>
    <t>青香西葫芦</t>
  </si>
  <si>
    <t>绿豆饭</t>
  </si>
  <si>
    <t>蒸南瓜</t>
  </si>
  <si>
    <t>炝拌豆腐丝</t>
  </si>
  <si>
    <t>油炸花生米</t>
  </si>
  <si>
    <t>松花鹌鹑蛋</t>
  </si>
  <si>
    <t>红油脆豆腐</t>
  </si>
  <si>
    <t>椒油笋丝</t>
  </si>
  <si>
    <t>泡椒西芹</t>
  </si>
  <si>
    <t>养生木耳</t>
  </si>
  <si>
    <t>新疆拉条子</t>
  </si>
  <si>
    <t>青椒茄子面</t>
  </si>
  <si>
    <t>韩式烤鸡腿套餐</t>
  </si>
  <si>
    <t>鸡蛋炒饼</t>
  </si>
  <si>
    <t>金拌莴笋</t>
  </si>
  <si>
    <t>炝拌土豆丝</t>
  </si>
  <si>
    <t>姜汁皮蛋</t>
  </si>
  <si>
    <t>椒油紫甘蓝</t>
  </si>
  <si>
    <t>辣白菜</t>
  </si>
  <si>
    <t>炝拌萝卜丝</t>
  </si>
  <si>
    <t>红烧肉刀削面</t>
  </si>
  <si>
    <t>尖椒鸡蛋刀削面</t>
  </si>
  <si>
    <t>牛肉炒米饭</t>
  </si>
  <si>
    <t>醋烹银芽</t>
  </si>
  <si>
    <t>尖椒茄子包子</t>
  </si>
  <si>
    <t>炝拌白菜丝</t>
  </si>
  <si>
    <t>紫米饭</t>
  </si>
  <si>
    <t>蒜香莴笋</t>
  </si>
  <si>
    <t>老干妈茄条</t>
  </si>
  <si>
    <t>炒河粉</t>
  </si>
  <si>
    <t>凉拌土豆丝</t>
  </si>
  <si>
    <t>酱拌罗汉笋</t>
  </si>
  <si>
    <t>红油粉鱼</t>
  </si>
  <si>
    <t>酸菜肉丝面</t>
  </si>
  <si>
    <t>木须打卤面</t>
  </si>
  <si>
    <t>雪里红炒黄豆</t>
  </si>
  <si>
    <t>炝拌木耳</t>
  </si>
  <si>
    <t>香椿苗拌豆腐丝</t>
  </si>
  <si>
    <t>老醋花生</t>
  </si>
  <si>
    <t>鲜椒玉丝</t>
  </si>
  <si>
    <t>麻酱油麦菜</t>
  </si>
  <si>
    <t>土豆鸡块拌面</t>
  </si>
  <si>
    <t>香辣牛腩粉</t>
  </si>
  <si>
    <t>老干妈炒饭</t>
  </si>
  <si>
    <t>五彩石花菜</t>
  </si>
  <si>
    <t xml:space="preserve">青香蕨菜 </t>
  </si>
  <si>
    <t>肉三丁刀削面</t>
  </si>
  <si>
    <t>西红柿茄丁面</t>
  </si>
  <si>
    <t>意式螺纹粉</t>
  </si>
  <si>
    <t>椒油土豆片</t>
  </si>
  <si>
    <t>葱花烧饼</t>
  </si>
  <si>
    <t>高梁粥</t>
  </si>
  <si>
    <t>榄菜青豆</t>
  </si>
  <si>
    <t>香干万年青</t>
  </si>
  <si>
    <t>红烧牛肉面</t>
  </si>
  <si>
    <t>牛肉河粉</t>
  </si>
  <si>
    <t>蛋炒饭</t>
  </si>
  <si>
    <t>叉烧排骨套餐</t>
  </si>
  <si>
    <t>三色香干</t>
  </si>
  <si>
    <t>凉拌海带丝</t>
  </si>
  <si>
    <t>椒油豌豆苗</t>
  </si>
  <si>
    <t>老北京打卤面</t>
  </si>
  <si>
    <t>西红柿鸡蛋面</t>
  </si>
  <si>
    <t>山椒罗汉笋</t>
  </si>
  <si>
    <t>五彩云丝</t>
  </si>
  <si>
    <t>三鲜炒饭</t>
  </si>
  <si>
    <t>黄金大饼</t>
  </si>
  <si>
    <t>蛋糕卷</t>
  </si>
  <si>
    <t>莴笋拌云丝</t>
  </si>
  <si>
    <t>炝拌云丝</t>
  </si>
  <si>
    <t>茄子肉丁面</t>
  </si>
  <si>
    <t>鲜花五花肉片面</t>
  </si>
  <si>
    <t>素炒饼</t>
  </si>
  <si>
    <t>水果沙拉</t>
    <phoneticPr fontId="1" type="noConversion"/>
  </si>
  <si>
    <t>西瓜</t>
    <phoneticPr fontId="1" type="noConversion"/>
  </si>
  <si>
    <t>哈密瓜</t>
    <phoneticPr fontId="1" type="noConversion"/>
  </si>
  <si>
    <t>火龙果</t>
    <phoneticPr fontId="1" type="noConversion"/>
  </si>
  <si>
    <t>野山椒</t>
  </si>
  <si>
    <t>香辣豆干</t>
    <phoneticPr fontId="1" type="noConversion"/>
  </si>
  <si>
    <t>香菜</t>
    <phoneticPr fontId="1" type="noConversion"/>
  </si>
  <si>
    <t>面粉</t>
  </si>
  <si>
    <t>圆白菜</t>
    <phoneticPr fontId="22" type="noConversion"/>
  </si>
  <si>
    <t>茴香</t>
    <phoneticPr fontId="22" type="noConversion"/>
  </si>
  <si>
    <t>酱豆腐</t>
  </si>
  <si>
    <t>酱豆腐</t>
    <phoneticPr fontId="1" type="noConversion"/>
  </si>
  <si>
    <t/>
  </si>
  <si>
    <t>圆白菜</t>
    <phoneticPr fontId="1" type="noConversion"/>
  </si>
  <si>
    <t>胡萝卜</t>
    <phoneticPr fontId="1" type="noConversion"/>
  </si>
  <si>
    <t>西葫芦</t>
    <phoneticPr fontId="1" type="noConversion"/>
  </si>
  <si>
    <t>大米</t>
    <phoneticPr fontId="22" type="noConversion"/>
  </si>
  <si>
    <t>绿豆</t>
    <phoneticPr fontId="22" type="noConversion"/>
  </si>
  <si>
    <t>绿豆</t>
    <phoneticPr fontId="1" type="noConversion"/>
  </si>
  <si>
    <t>南瓜</t>
    <phoneticPr fontId="22" type="noConversion"/>
  </si>
  <si>
    <t>香菜</t>
    <phoneticPr fontId="1" type="noConversion"/>
  </si>
  <si>
    <t>花生米</t>
    <phoneticPr fontId="1" type="noConversion"/>
  </si>
  <si>
    <t>松花鹌鹑蛋</t>
    <phoneticPr fontId="1" type="noConversion"/>
  </si>
  <si>
    <t>黄瓜</t>
    <phoneticPr fontId="1" type="noConversion"/>
  </si>
  <si>
    <t>大白菜</t>
    <phoneticPr fontId="1" type="noConversion"/>
  </si>
  <si>
    <t>拌白菜心</t>
  </si>
  <si>
    <t>冬笋丝</t>
    <phoneticPr fontId="1" type="noConversion"/>
  </si>
  <si>
    <t>豇豆</t>
    <phoneticPr fontId="1" type="noConversion"/>
  </si>
  <si>
    <t>青笋</t>
    <phoneticPr fontId="1" type="noConversion"/>
  </si>
  <si>
    <t>炝拌地耳</t>
    <phoneticPr fontId="1" type="noConversion"/>
  </si>
  <si>
    <t>地耳</t>
    <phoneticPr fontId="1" type="noConversion"/>
  </si>
  <si>
    <t>圆茄</t>
    <phoneticPr fontId="30" type="noConversion"/>
  </si>
  <si>
    <t>去皮前尖</t>
    <phoneticPr fontId="30" type="noConversion"/>
  </si>
  <si>
    <t>干烧鱼块</t>
    <phoneticPr fontId="1" type="noConversion"/>
  </si>
  <si>
    <t>草鱼</t>
    <phoneticPr fontId="1" type="noConversion"/>
  </si>
  <si>
    <t>猪肉白萝卜包子</t>
    <phoneticPr fontId="22" type="noConversion"/>
  </si>
  <si>
    <t>面粉</t>
    <phoneticPr fontId="22" type="noConversion"/>
  </si>
  <si>
    <t>白萝卜</t>
    <phoneticPr fontId="22" type="noConversion"/>
  </si>
  <si>
    <t>去皮前尖</t>
    <phoneticPr fontId="22" type="noConversion"/>
  </si>
  <si>
    <t>圆白菜粉条包子</t>
  </si>
  <si>
    <t>圆白菜</t>
    <phoneticPr fontId="22" type="noConversion"/>
  </si>
  <si>
    <t>油酥烧饼</t>
    <phoneticPr fontId="22" type="noConversion"/>
  </si>
  <si>
    <t>大麦粥</t>
    <phoneticPr fontId="22" type="noConversion"/>
  </si>
  <si>
    <t>大麦米</t>
    <phoneticPr fontId="22" type="noConversion"/>
  </si>
  <si>
    <t>大麦米</t>
    <phoneticPr fontId="1" type="noConversion"/>
  </si>
  <si>
    <t>江米</t>
    <phoneticPr fontId="22" type="noConversion"/>
  </si>
  <si>
    <t>大米</t>
    <phoneticPr fontId="22" type="noConversion"/>
  </si>
  <si>
    <t>紫甘蓝</t>
    <phoneticPr fontId="1" type="noConversion"/>
  </si>
  <si>
    <t>大白菜</t>
    <phoneticPr fontId="1" type="noConversion"/>
  </si>
  <si>
    <t>胡萝卜</t>
    <phoneticPr fontId="1" type="noConversion"/>
  </si>
  <si>
    <t>香菜</t>
    <phoneticPr fontId="1" type="noConversion"/>
  </si>
  <si>
    <t>芹菜</t>
    <phoneticPr fontId="1" type="noConversion"/>
  </si>
  <si>
    <t>香菜</t>
    <phoneticPr fontId="1" type="noConversion"/>
  </si>
  <si>
    <t>去皮后尖</t>
    <phoneticPr fontId="22" type="noConversion"/>
  </si>
  <si>
    <t>面粉</t>
    <phoneticPr fontId="22" type="noConversion"/>
  </si>
  <si>
    <t>红椒</t>
    <phoneticPr fontId="22" type="noConversion"/>
  </si>
  <si>
    <t>西红柿、洋葱、芹菜</t>
    <phoneticPr fontId="22" type="noConversion"/>
  </si>
  <si>
    <t>青椒</t>
    <phoneticPr fontId="22" type="noConversion"/>
  </si>
  <si>
    <t>圆茄</t>
    <phoneticPr fontId="22" type="noConversion"/>
  </si>
  <si>
    <t>鸡边腿</t>
    <phoneticPr fontId="22" type="noConversion"/>
  </si>
  <si>
    <t>鸡蛋(筐)</t>
    <phoneticPr fontId="22" type="noConversion"/>
  </si>
  <si>
    <t>大米</t>
    <phoneticPr fontId="22" type="noConversion"/>
  </si>
  <si>
    <t>圆白菜</t>
    <phoneticPr fontId="22" type="noConversion"/>
  </si>
  <si>
    <t>一级五花</t>
    <phoneticPr fontId="22" type="noConversion"/>
  </si>
  <si>
    <t>平蘑</t>
    <phoneticPr fontId="22" type="noConversion"/>
  </si>
  <si>
    <t>鲜香菇</t>
    <phoneticPr fontId="22" type="noConversion"/>
  </si>
  <si>
    <t>尖椒</t>
    <phoneticPr fontId="22" type="noConversion"/>
  </si>
  <si>
    <t>牛柳</t>
    <phoneticPr fontId="22" type="noConversion"/>
  </si>
  <si>
    <t>鲜米粉</t>
    <phoneticPr fontId="22" type="noConversion"/>
  </si>
  <si>
    <t>鲜米粉</t>
    <phoneticPr fontId="1" type="noConversion"/>
  </si>
  <si>
    <t>香芹</t>
    <phoneticPr fontId="22" type="noConversion"/>
  </si>
  <si>
    <t>青蒜</t>
    <phoneticPr fontId="22" type="noConversion"/>
  </si>
  <si>
    <t>酸萝卜</t>
    <phoneticPr fontId="1" type="noConversion"/>
  </si>
  <si>
    <t>伊利纯牛奶</t>
  </si>
  <si>
    <t>伊利早餐奶</t>
  </si>
  <si>
    <t>自制酸奶</t>
  </si>
  <si>
    <t>炒西葫芦</t>
  </si>
  <si>
    <t>烧冬瓜</t>
  </si>
  <si>
    <t>西葫芦</t>
    <phoneticPr fontId="1" type="noConversion"/>
  </si>
  <si>
    <t>冬瓜</t>
    <phoneticPr fontId="1" type="noConversion"/>
  </si>
  <si>
    <t>大中土豆</t>
    <phoneticPr fontId="1" type="noConversion"/>
  </si>
  <si>
    <t>青笋</t>
    <phoneticPr fontId="1" type="noConversion"/>
  </si>
  <si>
    <t>金针菇</t>
    <phoneticPr fontId="1" type="noConversion"/>
  </si>
  <si>
    <t>炝拌土豆丝</t>
    <phoneticPr fontId="1" type="noConversion"/>
  </si>
  <si>
    <t>芸豆</t>
    <phoneticPr fontId="1" type="noConversion"/>
  </si>
  <si>
    <t>花生米</t>
    <phoneticPr fontId="22" type="noConversion"/>
  </si>
  <si>
    <t>牛柳</t>
    <phoneticPr fontId="22" type="noConversion"/>
  </si>
  <si>
    <t>平蘑</t>
    <phoneticPr fontId="1" type="noConversion"/>
  </si>
  <si>
    <t>西红柿</t>
    <phoneticPr fontId="1" type="noConversion"/>
  </si>
  <si>
    <t>鱿鱼串</t>
    <phoneticPr fontId="1" type="noConversion"/>
  </si>
  <si>
    <t>平蘑</t>
    <phoneticPr fontId="15" type="noConversion"/>
  </si>
  <si>
    <t>花生米</t>
    <phoneticPr fontId="1" type="noConversion"/>
  </si>
  <si>
    <t>牛柳</t>
    <phoneticPr fontId="1" type="noConversion"/>
  </si>
  <si>
    <t>尖椒</t>
    <phoneticPr fontId="22" type="noConversion"/>
  </si>
  <si>
    <t>圆茄</t>
    <phoneticPr fontId="22" type="noConversion"/>
  </si>
  <si>
    <t>小米</t>
    <phoneticPr fontId="22" type="noConversion"/>
  </si>
  <si>
    <t>鲜椒土豆粉</t>
  </si>
  <si>
    <t>鲜蘑五花肉片面</t>
  </si>
  <si>
    <t>五香熏鱼饭</t>
  </si>
  <si>
    <t>一级五花</t>
    <phoneticPr fontId="22" type="noConversion"/>
  </si>
  <si>
    <t>油菜</t>
    <phoneticPr fontId="22" type="noConversion"/>
  </si>
  <si>
    <t>西红柿</t>
    <phoneticPr fontId="22" type="noConversion"/>
  </si>
  <si>
    <t>鲜米粉</t>
    <phoneticPr fontId="22" type="noConversion"/>
  </si>
  <si>
    <t>黄豆芽</t>
    <phoneticPr fontId="22" type="noConversion"/>
  </si>
  <si>
    <t>鲜香菇</t>
    <phoneticPr fontId="22" type="noConversion"/>
  </si>
  <si>
    <t>胡萝卜</t>
    <phoneticPr fontId="22" type="noConversion"/>
  </si>
  <si>
    <t>大米</t>
    <phoneticPr fontId="22" type="noConversion"/>
  </si>
  <si>
    <t>牛河</t>
    <phoneticPr fontId="22" type="noConversion"/>
  </si>
  <si>
    <t>香芹</t>
    <phoneticPr fontId="22" type="noConversion"/>
  </si>
  <si>
    <t>面粉</t>
    <phoneticPr fontId="30" type="noConversion"/>
  </si>
  <si>
    <t>一级五花</t>
    <phoneticPr fontId="22" type="noConversion"/>
  </si>
  <si>
    <t>圆茄</t>
    <phoneticPr fontId="22" type="noConversion"/>
  </si>
  <si>
    <t>尖椒</t>
    <phoneticPr fontId="22" type="noConversion"/>
  </si>
  <si>
    <t>面粉</t>
    <phoneticPr fontId="22" type="noConversion"/>
  </si>
  <si>
    <t>平蘑</t>
    <phoneticPr fontId="22" type="noConversion"/>
  </si>
  <si>
    <t>酸菜</t>
    <phoneticPr fontId="22" type="noConversion"/>
  </si>
  <si>
    <t>去皮后尖</t>
    <phoneticPr fontId="22" type="noConversion"/>
  </si>
  <si>
    <t>油菜</t>
    <phoneticPr fontId="22" type="noConversion"/>
  </si>
  <si>
    <t>鲜辣魔芋丝</t>
  </si>
  <si>
    <t>拌三丁</t>
    <phoneticPr fontId="1" type="noConversion"/>
  </si>
  <si>
    <t>花生米</t>
  </si>
  <si>
    <t>魔芋丝（盒）</t>
  </si>
  <si>
    <t>魔芋丝（盒）</t>
    <phoneticPr fontId="1" type="noConversion"/>
  </si>
  <si>
    <t>炝炒土豆丝</t>
  </si>
  <si>
    <t>大中土豆</t>
    <phoneticPr fontId="1" type="noConversion"/>
  </si>
  <si>
    <t>大白菜</t>
    <phoneticPr fontId="1" type="noConversion"/>
  </si>
  <si>
    <t>黄瓜</t>
    <phoneticPr fontId="1" type="noConversion"/>
  </si>
  <si>
    <t>（早餐）拍黄瓜</t>
  </si>
  <si>
    <t>（早餐）三色花生米</t>
  </si>
  <si>
    <t>花生米</t>
    <phoneticPr fontId="1" type="noConversion"/>
  </si>
  <si>
    <t>胡萝卜</t>
    <phoneticPr fontId="1" type="noConversion"/>
  </si>
  <si>
    <t>芹菜</t>
    <phoneticPr fontId="1" type="noConversion"/>
  </si>
  <si>
    <t>青笋</t>
    <phoneticPr fontId="1" type="noConversion"/>
  </si>
  <si>
    <t>蒜子</t>
    <phoneticPr fontId="1" type="noConversion"/>
  </si>
  <si>
    <t>长茄</t>
    <phoneticPr fontId="1" type="noConversion"/>
  </si>
  <si>
    <t>大米</t>
    <phoneticPr fontId="22" type="noConversion"/>
  </si>
  <si>
    <t>紫米</t>
    <phoneticPr fontId="22" type="noConversion"/>
  </si>
  <si>
    <t>紫米</t>
    <phoneticPr fontId="1" type="noConversion"/>
  </si>
  <si>
    <t>尖椒</t>
    <phoneticPr fontId="1" type="noConversion"/>
  </si>
  <si>
    <t>大中土豆</t>
    <phoneticPr fontId="1" type="noConversion"/>
  </si>
  <si>
    <t>粉鱼</t>
    <phoneticPr fontId="1" type="noConversion"/>
  </si>
  <si>
    <t>罗汉笋</t>
    <phoneticPr fontId="1" type="noConversion"/>
  </si>
  <si>
    <t>面粉</t>
    <phoneticPr fontId="22" type="noConversion"/>
  </si>
  <si>
    <t>鸡边腿</t>
    <phoneticPr fontId="22" type="noConversion"/>
  </si>
  <si>
    <t>一级五花</t>
    <phoneticPr fontId="22" type="noConversion"/>
  </si>
  <si>
    <t>油菜</t>
    <phoneticPr fontId="22" type="noConversion"/>
  </si>
  <si>
    <t>蒜苗</t>
    <phoneticPr fontId="22" type="noConversion"/>
  </si>
  <si>
    <t>鲜米粉</t>
    <phoneticPr fontId="22" type="noConversion"/>
  </si>
  <si>
    <t>胡萝卜</t>
    <phoneticPr fontId="22" type="noConversion"/>
  </si>
  <si>
    <t>香芹</t>
    <phoneticPr fontId="22" type="noConversion"/>
  </si>
  <si>
    <t>大米</t>
    <phoneticPr fontId="22" type="noConversion"/>
  </si>
  <si>
    <t>一级五花</t>
    <phoneticPr fontId="22" type="noConversion"/>
  </si>
  <si>
    <t>圆茄</t>
    <phoneticPr fontId="22" type="noConversion"/>
  </si>
  <si>
    <t>西红柿</t>
    <phoneticPr fontId="22" type="noConversion"/>
  </si>
  <si>
    <t>洋葱</t>
    <phoneticPr fontId="22" type="noConversion"/>
  </si>
  <si>
    <t>牛柳</t>
    <phoneticPr fontId="22" type="noConversion"/>
  </si>
  <si>
    <t>牛河</t>
    <phoneticPr fontId="22" type="noConversion"/>
  </si>
  <si>
    <t>尖椒</t>
    <phoneticPr fontId="22" type="noConversion"/>
  </si>
  <si>
    <t>黄瓜</t>
    <phoneticPr fontId="22" type="noConversion"/>
  </si>
  <si>
    <t>胡萝卜</t>
    <phoneticPr fontId="22" type="noConversion"/>
  </si>
  <si>
    <t>豇豆</t>
    <phoneticPr fontId="22" type="noConversion"/>
  </si>
  <si>
    <t>04.7午</t>
    <phoneticPr fontId="30" type="noConversion"/>
  </si>
  <si>
    <t>04.7晚</t>
    <phoneticPr fontId="30" type="noConversion"/>
  </si>
  <si>
    <t>04.8午</t>
    <phoneticPr fontId="30" type="noConversion"/>
  </si>
  <si>
    <t>04.8晚</t>
    <phoneticPr fontId="30" type="noConversion"/>
  </si>
  <si>
    <t>04.09午</t>
    <phoneticPr fontId="1" type="noConversion"/>
  </si>
  <si>
    <t>04.09晚</t>
    <phoneticPr fontId="1" type="noConversion"/>
  </si>
  <si>
    <t>羊肉烩面</t>
  </si>
  <si>
    <t>木耳鸡蛋刀削面</t>
  </si>
  <si>
    <t>一品牛腩饭</t>
  </si>
  <si>
    <t>三鲜肉丝面</t>
  </si>
  <si>
    <t>双色丸子粉</t>
  </si>
  <si>
    <t>羊杂</t>
    <phoneticPr fontId="22" type="noConversion"/>
  </si>
  <si>
    <t>饼、粉丝</t>
    <phoneticPr fontId="22" type="noConversion"/>
  </si>
  <si>
    <t>拉条子</t>
    <phoneticPr fontId="1" type="noConversion"/>
  </si>
  <si>
    <t>面粉</t>
    <phoneticPr fontId="1" type="noConversion"/>
  </si>
  <si>
    <t>牛柳</t>
    <phoneticPr fontId="22" type="noConversion"/>
  </si>
  <si>
    <t>面粉</t>
    <phoneticPr fontId="1" type="noConversion"/>
  </si>
  <si>
    <r>
      <t>桂林米线</t>
    </r>
    <r>
      <rPr>
        <sz val="10"/>
        <color rgb="FFFF0000"/>
        <rFont val="Arial"/>
        <family val="2"/>
      </rPr>
      <t>1*8*2kg</t>
    </r>
    <phoneticPr fontId="17" type="noConversion"/>
  </si>
  <si>
    <t>芹菜</t>
    <phoneticPr fontId="1" type="noConversion"/>
  </si>
  <si>
    <t>油菜</t>
    <phoneticPr fontId="1" type="noConversion"/>
  </si>
  <si>
    <t>去皮后尖</t>
    <phoneticPr fontId="1" type="noConversion"/>
  </si>
  <si>
    <t>圆茄</t>
    <phoneticPr fontId="1" type="noConversion"/>
  </si>
  <si>
    <t>平蘑</t>
    <phoneticPr fontId="1" type="noConversion"/>
  </si>
  <si>
    <r>
      <t>桂林米线</t>
    </r>
    <r>
      <rPr>
        <sz val="10"/>
        <color rgb="FFFF0000"/>
        <rFont val="Arial"/>
        <family val="2"/>
      </rPr>
      <t>1*8*2kg</t>
    </r>
    <phoneticPr fontId="17" type="noConversion"/>
  </si>
  <si>
    <t>牛河</t>
    <phoneticPr fontId="1" type="noConversion"/>
  </si>
  <si>
    <r>
      <t>桂林米线</t>
    </r>
    <r>
      <rPr>
        <sz val="10"/>
        <color rgb="FFFF0000"/>
        <rFont val="Arial"/>
        <family val="2"/>
      </rPr>
      <t>1*8*2kg</t>
    </r>
    <phoneticPr fontId="17" type="noConversion"/>
  </si>
  <si>
    <t>饼丝</t>
    <phoneticPr fontId="22" type="noConversion"/>
  </si>
  <si>
    <t>饼丝</t>
    <phoneticPr fontId="1" type="noConversion"/>
  </si>
  <si>
    <t>圆茄</t>
    <phoneticPr fontId="22" type="noConversion"/>
  </si>
  <si>
    <t>一级五花</t>
    <phoneticPr fontId="22" type="noConversion"/>
  </si>
  <si>
    <t>面粉</t>
    <phoneticPr fontId="22" type="noConversion"/>
  </si>
  <si>
    <t>一级五花</t>
    <phoneticPr fontId="22" type="noConversion"/>
  </si>
  <si>
    <t>圆白菜</t>
    <phoneticPr fontId="22" type="noConversion"/>
  </si>
  <si>
    <t>油菜</t>
    <phoneticPr fontId="22" type="noConversion"/>
  </si>
  <si>
    <t>黄豆</t>
    <phoneticPr fontId="1" type="noConversion"/>
  </si>
  <si>
    <t>猪肉韭菜包子</t>
  </si>
  <si>
    <t>小白菜鸡蛋包子</t>
  </si>
  <si>
    <t>韭菜</t>
    <phoneticPr fontId="22" type="noConversion"/>
  </si>
  <si>
    <t>去皮前尖</t>
    <phoneticPr fontId="22" type="noConversion"/>
  </si>
  <si>
    <t>小白菜</t>
    <phoneticPr fontId="22" type="noConversion"/>
  </si>
  <si>
    <t>（早餐）炝拌木耳</t>
    <phoneticPr fontId="1" type="noConversion"/>
  </si>
  <si>
    <t>香菜</t>
    <phoneticPr fontId="1" type="noConversion"/>
  </si>
  <si>
    <t>绿豆粥</t>
  </si>
  <si>
    <t>绿豆</t>
    <phoneticPr fontId="22" type="noConversion"/>
  </si>
  <si>
    <t>大米</t>
    <phoneticPr fontId="22" type="noConversion"/>
  </si>
  <si>
    <t>江米</t>
    <phoneticPr fontId="22" type="noConversion"/>
  </si>
  <si>
    <t>青椒</t>
    <phoneticPr fontId="1" type="noConversion"/>
  </si>
  <si>
    <t>香椿苗</t>
    <phoneticPr fontId="1" type="noConversion"/>
  </si>
  <si>
    <t>香菜</t>
    <phoneticPr fontId="1" type="noConversion"/>
  </si>
  <si>
    <t>花生米</t>
    <phoneticPr fontId="1" type="noConversion"/>
  </si>
  <si>
    <t>油麦菜</t>
    <phoneticPr fontId="1" type="noConversion"/>
  </si>
  <si>
    <t>（早餐）炝拌萝卜丝</t>
    <phoneticPr fontId="1" type="noConversion"/>
  </si>
  <si>
    <t>心里美</t>
    <phoneticPr fontId="1" type="noConversion"/>
  </si>
  <si>
    <t>猪肉大葱包子</t>
  </si>
  <si>
    <t>白菜木耳鸡蛋包子</t>
  </si>
  <si>
    <t>猪肉西葫芦包子</t>
  </si>
  <si>
    <t>白萝卜粉条包子</t>
  </si>
  <si>
    <t>（早餐）芹菜花生米</t>
  </si>
  <si>
    <t>(早餐）椒油萝卜丝</t>
  </si>
  <si>
    <t>（早餐）三色香干</t>
  </si>
  <si>
    <t>花生米</t>
    <phoneticPr fontId="1" type="noConversion"/>
  </si>
  <si>
    <t>芹菜</t>
    <phoneticPr fontId="1" type="noConversion"/>
  </si>
  <si>
    <t>黄瓜</t>
    <phoneticPr fontId="1" type="noConversion"/>
  </si>
  <si>
    <t>心里美</t>
    <phoneticPr fontId="1" type="noConversion"/>
  </si>
  <si>
    <t>胡萝卜</t>
    <phoneticPr fontId="1" type="noConversion"/>
  </si>
  <si>
    <t>葱花饼</t>
    <phoneticPr fontId="22" type="noConversion"/>
  </si>
  <si>
    <t>面粉</t>
    <phoneticPr fontId="22" type="noConversion"/>
  </si>
  <si>
    <t>大葱</t>
    <phoneticPr fontId="22" type="noConversion"/>
  </si>
  <si>
    <t>去皮前尖</t>
    <phoneticPr fontId="22" type="noConversion"/>
  </si>
  <si>
    <t>白萝卜</t>
    <phoneticPr fontId="22" type="noConversion"/>
  </si>
  <si>
    <t>西葫芦</t>
    <phoneticPr fontId="22" type="noConversion"/>
  </si>
  <si>
    <t>红美人椒</t>
    <phoneticPr fontId="1" type="noConversion"/>
  </si>
  <si>
    <t>（早餐）葱油芹菜</t>
  </si>
  <si>
    <t>（早餐）清炒菠菜</t>
  </si>
  <si>
    <t>（早餐）辣炒黄豆芽</t>
  </si>
  <si>
    <t>（早餐）酸辣藕片</t>
  </si>
  <si>
    <t>（早餐）木耳白菜</t>
  </si>
  <si>
    <t>（早餐）青椒土豆片</t>
  </si>
  <si>
    <t>（早餐）醋溜白菜</t>
  </si>
  <si>
    <t>（早餐）清炒快菜</t>
  </si>
  <si>
    <t>（早餐）椒油菜花</t>
  </si>
  <si>
    <t>（早餐）醋烹银牙</t>
  </si>
  <si>
    <t>（早餐）菠菜粉丝</t>
  </si>
  <si>
    <t>（早餐）酸辣白菜条</t>
  </si>
  <si>
    <t>（早餐）清炒土豆丝</t>
  </si>
  <si>
    <t>（早餐）黄豆雪里红</t>
  </si>
  <si>
    <t>苦菊拌云丝</t>
  </si>
  <si>
    <t>蒜蓉油麦菜</t>
    <phoneticPr fontId="1" type="noConversion"/>
  </si>
  <si>
    <t>洋葱</t>
    <phoneticPr fontId="1" type="noConversion"/>
  </si>
  <si>
    <t>菠菜</t>
    <phoneticPr fontId="1" type="noConversion"/>
  </si>
  <si>
    <t>黄豆芽</t>
    <phoneticPr fontId="1" type="noConversion"/>
  </si>
  <si>
    <t>莲藕</t>
    <phoneticPr fontId="1" type="noConversion"/>
  </si>
  <si>
    <t>大白菜</t>
    <phoneticPr fontId="1" type="noConversion"/>
  </si>
  <si>
    <t>大中土豆</t>
    <phoneticPr fontId="1" type="noConversion"/>
  </si>
  <si>
    <t>青椒</t>
    <phoneticPr fontId="1" type="noConversion"/>
  </si>
  <si>
    <t>快菜</t>
    <phoneticPr fontId="1" type="noConversion"/>
  </si>
  <si>
    <t>菜花</t>
    <phoneticPr fontId="1" type="noConversion"/>
  </si>
  <si>
    <t>绿豆芽</t>
    <phoneticPr fontId="1" type="noConversion"/>
  </si>
  <si>
    <t>雪里红</t>
    <phoneticPr fontId="1" type="noConversion"/>
  </si>
  <si>
    <t>黄豆</t>
    <phoneticPr fontId="1" type="noConversion"/>
  </si>
  <si>
    <t>青笋</t>
    <phoneticPr fontId="1" type="noConversion"/>
  </si>
  <si>
    <t>云丝</t>
    <phoneticPr fontId="1" type="noConversion"/>
  </si>
  <si>
    <t>长茄</t>
    <phoneticPr fontId="1" type="noConversion"/>
  </si>
  <si>
    <t>云丝</t>
    <phoneticPr fontId="1" type="noConversion"/>
  </si>
  <si>
    <t>西红柿</t>
    <phoneticPr fontId="22" type="noConversion"/>
  </si>
  <si>
    <t>西兰花</t>
    <phoneticPr fontId="22" type="noConversion"/>
  </si>
  <si>
    <t>鲜香菇</t>
    <phoneticPr fontId="22" type="noConversion"/>
  </si>
  <si>
    <t>四号肉</t>
    <phoneticPr fontId="22" type="noConversion"/>
  </si>
  <si>
    <t>面粉</t>
    <phoneticPr fontId="22" type="noConversion"/>
  </si>
  <si>
    <t>红美人椒</t>
    <phoneticPr fontId="22" type="noConversion"/>
  </si>
  <si>
    <t>西芹</t>
    <phoneticPr fontId="1" type="noConversion"/>
  </si>
  <si>
    <t>拌西芹</t>
    <phoneticPr fontId="1" type="noConversion"/>
  </si>
  <si>
    <t>鸭胗</t>
  </si>
  <si>
    <t>鸭脖</t>
    <phoneticPr fontId="1" type="noConversion"/>
  </si>
  <si>
    <t>鸭翅</t>
    <phoneticPr fontId="1" type="noConversion"/>
  </si>
  <si>
    <t>猪蹄</t>
    <phoneticPr fontId="1" type="noConversion"/>
  </si>
  <si>
    <t>西葫芦粉条包子</t>
  </si>
  <si>
    <t>猪肉芹菜包子</t>
  </si>
  <si>
    <t>芹菜</t>
    <phoneticPr fontId="22" type="noConversion"/>
  </si>
  <si>
    <t>花生粥</t>
    <phoneticPr fontId="22" type="noConversion"/>
  </si>
  <si>
    <t>花生米</t>
    <phoneticPr fontId="22" type="noConversion"/>
  </si>
  <si>
    <t>高粱米</t>
    <phoneticPr fontId="1" type="noConversion"/>
  </si>
  <si>
    <t>高粱米</t>
    <phoneticPr fontId="22" type="noConversion"/>
  </si>
  <si>
    <t>（早餐）炝拌圆白菜</t>
  </si>
  <si>
    <t>圆白菜</t>
    <phoneticPr fontId="1" type="noConversion"/>
  </si>
  <si>
    <t>万年青</t>
    <phoneticPr fontId="1" type="noConversion"/>
  </si>
  <si>
    <t>万年青</t>
    <phoneticPr fontId="1" type="noConversion"/>
  </si>
  <si>
    <t>红椒</t>
    <phoneticPr fontId="1" type="noConversion"/>
  </si>
  <si>
    <t>大葱</t>
    <phoneticPr fontId="1" type="noConversion"/>
  </si>
  <si>
    <t>大中土豆</t>
    <phoneticPr fontId="1" type="noConversion"/>
  </si>
  <si>
    <t>尖椒</t>
    <phoneticPr fontId="1" type="noConversion"/>
  </si>
  <si>
    <t>豌豆苗</t>
    <phoneticPr fontId="1" type="noConversion"/>
  </si>
  <si>
    <t>苦菊</t>
    <phoneticPr fontId="1" type="noConversion"/>
  </si>
  <si>
    <t>豆腐脑</t>
    <phoneticPr fontId="22" type="noConversion"/>
  </si>
  <si>
    <t>白菜粉条包子</t>
  </si>
  <si>
    <t>大白菜</t>
    <phoneticPr fontId="22" type="noConversion"/>
  </si>
  <si>
    <t>蛋糕</t>
  </si>
  <si>
    <t>面粉</t>
    <phoneticPr fontId="22" type="noConversion"/>
  </si>
  <si>
    <t>花生粥</t>
    <phoneticPr fontId="22" type="noConversion"/>
  </si>
  <si>
    <t>豆浆</t>
    <phoneticPr fontId="22" type="noConversion"/>
  </si>
  <si>
    <t>圆白菜鸡蛋包子</t>
  </si>
  <si>
    <t>圆白菜</t>
    <phoneticPr fontId="22" type="noConversion"/>
  </si>
  <si>
    <t>枣饼</t>
  </si>
  <si>
    <t>面包圈</t>
  </si>
  <si>
    <t>拌苦菊</t>
  </si>
  <si>
    <t>苦菊</t>
    <phoneticPr fontId="1" type="noConversion"/>
  </si>
  <si>
    <t>香菜</t>
    <phoneticPr fontId="1" type="noConversion"/>
  </si>
  <si>
    <t>石花菜</t>
    <phoneticPr fontId="1" type="noConversion"/>
  </si>
  <si>
    <t>蕨菜</t>
    <phoneticPr fontId="1" type="noConversion"/>
  </si>
  <si>
    <t>石花菜</t>
    <phoneticPr fontId="1" type="noConversion"/>
  </si>
  <si>
    <t>胡萝卜</t>
    <phoneticPr fontId="1" type="noConversion"/>
  </si>
  <si>
    <t>红椒</t>
    <phoneticPr fontId="1" type="noConversion"/>
  </si>
  <si>
    <t>黄瓜</t>
    <phoneticPr fontId="1" type="noConversion"/>
  </si>
  <si>
    <t>蕨菜</t>
    <phoneticPr fontId="1" type="noConversion"/>
  </si>
  <si>
    <t>拌素蜇丝</t>
    <phoneticPr fontId="1" type="noConversion"/>
  </si>
  <si>
    <t>香菜</t>
    <phoneticPr fontId="1" type="noConversion"/>
  </si>
  <si>
    <t>黄瓜</t>
    <phoneticPr fontId="1" type="noConversion"/>
  </si>
  <si>
    <t>麻花</t>
  </si>
  <si>
    <t>面粉</t>
    <phoneticPr fontId="22" type="noConversion"/>
  </si>
  <si>
    <t>麦片饼干</t>
  </si>
  <si>
    <t>燕麦片</t>
    <phoneticPr fontId="22" type="noConversion"/>
  </si>
  <si>
    <t>燕麦片</t>
    <phoneticPr fontId="1" type="noConversion"/>
  </si>
  <si>
    <t>烤红薯</t>
  </si>
  <si>
    <t>红薯</t>
    <phoneticPr fontId="22" type="noConversion"/>
  </si>
  <si>
    <t>高粱粥</t>
  </si>
  <si>
    <t>大米</t>
    <phoneticPr fontId="22" type="noConversion"/>
  </si>
  <si>
    <t>江米</t>
    <phoneticPr fontId="22" type="noConversion"/>
  </si>
  <si>
    <t>高粱米</t>
    <phoneticPr fontId="22" type="noConversion"/>
  </si>
  <si>
    <t>高粱米</t>
    <phoneticPr fontId="1" type="noConversion"/>
  </si>
  <si>
    <t>白菜鸡蛋包子</t>
  </si>
  <si>
    <t>大白菜</t>
    <phoneticPr fontId="22" type="noConversion"/>
  </si>
  <si>
    <t>红烧带鱼</t>
  </si>
  <si>
    <t>五花地耳</t>
  </si>
  <si>
    <t>蒜蓉蒿子杆</t>
  </si>
  <si>
    <t>蚝油牛肉丸</t>
  </si>
  <si>
    <t>豉汁蒸排骨</t>
  </si>
  <si>
    <t>咖喱鸡块</t>
  </si>
  <si>
    <t>干炸小黄鱼</t>
  </si>
  <si>
    <t>五花烧冬瓜</t>
  </si>
  <si>
    <t>川香回锅肉</t>
  </si>
  <si>
    <t>干煸豇豆</t>
  </si>
  <si>
    <t>蒜蓉西兰花</t>
  </si>
  <si>
    <t>东北乱炖</t>
  </si>
  <si>
    <t>干烧罗非鱼</t>
  </si>
  <si>
    <t>焦溜肉段</t>
  </si>
  <si>
    <t>肉片木耳山药</t>
  </si>
  <si>
    <t>蟹柳西葫芦</t>
  </si>
  <si>
    <t>鸡油白菜粉</t>
  </si>
  <si>
    <t>青笋鸡块</t>
  </si>
  <si>
    <t>爆炒鱿鱼圈</t>
  </si>
  <si>
    <t>红焖羊肉</t>
  </si>
  <si>
    <t>青蒜炒鸡蛋</t>
  </si>
  <si>
    <t>鱼香茄条</t>
  </si>
  <si>
    <t>红烧黄菇鱼</t>
  </si>
  <si>
    <t>咖喱牛肉</t>
  </si>
  <si>
    <t>瓜片红肠</t>
  </si>
  <si>
    <t>五花海带头</t>
  </si>
  <si>
    <t>素鸡烧肉</t>
  </si>
  <si>
    <t>肉酱蒸茄条</t>
  </si>
  <si>
    <t>小炒羊杂</t>
  </si>
  <si>
    <t>香烤鲫鱼</t>
  </si>
  <si>
    <t>韭菜炒鸡蛋</t>
  </si>
  <si>
    <t>炝炒黄豆芽</t>
  </si>
  <si>
    <t>粉条小白菜</t>
  </si>
  <si>
    <t>烤鸭胸</t>
  </si>
  <si>
    <t>红烧琵琶腿</t>
  </si>
  <si>
    <t>糖醋萝卜丝</t>
  </si>
  <si>
    <t>（早餐)凉拌芹菜</t>
  </si>
  <si>
    <t>清炒圆白菜</t>
  </si>
  <si>
    <t>白菜海蜇皮</t>
  </si>
  <si>
    <t>香辣海白菜</t>
  </si>
  <si>
    <t>香辣香干</t>
  </si>
  <si>
    <t>葱油木耳</t>
  </si>
  <si>
    <t>虾皮白菜心</t>
  </si>
  <si>
    <t>拌双丁</t>
  </si>
  <si>
    <t>蒜蓉菠菜</t>
  </si>
  <si>
    <t>醋溜白菜</t>
  </si>
  <si>
    <t>五彩豆腐丝</t>
  </si>
  <si>
    <t>芹菜腐竹</t>
  </si>
  <si>
    <t>红油粉丝</t>
  </si>
  <si>
    <t>香辣豆腐</t>
  </si>
  <si>
    <t>炝拌油豆皮</t>
  </si>
  <si>
    <t>葱油芹菜</t>
  </si>
  <si>
    <t>椒油土豆丝</t>
  </si>
  <si>
    <t>小葱拌豆皮</t>
  </si>
  <si>
    <t>糖醋萝卜皮</t>
  </si>
  <si>
    <t>雪菜黄豆</t>
  </si>
  <si>
    <t>炝拌圆白菜</t>
  </si>
  <si>
    <t>炒西葫芦丁</t>
  </si>
  <si>
    <t>香椿豆腐丝</t>
  </si>
  <si>
    <t>东北拉皮</t>
  </si>
  <si>
    <t>蒜香苦菊</t>
  </si>
  <si>
    <t>炒土豆片</t>
  </si>
  <si>
    <t>炝拌芹菜</t>
  </si>
  <si>
    <t>香椿豆腐</t>
  </si>
  <si>
    <t>香辣小萝卜</t>
  </si>
  <si>
    <t>炝拌腐竹</t>
  </si>
  <si>
    <t>炝拌素腰花</t>
  </si>
  <si>
    <t>麻辣椒圈</t>
  </si>
  <si>
    <t>葱油西葫芦</t>
  </si>
  <si>
    <t>果仁菠菜</t>
  </si>
  <si>
    <t>香辣椒圈</t>
  </si>
  <si>
    <t>炝拌双丝</t>
  </si>
  <si>
    <t>金丝咸菜</t>
  </si>
  <si>
    <t>辣炒酸豆角</t>
  </si>
  <si>
    <t>粉丝圆白菜</t>
  </si>
  <si>
    <t>清炒西葫芦</t>
  </si>
  <si>
    <t>山楂银耳</t>
  </si>
  <si>
    <t>(早餐）拍黄瓜</t>
  </si>
  <si>
    <t>黄瓜</t>
    <phoneticPr fontId="1" type="noConversion"/>
  </si>
  <si>
    <t>香菜</t>
    <phoneticPr fontId="1" type="noConversion"/>
  </si>
  <si>
    <t>白萝卜</t>
    <phoneticPr fontId="1" type="noConversion"/>
  </si>
  <si>
    <t>芹菜</t>
    <phoneticPr fontId="1" type="noConversion"/>
  </si>
  <si>
    <t>胡萝卜</t>
    <phoneticPr fontId="1" type="noConversion"/>
  </si>
  <si>
    <t>绿豆芽</t>
    <phoneticPr fontId="1" type="noConversion"/>
  </si>
  <si>
    <t>圆白菜</t>
    <phoneticPr fontId="1" type="noConversion"/>
  </si>
  <si>
    <t>大白菜</t>
    <phoneticPr fontId="1" type="noConversion"/>
  </si>
  <si>
    <t>海蜇皮</t>
    <phoneticPr fontId="1" type="noConversion"/>
  </si>
  <si>
    <t>海蜇皮</t>
    <phoneticPr fontId="1" type="noConversion"/>
  </si>
  <si>
    <t>红椒</t>
    <phoneticPr fontId="1" type="noConversion"/>
  </si>
  <si>
    <t>海白菜</t>
    <phoneticPr fontId="1" type="noConversion"/>
  </si>
  <si>
    <t>大葱</t>
    <phoneticPr fontId="1" type="noConversion"/>
  </si>
  <si>
    <t>虾皮</t>
    <phoneticPr fontId="1" type="noConversion"/>
  </si>
  <si>
    <t>西芹</t>
    <phoneticPr fontId="1" type="noConversion"/>
  </si>
  <si>
    <t>腐竹</t>
    <phoneticPr fontId="1" type="noConversion"/>
  </si>
  <si>
    <t>拌萝卜皮</t>
    <phoneticPr fontId="1" type="noConversion"/>
  </si>
  <si>
    <t>心里美</t>
    <phoneticPr fontId="1" type="noConversion"/>
  </si>
  <si>
    <t>香葱</t>
    <phoneticPr fontId="1" type="noConversion"/>
  </si>
  <si>
    <t>青笋</t>
    <phoneticPr fontId="1" type="noConversion"/>
  </si>
  <si>
    <t>菠菜</t>
    <phoneticPr fontId="1" type="noConversion"/>
  </si>
  <si>
    <t>蚝油鸡片豆腐</t>
  </si>
  <si>
    <t>鱼香茄子</t>
  </si>
  <si>
    <t>香椿</t>
    <phoneticPr fontId="1" type="noConversion"/>
  </si>
  <si>
    <t>香椿</t>
    <phoneticPr fontId="1" type="noConversion"/>
  </si>
  <si>
    <t>拉皮</t>
    <phoneticPr fontId="1" type="noConversion"/>
  </si>
  <si>
    <t>红美人椒</t>
    <phoneticPr fontId="1" type="noConversion"/>
  </si>
  <si>
    <t>香菜</t>
    <phoneticPr fontId="1" type="noConversion"/>
  </si>
  <si>
    <t>花生米</t>
    <phoneticPr fontId="1" type="noConversion"/>
  </si>
  <si>
    <t>山楂</t>
    <phoneticPr fontId="1" type="noConversion"/>
  </si>
  <si>
    <t>山楂</t>
    <phoneticPr fontId="1" type="noConversion"/>
  </si>
  <si>
    <t>拌大白菜</t>
  </si>
  <si>
    <t>炒圆白菜</t>
  </si>
  <si>
    <t>大中土豆</t>
    <phoneticPr fontId="1" type="noConversion"/>
  </si>
  <si>
    <t>萝卜皮</t>
  </si>
  <si>
    <t>心里美</t>
    <phoneticPr fontId="1" type="noConversion"/>
  </si>
  <si>
    <t>雪里红</t>
    <phoneticPr fontId="1" type="noConversion"/>
  </si>
  <si>
    <t>黄豆</t>
    <phoneticPr fontId="1" type="noConversion"/>
  </si>
  <si>
    <t>西葫芦</t>
    <phoneticPr fontId="1" type="noConversion"/>
  </si>
  <si>
    <t>苦菊</t>
    <phoneticPr fontId="1" type="noConversion"/>
  </si>
  <si>
    <t>大中土豆</t>
    <phoneticPr fontId="1" type="noConversion"/>
  </si>
  <si>
    <t>酸豆角</t>
    <phoneticPr fontId="1" type="noConversion"/>
  </si>
  <si>
    <t>尖椒</t>
    <phoneticPr fontId="1" type="noConversion"/>
  </si>
  <si>
    <t>紫甘蓝</t>
    <phoneticPr fontId="1" type="noConversion"/>
  </si>
  <si>
    <t>烤鸭腿</t>
  </si>
  <si>
    <t>鱼香鸡柳</t>
  </si>
  <si>
    <t>滑蛋鸡片</t>
  </si>
  <si>
    <t>酸菜汆白肉</t>
  </si>
  <si>
    <t>鸡胸</t>
    <phoneticPr fontId="1" type="noConversion"/>
  </si>
  <si>
    <t>青椒</t>
    <phoneticPr fontId="1" type="noConversion"/>
  </si>
  <si>
    <t>鸭腿</t>
    <phoneticPr fontId="1" type="noConversion"/>
  </si>
  <si>
    <t>酸菜</t>
    <phoneticPr fontId="1" type="noConversion"/>
  </si>
  <si>
    <t>盐水鸭</t>
  </si>
  <si>
    <t>五花圆白菜</t>
  </si>
  <si>
    <t>肉丝香干芹菜</t>
  </si>
  <si>
    <t>胡萝卜</t>
    <phoneticPr fontId="1" type="noConversion"/>
  </si>
  <si>
    <t>圆白菜</t>
    <phoneticPr fontId="1" type="noConversion"/>
  </si>
  <si>
    <t>去皮后尖</t>
    <phoneticPr fontId="1" type="noConversion"/>
  </si>
  <si>
    <t>芹菜</t>
    <phoneticPr fontId="1" type="noConversion"/>
  </si>
  <si>
    <t>小白菜</t>
    <phoneticPr fontId="1" type="noConversion"/>
  </si>
  <si>
    <t>青笋</t>
    <phoneticPr fontId="1" type="noConversion"/>
  </si>
  <si>
    <t>长茄</t>
    <phoneticPr fontId="1" type="noConversion"/>
  </si>
  <si>
    <t>冬瓜汆丸子</t>
  </si>
  <si>
    <t>香辣小河虾</t>
  </si>
  <si>
    <t>土豆牛腩</t>
  </si>
  <si>
    <t>老干妈蒸鸡块</t>
  </si>
  <si>
    <t>五花白菜炖豆腐</t>
  </si>
  <si>
    <t>肉末土豆条</t>
  </si>
  <si>
    <t>去皮前尖</t>
    <phoneticPr fontId="1" type="noConversion"/>
  </si>
  <si>
    <t>冬瓜</t>
    <phoneticPr fontId="1" type="noConversion"/>
  </si>
  <si>
    <t>鸡边腿</t>
    <phoneticPr fontId="1" type="noConversion"/>
  </si>
  <si>
    <t>大白菜</t>
    <phoneticPr fontId="1" type="noConversion"/>
  </si>
  <si>
    <t>地耳</t>
    <phoneticPr fontId="1" type="noConversion"/>
  </si>
  <si>
    <t>蒿子杆</t>
    <phoneticPr fontId="1" type="noConversion"/>
  </si>
  <si>
    <t>红椒</t>
    <phoneticPr fontId="1" type="noConversion"/>
  </si>
  <si>
    <t>洋葱</t>
    <phoneticPr fontId="1" type="noConversion"/>
  </si>
  <si>
    <t>青蒜</t>
    <phoneticPr fontId="1" type="noConversion"/>
  </si>
  <si>
    <t>豇豆</t>
    <phoneticPr fontId="1" type="noConversion"/>
  </si>
  <si>
    <t>西兰花</t>
    <phoneticPr fontId="1" type="noConversion"/>
  </si>
  <si>
    <t>圆茄</t>
    <phoneticPr fontId="1" type="noConversion"/>
  </si>
  <si>
    <r>
      <rPr>
        <sz val="10"/>
        <rFont val="宋体"/>
        <family val="3"/>
        <charset val="134"/>
      </rPr>
      <t>木耳</t>
    </r>
    <r>
      <rPr>
        <sz val="10"/>
        <rFont val="Comic Sans MS"/>
        <family val="4"/>
      </rPr>
      <t>(</t>
    </r>
    <r>
      <rPr>
        <sz val="10"/>
        <rFont val="宋体"/>
        <family val="3"/>
        <charset val="134"/>
      </rPr>
      <t>斤</t>
    </r>
    <r>
      <rPr>
        <sz val="10"/>
        <rFont val="Comic Sans MS"/>
        <family val="4"/>
      </rPr>
      <t>)</t>
    </r>
    <phoneticPr fontId="17" type="noConversion"/>
  </si>
  <si>
    <t>西葫芦</t>
    <phoneticPr fontId="1" type="noConversion"/>
  </si>
  <si>
    <t>红肠</t>
    <phoneticPr fontId="1" type="noConversion"/>
  </si>
  <si>
    <t>黄瓜</t>
    <phoneticPr fontId="1" type="noConversion"/>
  </si>
  <si>
    <t>羊杂</t>
    <phoneticPr fontId="1" type="noConversion"/>
  </si>
  <si>
    <t>尖椒</t>
    <phoneticPr fontId="1" type="noConversion"/>
  </si>
  <si>
    <t>红美人椒</t>
    <phoneticPr fontId="1" type="noConversion"/>
  </si>
  <si>
    <t>鲫鱼</t>
    <phoneticPr fontId="1" type="noConversion"/>
  </si>
  <si>
    <t>韭菜</t>
    <phoneticPr fontId="1" type="noConversion"/>
  </si>
  <si>
    <t>黄豆芽</t>
    <phoneticPr fontId="1" type="noConversion"/>
  </si>
  <si>
    <t>鸭胸</t>
    <phoneticPr fontId="1" type="noConversion"/>
  </si>
  <si>
    <t>五花熏干芹菜</t>
    <phoneticPr fontId="1" type="noConversion"/>
  </si>
  <si>
    <t>香辣牛肉面</t>
  </si>
  <si>
    <t>三鲜打卤面</t>
  </si>
  <si>
    <t>肉片河粉</t>
  </si>
  <si>
    <t>羊肉粉汤</t>
  </si>
  <si>
    <t>孜然肥肠面</t>
  </si>
  <si>
    <t>西红柿香菇面</t>
  </si>
  <si>
    <t>香辣猪手套餐</t>
  </si>
  <si>
    <t>香干牛肉面</t>
  </si>
  <si>
    <t>木耳鸡蛋面</t>
  </si>
  <si>
    <t>老北京炸酱面</t>
  </si>
  <si>
    <t>孜然烤鱼饭</t>
  </si>
  <si>
    <t>山西油泼面</t>
  </si>
  <si>
    <t>尖椒茄子面</t>
  </si>
  <si>
    <t>老羊汤</t>
  </si>
  <si>
    <t>肉丝炒饼</t>
  </si>
  <si>
    <t>蒜蓉鸡腿饭</t>
  </si>
  <si>
    <t>川味担担面</t>
  </si>
  <si>
    <t>榨菜肉丝面</t>
  </si>
  <si>
    <t>鸡蛋炒米线</t>
  </si>
  <si>
    <t>五花肉丁面</t>
  </si>
  <si>
    <t>青椒鸡蛋面</t>
  </si>
  <si>
    <t>砂锅羊蝎子</t>
  </si>
  <si>
    <t>可乐鸡翅套餐</t>
  </si>
  <si>
    <t>豇豆拌面</t>
  </si>
  <si>
    <t>鸭血粉丝汤</t>
  </si>
  <si>
    <t>碎肉拌面</t>
  </si>
  <si>
    <t>肉丁面</t>
  </si>
  <si>
    <t>三色肉丝面</t>
  </si>
  <si>
    <t>咖喱黄金炒饭</t>
  </si>
  <si>
    <t>香葱</t>
    <phoneticPr fontId="22" type="noConversion"/>
  </si>
  <si>
    <t>鲜香菇</t>
    <phoneticPr fontId="22" type="noConversion"/>
  </si>
  <si>
    <t>鸡蛋(筐)</t>
    <phoneticPr fontId="22" type="noConversion"/>
  </si>
  <si>
    <t>面粉</t>
    <phoneticPr fontId="22" type="noConversion"/>
  </si>
  <si>
    <t>去皮前尖</t>
    <phoneticPr fontId="22" type="noConversion"/>
  </si>
  <si>
    <t>牛河</t>
    <phoneticPr fontId="22" type="noConversion"/>
  </si>
  <si>
    <t>香芹</t>
    <phoneticPr fontId="22" type="noConversion"/>
  </si>
  <si>
    <t>青蒜</t>
    <phoneticPr fontId="22" type="noConversion"/>
  </si>
  <si>
    <t>羊后腿肉</t>
    <phoneticPr fontId="22" type="noConversion"/>
  </si>
  <si>
    <t>尖椒</t>
    <phoneticPr fontId="22" type="noConversion"/>
  </si>
  <si>
    <t>油菜</t>
    <phoneticPr fontId="22" type="noConversion"/>
  </si>
  <si>
    <t>西红柿</t>
    <phoneticPr fontId="22" type="noConversion"/>
  </si>
  <si>
    <t>猪蹄</t>
    <phoneticPr fontId="22" type="noConversion"/>
  </si>
  <si>
    <t>青笋</t>
    <phoneticPr fontId="22" type="noConversion"/>
  </si>
  <si>
    <t>大米</t>
    <phoneticPr fontId="22" type="noConversion"/>
  </si>
  <si>
    <t>胡萝卜</t>
    <phoneticPr fontId="22" type="noConversion"/>
  </si>
  <si>
    <t>香干散装</t>
    <phoneticPr fontId="22" type="noConversion"/>
  </si>
  <si>
    <t>一级五花</t>
    <phoneticPr fontId="30" type="noConversion"/>
  </si>
  <si>
    <t>黄瓜</t>
    <phoneticPr fontId="22" type="noConversion"/>
  </si>
  <si>
    <t>大葱</t>
    <phoneticPr fontId="22" type="noConversion"/>
  </si>
  <si>
    <t>黄豆芽</t>
    <phoneticPr fontId="22" type="noConversion"/>
  </si>
  <si>
    <t>草鱼</t>
    <phoneticPr fontId="22" type="noConversion"/>
  </si>
  <si>
    <t>大米</t>
    <phoneticPr fontId="22" type="noConversion"/>
  </si>
  <si>
    <t>西兰花</t>
    <phoneticPr fontId="22" type="noConversion"/>
  </si>
  <si>
    <t>羊后腿肉</t>
    <phoneticPr fontId="22" type="noConversion"/>
  </si>
  <si>
    <t>羊杂</t>
    <phoneticPr fontId="22" type="noConversion"/>
  </si>
  <si>
    <t>香菜</t>
    <phoneticPr fontId="22" type="noConversion"/>
  </si>
  <si>
    <t>去皮后尖</t>
    <phoneticPr fontId="22" type="noConversion"/>
  </si>
  <si>
    <t>圆白菜</t>
    <phoneticPr fontId="22" type="noConversion"/>
  </si>
  <si>
    <t>饼丝</t>
    <phoneticPr fontId="22" type="noConversion"/>
  </si>
  <si>
    <t>鸡边腿</t>
    <phoneticPr fontId="22" type="noConversion"/>
  </si>
  <si>
    <t>青椒</t>
    <phoneticPr fontId="22" type="noConversion"/>
  </si>
  <si>
    <t>红椒</t>
    <phoneticPr fontId="22" type="noConversion"/>
  </si>
  <si>
    <t>酸豆角</t>
    <phoneticPr fontId="22" type="noConversion"/>
  </si>
  <si>
    <t>蒜苗</t>
    <phoneticPr fontId="22" type="noConversion"/>
  </si>
  <si>
    <t>芽菜</t>
    <phoneticPr fontId="22" type="noConversion"/>
  </si>
  <si>
    <t>去皮后尖</t>
    <phoneticPr fontId="22" type="noConversion"/>
  </si>
  <si>
    <t>一级五花</t>
    <phoneticPr fontId="22" type="noConversion"/>
  </si>
  <si>
    <t>香葱</t>
    <phoneticPr fontId="22" type="noConversion"/>
  </si>
  <si>
    <t>鸡翅</t>
    <phoneticPr fontId="22" type="noConversion"/>
  </si>
  <si>
    <t>平蘑</t>
    <phoneticPr fontId="22" type="noConversion"/>
  </si>
  <si>
    <t>芥兰</t>
    <phoneticPr fontId="22" type="noConversion"/>
  </si>
  <si>
    <t>豇豆</t>
    <phoneticPr fontId="22" type="noConversion"/>
  </si>
  <si>
    <t>一级五花</t>
    <phoneticPr fontId="22" type="noConversion"/>
  </si>
  <si>
    <t>圆茄</t>
    <phoneticPr fontId="22" type="noConversion"/>
  </si>
  <si>
    <r>
      <rPr>
        <sz val="10"/>
        <rFont val="宋体"/>
        <family val="3"/>
        <charset val="134"/>
      </rPr>
      <t>鸡蛋</t>
    </r>
    <r>
      <rPr>
        <sz val="10"/>
        <rFont val="Comic Sans MS"/>
        <family val="4"/>
      </rPr>
      <t>(</t>
    </r>
    <r>
      <rPr>
        <sz val="10"/>
        <rFont val="宋体"/>
        <family val="3"/>
        <charset val="134"/>
      </rPr>
      <t>筐</t>
    </r>
    <r>
      <rPr>
        <sz val="10"/>
        <rFont val="Comic Sans MS"/>
        <family val="4"/>
      </rPr>
      <t>)</t>
    </r>
    <phoneticPr fontId="22" type="noConversion"/>
  </si>
  <si>
    <t>五花炒地耳</t>
  </si>
  <si>
    <r>
      <rPr>
        <sz val="10"/>
        <rFont val="宋体"/>
        <family val="3"/>
        <charset val="134"/>
      </rPr>
      <t>地</t>
    </r>
    <r>
      <rPr>
        <sz val="10"/>
        <rFont val="宋体"/>
        <family val="3"/>
        <charset val="134"/>
      </rPr>
      <t>耳</t>
    </r>
    <phoneticPr fontId="1" type="noConversion"/>
  </si>
  <si>
    <t>（早餐)清炒快菜</t>
  </si>
  <si>
    <t>快菜</t>
    <phoneticPr fontId="1" type="noConversion"/>
  </si>
  <si>
    <t>猪肉茴香包子</t>
  </si>
  <si>
    <t>茴香</t>
    <phoneticPr fontId="22" type="noConversion"/>
  </si>
  <si>
    <t>（早餐）糖醋萝卜皮</t>
  </si>
  <si>
    <t>心里美</t>
    <phoneticPr fontId="1" type="noConversion"/>
  </si>
  <si>
    <t>炝拌素鸡</t>
  </si>
  <si>
    <t>西芹腐竹</t>
  </si>
  <si>
    <t>风味小萝卜</t>
  </si>
  <si>
    <t>樱桃萝卜</t>
    <phoneticPr fontId="1" type="noConversion"/>
  </si>
  <si>
    <t>香菜</t>
    <phoneticPr fontId="1" type="noConversion"/>
  </si>
  <si>
    <t>红椒</t>
    <phoneticPr fontId="1" type="noConversion"/>
  </si>
  <si>
    <t>腐竹</t>
    <phoneticPr fontId="1" type="noConversion"/>
  </si>
  <si>
    <t>西芹</t>
    <phoneticPr fontId="1" type="noConversion"/>
  </si>
  <si>
    <t>蚝油鸡柳</t>
  </si>
  <si>
    <t>木耳小炒肉</t>
  </si>
  <si>
    <t>椒油菜花</t>
  </si>
  <si>
    <t>锅仔一品炖</t>
  </si>
  <si>
    <t>咖喱牛腩套餐</t>
  </si>
  <si>
    <t>自制酱牛肉</t>
    <phoneticPr fontId="1" type="noConversion"/>
  </si>
  <si>
    <t>酒香茄子</t>
  </si>
  <si>
    <t>清炒菠菜</t>
  </si>
  <si>
    <t>菠菜</t>
    <phoneticPr fontId="1" type="noConversion"/>
  </si>
  <si>
    <t>鸡腿肉</t>
    <phoneticPr fontId="1" type="noConversion"/>
  </si>
  <si>
    <t>青椒</t>
    <phoneticPr fontId="1" type="noConversion"/>
  </si>
  <si>
    <t>红椒</t>
    <phoneticPr fontId="1" type="noConversion"/>
  </si>
  <si>
    <t>粉鱼</t>
    <phoneticPr fontId="1" type="noConversion"/>
  </si>
  <si>
    <t>黄菇鱼</t>
    <phoneticPr fontId="1" type="noConversion"/>
  </si>
  <si>
    <t>香芹</t>
    <phoneticPr fontId="1" type="noConversion"/>
  </si>
  <si>
    <t>木耳(斤)</t>
    <phoneticPr fontId="1" type="noConversion"/>
  </si>
  <si>
    <t>红美人椒</t>
    <phoneticPr fontId="1" type="noConversion"/>
  </si>
  <si>
    <t>菜花</t>
    <phoneticPr fontId="1" type="noConversion"/>
  </si>
  <si>
    <t>平蘑</t>
    <phoneticPr fontId="22" type="noConversion"/>
  </si>
  <si>
    <t>牛腩(鲜)</t>
    <phoneticPr fontId="22" type="noConversion"/>
  </si>
  <si>
    <t>洋葱</t>
    <phoneticPr fontId="22" type="noConversion"/>
  </si>
  <si>
    <t>大米</t>
    <phoneticPr fontId="22" type="noConversion"/>
  </si>
  <si>
    <t>尖椒鸡蛋面</t>
  </si>
  <si>
    <t>尖椒</t>
    <phoneticPr fontId="22" type="noConversion"/>
  </si>
  <si>
    <t>鸡蛋(筐)</t>
    <phoneticPr fontId="22" type="noConversion"/>
  </si>
  <si>
    <t>面粉</t>
    <phoneticPr fontId="22" type="noConversion"/>
  </si>
  <si>
    <t>小炒鸡胗</t>
    <phoneticPr fontId="1" type="noConversion"/>
  </si>
  <si>
    <t>鸡珍</t>
    <phoneticPr fontId="1" type="noConversion"/>
  </si>
  <si>
    <t>蒜苗</t>
    <phoneticPr fontId="1" type="noConversion"/>
  </si>
  <si>
    <t>长茄</t>
    <phoneticPr fontId="1" type="noConversion"/>
  </si>
  <si>
    <t>去皮前尖</t>
    <phoneticPr fontId="1" type="noConversion"/>
  </si>
  <si>
    <t>蚝油生菜</t>
    <phoneticPr fontId="1" type="noConversion"/>
  </si>
  <si>
    <t>圆生菜</t>
    <phoneticPr fontId="1" type="noConversion"/>
  </si>
  <si>
    <t>（早餐）椒油圆白菜</t>
  </si>
  <si>
    <t>（早餐）炝拌黄瓜丁</t>
  </si>
  <si>
    <t>圆白菜</t>
    <phoneticPr fontId="1" type="noConversion"/>
  </si>
  <si>
    <t>黄瓜</t>
    <phoneticPr fontId="1" type="noConversion"/>
  </si>
  <si>
    <t>卤香鸡腿</t>
  </si>
  <si>
    <t>红焖猪手</t>
  </si>
  <si>
    <t xml:space="preserve">鲮鱼油麦菜 </t>
  </si>
  <si>
    <t>鸡边腿</t>
    <phoneticPr fontId="1" type="noConversion"/>
  </si>
  <si>
    <t>猪蹄</t>
    <phoneticPr fontId="1" type="noConversion"/>
  </si>
  <si>
    <t>莲藕</t>
    <phoneticPr fontId="1" type="noConversion"/>
  </si>
  <si>
    <t>油麦菜</t>
    <phoneticPr fontId="1" type="noConversion"/>
  </si>
  <si>
    <t>尖椒肥肠面</t>
  </si>
  <si>
    <t>锅仔羊肉</t>
  </si>
  <si>
    <t>韩式烤鸡肉套餐</t>
  </si>
  <si>
    <t>鸡蛋火腿炒饭</t>
  </si>
  <si>
    <t>五花肉土豆片</t>
  </si>
  <si>
    <t>红肠炒瓜片</t>
  </si>
  <si>
    <t>尖椒</t>
    <phoneticPr fontId="22" type="noConversion"/>
  </si>
  <si>
    <t>油菜</t>
    <phoneticPr fontId="22" type="noConversion"/>
  </si>
  <si>
    <t>面粉</t>
    <phoneticPr fontId="22" type="noConversion"/>
  </si>
  <si>
    <t>豇豆</t>
    <phoneticPr fontId="22" type="noConversion"/>
  </si>
  <si>
    <t>三丁面</t>
    <phoneticPr fontId="22" type="noConversion"/>
  </si>
  <si>
    <t>一级五花</t>
    <phoneticPr fontId="22" type="noConversion"/>
  </si>
  <si>
    <t>羊肉片</t>
    <phoneticPr fontId="22" type="noConversion"/>
  </si>
  <si>
    <t>平蘑</t>
    <phoneticPr fontId="22" type="noConversion"/>
  </si>
  <si>
    <t>鸡腿肉</t>
    <phoneticPr fontId="22" type="noConversion"/>
  </si>
  <si>
    <t>大米</t>
    <phoneticPr fontId="22" type="noConversion"/>
  </si>
  <si>
    <t>炝拌藕片</t>
  </si>
  <si>
    <t>莲藕</t>
    <phoneticPr fontId="1" type="noConversion"/>
  </si>
  <si>
    <t>胡萝卜</t>
    <phoneticPr fontId="1" type="noConversion"/>
  </si>
  <si>
    <t>红肠</t>
    <phoneticPr fontId="1" type="noConversion"/>
  </si>
  <si>
    <t>黄瓜</t>
    <phoneticPr fontId="1" type="noConversion"/>
  </si>
  <si>
    <t>黑椒牛柳</t>
  </si>
  <si>
    <t>洋葱</t>
    <phoneticPr fontId="1" type="noConversion"/>
  </si>
  <si>
    <t>榨菜肉丁面</t>
  </si>
  <si>
    <t>过桥米线</t>
  </si>
  <si>
    <t>芝麻排骨饭</t>
  </si>
  <si>
    <t>蚝油三色面</t>
  </si>
  <si>
    <t>（早餐）蒜香苦菊</t>
    <phoneticPr fontId="22" type="noConversion"/>
  </si>
  <si>
    <t>苦菊</t>
    <phoneticPr fontId="1" type="noConversion"/>
  </si>
  <si>
    <t>红烧冬瓜</t>
  </si>
  <si>
    <t>冬瓜</t>
    <phoneticPr fontId="1" type="noConversion"/>
  </si>
  <si>
    <t>什锦打卤面</t>
  </si>
  <si>
    <t>锅仔丸子粉</t>
  </si>
  <si>
    <t>蒜苗肉丝面</t>
  </si>
  <si>
    <t>岐山臊子面</t>
    <phoneticPr fontId="1" type="noConversion"/>
  </si>
  <si>
    <t>炒猫耳朵</t>
  </si>
  <si>
    <t>小丸子套餐</t>
  </si>
  <si>
    <t>去皮后尖</t>
    <phoneticPr fontId="22" type="noConversion"/>
  </si>
  <si>
    <t>蒜苗</t>
    <phoneticPr fontId="22" type="noConversion"/>
  </si>
  <si>
    <t>面粉</t>
    <phoneticPr fontId="22" type="noConversion"/>
  </si>
  <si>
    <t>香菜</t>
    <phoneticPr fontId="22" type="noConversion"/>
  </si>
  <si>
    <t>西红柿</t>
    <phoneticPr fontId="22" type="noConversion"/>
  </si>
  <si>
    <t>鸡蛋(筐)</t>
    <phoneticPr fontId="22" type="noConversion"/>
  </si>
  <si>
    <t>尖椒</t>
    <phoneticPr fontId="22" type="noConversion"/>
  </si>
  <si>
    <t>去皮前尖</t>
    <phoneticPr fontId="22" type="noConversion"/>
  </si>
  <si>
    <t>油菜</t>
    <phoneticPr fontId="22" type="noConversion"/>
  </si>
  <si>
    <t>去皮后尖</t>
    <phoneticPr fontId="22" type="noConversion"/>
  </si>
  <si>
    <t>油菜</t>
    <phoneticPr fontId="22" type="noConversion"/>
  </si>
  <si>
    <t>绿豆芽</t>
    <phoneticPr fontId="22" type="noConversion"/>
  </si>
  <si>
    <t>油菜</t>
    <phoneticPr fontId="22" type="noConversion"/>
  </si>
  <si>
    <t>红椒</t>
    <phoneticPr fontId="22" type="noConversion"/>
  </si>
  <si>
    <t>大米</t>
    <phoneticPr fontId="22" type="noConversion"/>
  </si>
  <si>
    <t>芹菜</t>
    <phoneticPr fontId="22" type="noConversion"/>
  </si>
  <si>
    <t>胡萝卜</t>
    <phoneticPr fontId="22" type="noConversion"/>
  </si>
  <si>
    <t>面粉</t>
    <phoneticPr fontId="22" type="noConversion"/>
  </si>
  <si>
    <t>青蒜</t>
    <phoneticPr fontId="22" type="noConversion"/>
  </si>
  <si>
    <t>蒜苗</t>
    <phoneticPr fontId="22" type="noConversion"/>
  </si>
  <si>
    <t>去皮后尖</t>
    <phoneticPr fontId="22" type="noConversion"/>
  </si>
  <si>
    <t>去皮前尖</t>
    <phoneticPr fontId="22" type="noConversion"/>
  </si>
  <si>
    <t>彩色素牛肚</t>
  </si>
  <si>
    <t>香菜</t>
    <phoneticPr fontId="1" type="noConversion"/>
  </si>
  <si>
    <t>红椒</t>
    <phoneticPr fontId="1" type="noConversion"/>
  </si>
  <si>
    <t>孜然鸡米花</t>
  </si>
  <si>
    <t>熏干肉片</t>
  </si>
  <si>
    <t>去皮前尖</t>
    <phoneticPr fontId="1" type="noConversion"/>
  </si>
  <si>
    <t>鱼香鸡片</t>
  </si>
  <si>
    <t>鸡胸</t>
    <phoneticPr fontId="1" type="noConversion"/>
  </si>
  <si>
    <r>
      <rPr>
        <sz val="10"/>
        <rFont val="宋体"/>
        <family val="3"/>
        <charset val="134"/>
      </rPr>
      <t>木耳</t>
    </r>
    <r>
      <rPr>
        <sz val="10"/>
        <rFont val="Comic Sans MS"/>
        <family val="4"/>
      </rPr>
      <t>(</t>
    </r>
    <r>
      <rPr>
        <sz val="10"/>
        <rFont val="宋体"/>
        <family val="3"/>
        <charset val="134"/>
      </rPr>
      <t>斤</t>
    </r>
    <r>
      <rPr>
        <sz val="10"/>
        <rFont val="Comic Sans MS"/>
        <family val="4"/>
      </rPr>
      <t>)</t>
    </r>
    <phoneticPr fontId="17" type="noConversion"/>
  </si>
  <si>
    <t>冬笋</t>
    <phoneticPr fontId="1" type="noConversion"/>
  </si>
  <si>
    <t>青椒</t>
    <phoneticPr fontId="1" type="noConversion"/>
  </si>
  <si>
    <t>鲜蘑鸡块</t>
  </si>
  <si>
    <t>鸡边腿</t>
    <phoneticPr fontId="1" type="noConversion"/>
  </si>
  <si>
    <t>平蘑</t>
    <phoneticPr fontId="1" type="noConversion"/>
  </si>
  <si>
    <t>肉末粉条黄豆芽</t>
  </si>
  <si>
    <t>黄豆芽</t>
    <phoneticPr fontId="1" type="noConversion"/>
  </si>
  <si>
    <t>菠菜</t>
    <phoneticPr fontId="1" type="noConversion"/>
  </si>
  <si>
    <t>猪肉雪菜包子</t>
  </si>
  <si>
    <t>素什锦包子</t>
  </si>
  <si>
    <t>韭菜鸡蛋包子</t>
  </si>
  <si>
    <t>排叉</t>
  </si>
  <si>
    <t>茄子尖椒包子</t>
  </si>
  <si>
    <t>椒盐烧饼</t>
  </si>
  <si>
    <t>油酥饼</t>
  </si>
  <si>
    <t>雪里红</t>
    <phoneticPr fontId="22" type="noConversion"/>
  </si>
  <si>
    <t>芹菜</t>
    <phoneticPr fontId="22" type="noConversion"/>
  </si>
  <si>
    <t>木耳(斤)</t>
    <phoneticPr fontId="1" type="noConversion"/>
  </si>
  <si>
    <t>韭菜</t>
    <phoneticPr fontId="22" type="noConversion"/>
  </si>
  <si>
    <t>圆茄</t>
    <phoneticPr fontId="22" type="noConversion"/>
  </si>
  <si>
    <t>尖椒</t>
    <phoneticPr fontId="22" type="noConversion"/>
  </si>
  <si>
    <t>香辣豆皮</t>
  </si>
  <si>
    <t>杂粮贴饼</t>
  </si>
  <si>
    <t>玉米面</t>
    <phoneticPr fontId="22" type="noConversion"/>
  </si>
  <si>
    <t>米粉肉</t>
  </si>
  <si>
    <t>香酥鸭</t>
  </si>
  <si>
    <t>肉末小白菜烧豆腐</t>
  </si>
  <si>
    <t>粉条绿豆芽</t>
  </si>
  <si>
    <t>去皮前尖</t>
    <phoneticPr fontId="1" type="noConversion"/>
  </si>
  <si>
    <t>小白菜</t>
    <phoneticPr fontId="1" type="noConversion"/>
  </si>
  <si>
    <t>大白菜</t>
    <phoneticPr fontId="1" type="noConversion"/>
  </si>
  <si>
    <t>绿豆芽</t>
    <phoneticPr fontId="1" type="noConversion"/>
  </si>
  <si>
    <t>豆腐丝</t>
    <phoneticPr fontId="1" type="noConversion"/>
  </si>
  <si>
    <t>花生米</t>
    <phoneticPr fontId="1" type="noConversion"/>
  </si>
  <si>
    <t>小米</t>
    <phoneticPr fontId="1" type="noConversion"/>
  </si>
  <si>
    <t>豆皮</t>
    <phoneticPr fontId="22" type="noConversion"/>
  </si>
  <si>
    <t>脆皮豆腐</t>
    <phoneticPr fontId="1" type="noConversion"/>
  </si>
  <si>
    <t>香干</t>
    <phoneticPr fontId="1" type="noConversion"/>
  </si>
  <si>
    <t>卤水豆腐</t>
  </si>
  <si>
    <t>卤水豆腐</t>
    <phoneticPr fontId="1" type="noConversion"/>
  </si>
  <si>
    <t>豆皮</t>
    <phoneticPr fontId="1" type="noConversion"/>
  </si>
  <si>
    <t>豆腐丝</t>
    <phoneticPr fontId="1" type="noConversion"/>
  </si>
  <si>
    <t>香干</t>
    <phoneticPr fontId="1" type="noConversion"/>
  </si>
  <si>
    <t>黄飞鸿</t>
    <phoneticPr fontId="1" type="noConversion"/>
  </si>
  <si>
    <t>卤水豆腐</t>
    <phoneticPr fontId="1" type="noConversion"/>
  </si>
  <si>
    <t>熏干</t>
    <phoneticPr fontId="1" type="noConversion"/>
  </si>
  <si>
    <t>香干</t>
    <phoneticPr fontId="1" type="noConversion"/>
  </si>
  <si>
    <t>素鸡</t>
    <phoneticPr fontId="1" type="noConversion"/>
  </si>
  <si>
    <t>豆腐丝</t>
    <phoneticPr fontId="1" type="noConversion"/>
  </si>
  <si>
    <t>小米椒</t>
    <phoneticPr fontId="22" type="noConversion"/>
  </si>
  <si>
    <t>酸辣蕨根粉</t>
    <phoneticPr fontId="1" type="noConversion"/>
  </si>
  <si>
    <t>蕨根粉</t>
    <phoneticPr fontId="1" type="noConversion"/>
  </si>
  <si>
    <t>香干</t>
    <phoneticPr fontId="1" type="noConversion"/>
  </si>
  <si>
    <t>糯米</t>
    <phoneticPr fontId="1" type="noConversion"/>
  </si>
  <si>
    <t>洋葱</t>
    <phoneticPr fontId="17" type="noConversion"/>
  </si>
  <si>
    <t>磨芋</t>
    <phoneticPr fontId="1" type="noConversion"/>
  </si>
  <si>
    <t>花生米</t>
    <phoneticPr fontId="1" type="noConversion"/>
  </si>
  <si>
    <t>黄豆酱</t>
    <phoneticPr fontId="1" type="noConversion"/>
  </si>
  <si>
    <t>海白菜</t>
    <phoneticPr fontId="1" type="noConversion"/>
  </si>
  <si>
    <t>虫草花</t>
    <phoneticPr fontId="1" type="noConversion"/>
  </si>
  <si>
    <t>酸辣土豆丝</t>
  </si>
  <si>
    <t>豆皮</t>
    <phoneticPr fontId="1" type="noConversion"/>
  </si>
  <si>
    <t>素鸡</t>
    <phoneticPr fontId="1" type="noConversion"/>
  </si>
  <si>
    <t>素鸡</t>
    <phoneticPr fontId="1" type="noConversion"/>
  </si>
  <si>
    <t>卤水豆腐</t>
    <phoneticPr fontId="1" type="noConversion"/>
  </si>
  <si>
    <t>豆皮</t>
    <phoneticPr fontId="1" type="noConversion"/>
  </si>
  <si>
    <t>香干</t>
    <phoneticPr fontId="1" type="noConversion"/>
  </si>
  <si>
    <t>豆腐丝</t>
    <phoneticPr fontId="1" type="noConversion"/>
  </si>
  <si>
    <t>牛柳</t>
    <phoneticPr fontId="1" type="noConversion"/>
  </si>
  <si>
    <t>猫耳朵</t>
    <phoneticPr fontId="22" type="noConversion"/>
  </si>
  <si>
    <t>（早餐）木耳圆白菜</t>
  </si>
  <si>
    <t>圆白菜</t>
    <phoneticPr fontId="1" type="noConversion"/>
  </si>
  <si>
    <t>粉丝小白菜</t>
  </si>
  <si>
    <t>小白菜</t>
    <phoneticPr fontId="1" type="noConversion"/>
  </si>
  <si>
    <t>虾皮</t>
    <phoneticPr fontId="1" type="noConversion"/>
  </si>
  <si>
    <t>宫保鸡丁</t>
    <phoneticPr fontId="22" type="noConversion"/>
  </si>
  <si>
    <t>红烧罗非鱼</t>
    <phoneticPr fontId="22" type="noConversion"/>
  </si>
  <si>
    <t>花仁盖菜</t>
    <phoneticPr fontId="22" type="noConversion"/>
  </si>
  <si>
    <t>清炒油菜</t>
    <phoneticPr fontId="22" type="noConversion"/>
  </si>
  <si>
    <t>重庆烤鱼</t>
    <phoneticPr fontId="22" type="noConversion"/>
  </si>
  <si>
    <t>鲜蘑肉片</t>
    <phoneticPr fontId="22" type="noConversion"/>
  </si>
  <si>
    <t>粉丝菠菜</t>
    <phoneticPr fontId="22" type="noConversion"/>
  </si>
  <si>
    <t>虾皮冬瓜</t>
    <phoneticPr fontId="22" type="noConversion"/>
  </si>
  <si>
    <t>手撕圆白菜</t>
    <phoneticPr fontId="22" type="noConversion"/>
  </si>
  <si>
    <t>蟹柳西葫芦</t>
    <phoneticPr fontId="22" type="noConversion"/>
  </si>
  <si>
    <t>虾皮小白菜</t>
    <phoneticPr fontId="22" type="noConversion"/>
  </si>
  <si>
    <t>家常豆腐</t>
    <phoneticPr fontId="22" type="noConversion"/>
  </si>
  <si>
    <t>酸辣白菜粉</t>
    <phoneticPr fontId="22" type="noConversion"/>
  </si>
  <si>
    <t>圆白菜豆腐丝</t>
    <phoneticPr fontId="22" type="noConversion"/>
  </si>
  <si>
    <t>尖椒炒培根</t>
    <phoneticPr fontId="22" type="noConversion"/>
  </si>
  <si>
    <t>青椒土豆片</t>
    <phoneticPr fontId="22" type="noConversion"/>
  </si>
  <si>
    <t>木耳炒鸡蛋</t>
    <phoneticPr fontId="22" type="noConversion"/>
  </si>
  <si>
    <t>豆花里脊</t>
    <phoneticPr fontId="22" type="noConversion"/>
  </si>
  <si>
    <t>冬瓜牛肉丸</t>
    <phoneticPr fontId="22" type="noConversion"/>
  </si>
  <si>
    <t>奶汤小白菜豆腐</t>
    <phoneticPr fontId="22" type="noConversion"/>
  </si>
  <si>
    <t>五彩鸡片</t>
    <phoneticPr fontId="22" type="noConversion"/>
  </si>
  <si>
    <t>红焖鸭块</t>
    <phoneticPr fontId="22" type="noConversion"/>
  </si>
  <si>
    <t>韭菜炒鸡蛋</t>
    <phoneticPr fontId="22" type="noConversion"/>
  </si>
  <si>
    <t>肉末土豆条</t>
    <phoneticPr fontId="22" type="noConversion"/>
  </si>
  <si>
    <t>熏干芹菜</t>
    <phoneticPr fontId="22" type="noConversion"/>
  </si>
  <si>
    <t>土豆翅根</t>
    <phoneticPr fontId="22" type="noConversion"/>
  </si>
  <si>
    <t>肉片木耳西葫芦</t>
    <phoneticPr fontId="22" type="noConversion"/>
  </si>
  <si>
    <t>榨菜丝</t>
    <phoneticPr fontId="22" type="noConversion"/>
  </si>
  <si>
    <t>豆腐乳</t>
    <phoneticPr fontId="22" type="noConversion"/>
  </si>
  <si>
    <t>彩色圆白菜</t>
    <phoneticPr fontId="22" type="noConversion"/>
  </si>
  <si>
    <t>红油脆豆腐</t>
    <phoneticPr fontId="22" type="noConversion"/>
  </si>
  <si>
    <t>川北凉粉</t>
    <phoneticPr fontId="22" type="noConversion"/>
  </si>
  <si>
    <t>大拌菜</t>
    <phoneticPr fontId="22" type="noConversion"/>
  </si>
  <si>
    <t>鲜汁辣豆腐</t>
    <phoneticPr fontId="22" type="noConversion"/>
  </si>
  <si>
    <t>咸菜丝</t>
    <phoneticPr fontId="22" type="noConversion"/>
  </si>
  <si>
    <t>炝拌白菜丝</t>
    <phoneticPr fontId="22" type="noConversion"/>
  </si>
  <si>
    <t>酸辣瓜条</t>
    <phoneticPr fontId="22" type="noConversion"/>
  </si>
  <si>
    <t>东北拉皮</t>
    <phoneticPr fontId="22" type="noConversion"/>
  </si>
  <si>
    <t>酸辣蕨根粉</t>
    <phoneticPr fontId="22" type="noConversion"/>
  </si>
  <si>
    <t>姜汁皮蛋</t>
    <phoneticPr fontId="22" type="noConversion"/>
  </si>
  <si>
    <t>香辣海白菜</t>
    <phoneticPr fontId="22" type="noConversion"/>
  </si>
  <si>
    <t>老虎菜</t>
    <phoneticPr fontId="22" type="noConversion"/>
  </si>
  <si>
    <t>小葱豆腐丝</t>
  </si>
  <si>
    <t>小葱豆腐</t>
    <phoneticPr fontId="22" type="noConversion"/>
  </si>
  <si>
    <t>炝拌藕片</t>
    <phoneticPr fontId="22" type="noConversion"/>
  </si>
  <si>
    <t>椒油萝卜丝</t>
  </si>
  <si>
    <t>椒油萝卜丝</t>
    <phoneticPr fontId="22" type="noConversion"/>
  </si>
  <si>
    <t>鲜辣豆腐</t>
    <phoneticPr fontId="22" type="noConversion"/>
  </si>
  <si>
    <t>鸭翅</t>
    <phoneticPr fontId="22" type="noConversion"/>
  </si>
  <si>
    <t>鸭胗</t>
    <phoneticPr fontId="22" type="noConversion"/>
  </si>
  <si>
    <t>糖醋萝卜皮</t>
    <phoneticPr fontId="22" type="noConversion"/>
  </si>
  <si>
    <t>鸡蛋炒饭</t>
  </si>
  <si>
    <t>肉丝炒米粉</t>
  </si>
  <si>
    <t>锅仔丸子粉</t>
    <phoneticPr fontId="22" type="noConversion"/>
  </si>
  <si>
    <t>花卷</t>
  </si>
  <si>
    <t>花卷</t>
    <phoneticPr fontId="22" type="noConversion"/>
  </si>
  <si>
    <t>馒头</t>
  </si>
  <si>
    <t>豆沙包</t>
  </si>
  <si>
    <t>豆沙包</t>
    <phoneticPr fontId="22" type="noConversion"/>
  </si>
  <si>
    <t>双色蛋糕</t>
  </si>
  <si>
    <t>高粱粥</t>
    <phoneticPr fontId="22" type="noConversion"/>
  </si>
  <si>
    <t>馒头</t>
    <phoneticPr fontId="22" type="noConversion"/>
  </si>
  <si>
    <t>米饭</t>
  </si>
  <si>
    <t>米饭</t>
    <phoneticPr fontId="22" type="noConversion"/>
  </si>
  <si>
    <t>红豆饭</t>
  </si>
  <si>
    <t>红豆饭</t>
    <phoneticPr fontId="22" type="noConversion"/>
  </si>
  <si>
    <t>大饼</t>
  </si>
  <si>
    <t>大饼</t>
    <phoneticPr fontId="22" type="noConversion"/>
  </si>
  <si>
    <t>杂粮馒头</t>
    <phoneticPr fontId="22" type="noConversion"/>
  </si>
  <si>
    <t>玉米发糕</t>
  </si>
  <si>
    <t>玉米发糕</t>
    <phoneticPr fontId="22" type="noConversion"/>
  </si>
  <si>
    <t>蒸玉米</t>
    <phoneticPr fontId="22" type="noConversion"/>
  </si>
  <si>
    <t>小白菜肉丁包子</t>
  </si>
  <si>
    <t>烤烧饼</t>
  </si>
  <si>
    <t>紫米饼</t>
  </si>
  <si>
    <t>紫米发糕</t>
  </si>
  <si>
    <t>土豆丝饼</t>
  </si>
  <si>
    <t>猪肉胡萝卜包子</t>
  </si>
  <si>
    <t>油菜粉丝包子</t>
  </si>
  <si>
    <t>贴饼子</t>
  </si>
  <si>
    <t>发面饼</t>
  </si>
  <si>
    <t>肉笼</t>
    <phoneticPr fontId="22" type="noConversion"/>
  </si>
  <si>
    <t>炝炒圆白菜</t>
  </si>
  <si>
    <t>清炒绿豆芽</t>
  </si>
  <si>
    <t>虾皮冬瓜</t>
  </si>
  <si>
    <t>炝炒绿豆芽</t>
  </si>
  <si>
    <t>清炒油菜</t>
    <phoneticPr fontId="22" type="noConversion"/>
  </si>
  <si>
    <t>粉条萝卜丝</t>
  </si>
  <si>
    <t>豆豉尖椒圈</t>
  </si>
  <si>
    <t>酸辣白菜条</t>
  </si>
  <si>
    <t>粉条黄豆芽</t>
  </si>
  <si>
    <t>清炒小白菜</t>
  </si>
  <si>
    <t>清炒海带丝</t>
  </si>
  <si>
    <t>清炒土豆丝</t>
  </si>
  <si>
    <t>蒜蓉奶白菜</t>
  </si>
  <si>
    <t>尖椒土豆片</t>
  </si>
  <si>
    <t>尖椒土豆片</t>
    <phoneticPr fontId="22" type="noConversion"/>
  </si>
  <si>
    <t>椒盐大虾</t>
  </si>
  <si>
    <t>酱香排骨</t>
  </si>
  <si>
    <t>清炒菜心</t>
  </si>
  <si>
    <t>蒜蓉扇贝</t>
  </si>
  <si>
    <t>肉片木耳青笋</t>
  </si>
  <si>
    <t>香菇油菜</t>
  </si>
  <si>
    <t>过油肉</t>
  </si>
  <si>
    <t>滋补羊肉</t>
  </si>
  <si>
    <t>枸杞</t>
  </si>
  <si>
    <t>木耳山药</t>
  </si>
  <si>
    <t>蒜蓉荷兰豆</t>
  </si>
  <si>
    <t>水煮鱼</t>
  </si>
  <si>
    <t>萝卜羊排</t>
  </si>
  <si>
    <t>蒜香翅中</t>
  </si>
  <si>
    <t>西芹虾仁</t>
  </si>
  <si>
    <t>扇贝</t>
  </si>
  <si>
    <t>肉片木耳西葫芦</t>
  </si>
  <si>
    <t>烧二冬</t>
  </si>
  <si>
    <t>熏干芹菜</t>
  </si>
  <si>
    <t>熏干</t>
  </si>
  <si>
    <t>七彩蛋卷</t>
  </si>
  <si>
    <t>蛋挞</t>
  </si>
  <si>
    <t>瓜子酥条</t>
  </si>
  <si>
    <t>苹果</t>
  </si>
  <si>
    <t>香蕉</t>
  </si>
  <si>
    <t>杂粮馒头</t>
  </si>
  <si>
    <t>玉米面</t>
    <phoneticPr fontId="22" type="noConversion"/>
  </si>
  <si>
    <t>一级五花</t>
    <phoneticPr fontId="22" type="noConversion"/>
  </si>
  <si>
    <t>小白菜</t>
    <phoneticPr fontId="22" type="noConversion"/>
  </si>
  <si>
    <t>紫米面</t>
    <phoneticPr fontId="22" type="noConversion"/>
  </si>
  <si>
    <t>紫米面</t>
    <phoneticPr fontId="1" type="noConversion"/>
  </si>
  <si>
    <t>新大中土豆</t>
    <phoneticPr fontId="22" type="noConversion"/>
  </si>
  <si>
    <t>面粉</t>
    <phoneticPr fontId="22" type="noConversion"/>
  </si>
  <si>
    <t>去皮前尖</t>
    <phoneticPr fontId="22" type="noConversion"/>
  </si>
  <si>
    <t>胡萝卜</t>
    <phoneticPr fontId="22" type="noConversion"/>
  </si>
  <si>
    <t>油菜</t>
    <phoneticPr fontId="22" type="noConversion"/>
  </si>
  <si>
    <t>玉米面</t>
    <phoneticPr fontId="22" type="noConversion"/>
  </si>
  <si>
    <t>尖椒</t>
    <phoneticPr fontId="1" type="noConversion"/>
  </si>
  <si>
    <t>圆白菜</t>
    <phoneticPr fontId="1" type="noConversion"/>
  </si>
  <si>
    <t>绿豆芽</t>
    <phoneticPr fontId="1" type="noConversion"/>
  </si>
  <si>
    <t>冬瓜</t>
    <phoneticPr fontId="1" type="noConversion"/>
  </si>
  <si>
    <t>虾皮</t>
    <phoneticPr fontId="1" type="noConversion"/>
  </si>
  <si>
    <t>白萝卜</t>
    <phoneticPr fontId="1" type="noConversion"/>
  </si>
  <si>
    <t>大白菜</t>
    <phoneticPr fontId="1" type="noConversion"/>
  </si>
  <si>
    <t>黄豆芽</t>
    <phoneticPr fontId="1" type="noConversion"/>
  </si>
  <si>
    <t>小白菜</t>
    <phoneticPr fontId="1" type="noConversion"/>
  </si>
  <si>
    <t>海带丝(大箱)</t>
  </si>
  <si>
    <t>（早餐）拍黄瓜</t>
    <phoneticPr fontId="22" type="noConversion"/>
  </si>
  <si>
    <t>辣根木耳</t>
  </si>
  <si>
    <t>黄瓜</t>
    <phoneticPr fontId="1" type="noConversion"/>
  </si>
  <si>
    <t>红椒</t>
    <phoneticPr fontId="1" type="noConversion"/>
  </si>
  <si>
    <t>肉丁面</t>
    <phoneticPr fontId="22" type="noConversion"/>
  </si>
  <si>
    <t>瓜子仁</t>
  </si>
  <si>
    <t>卤水豆腐</t>
    <phoneticPr fontId="1" type="noConversion"/>
  </si>
  <si>
    <t>饼丝</t>
    <phoneticPr fontId="1" type="noConversion"/>
  </si>
  <si>
    <t>海带丝(大箱)</t>
    <phoneticPr fontId="1" type="noConversion"/>
  </si>
  <si>
    <t>卤水豆腐</t>
    <phoneticPr fontId="1" type="noConversion"/>
  </si>
  <si>
    <t>海带头(大箱)</t>
    <phoneticPr fontId="1" type="noConversion"/>
  </si>
  <si>
    <t>炝炒土豆丝</t>
    <phoneticPr fontId="1" type="noConversion"/>
  </si>
  <si>
    <t>鲜汁辣豆腐</t>
  </si>
  <si>
    <t>香菜</t>
    <phoneticPr fontId="1" type="noConversion"/>
  </si>
  <si>
    <t>大米</t>
    <phoneticPr fontId="22" type="noConversion"/>
  </si>
  <si>
    <t>去皮后尖</t>
    <phoneticPr fontId="22" type="noConversion"/>
  </si>
  <si>
    <t>油菜</t>
    <phoneticPr fontId="22" type="noConversion"/>
  </si>
  <si>
    <t>干烧鲤鱼</t>
  </si>
  <si>
    <t>鲤鱼(加工)</t>
  </si>
  <si>
    <t>板栗鸡块</t>
  </si>
  <si>
    <t>麻辣一品鲜</t>
  </si>
  <si>
    <t>翔誉京东板栗1*12*380g</t>
  </si>
  <si>
    <t>鲜香菇</t>
    <phoneticPr fontId="1" type="noConversion"/>
  </si>
  <si>
    <t>油菜</t>
    <phoneticPr fontId="1" type="noConversion"/>
  </si>
  <si>
    <t>鸡油香菇油菜</t>
  </si>
  <si>
    <t>麦香鸡腿</t>
  </si>
  <si>
    <t>鸡边腿</t>
    <phoneticPr fontId="1" type="noConversion"/>
  </si>
  <si>
    <t>大麦米</t>
  </si>
  <si>
    <t>醋溜木须</t>
  </si>
  <si>
    <t>去皮后尖</t>
    <phoneticPr fontId="1" type="noConversion"/>
  </si>
  <si>
    <t>黄瓜</t>
    <phoneticPr fontId="1" type="noConversion"/>
  </si>
  <si>
    <t>木耳(斤)</t>
    <phoneticPr fontId="1" type="noConversion"/>
  </si>
  <si>
    <t>仔排烧玉米</t>
  </si>
  <si>
    <t>尖椒炒培根</t>
  </si>
  <si>
    <t>宫爆脆溜鸡</t>
  </si>
  <si>
    <t>蚝油日本豆腐</t>
  </si>
  <si>
    <t>小煎仔鸡</t>
  </si>
  <si>
    <t>爆炒鱿鱼卷</t>
  </si>
  <si>
    <t>木耳炒鸡蛋</t>
  </si>
  <si>
    <t>冬瓜牛肉丸</t>
  </si>
  <si>
    <t>奶汤小白菜豆腐</t>
  </si>
  <si>
    <t>帝王玉米棒(件)</t>
  </si>
  <si>
    <t>尖椒</t>
    <phoneticPr fontId="1" type="noConversion"/>
  </si>
  <si>
    <t>鸡腿肉</t>
    <phoneticPr fontId="1" type="noConversion"/>
  </si>
  <si>
    <t>花生米</t>
    <phoneticPr fontId="1" type="noConversion"/>
  </si>
  <si>
    <t>大葱</t>
    <phoneticPr fontId="1" type="noConversion"/>
  </si>
  <si>
    <t>青椒</t>
    <phoneticPr fontId="1" type="noConversion"/>
  </si>
  <si>
    <t>洋葱</t>
    <phoneticPr fontId="1" type="noConversion"/>
  </si>
  <si>
    <t>冬瓜</t>
    <phoneticPr fontId="1" type="noConversion"/>
  </si>
  <si>
    <t>小白菜</t>
    <phoneticPr fontId="1" type="noConversion"/>
  </si>
  <si>
    <t>鲜辣豆腐</t>
  </si>
  <si>
    <t>香葱</t>
    <phoneticPr fontId="1" type="noConversion"/>
  </si>
  <si>
    <t>豆腐丝</t>
  </si>
  <si>
    <t>酸辣海带丝</t>
  </si>
  <si>
    <t>大葱</t>
    <phoneticPr fontId="1" type="noConversion"/>
  </si>
  <si>
    <t>臊子面</t>
  </si>
  <si>
    <t>一级五花</t>
    <phoneticPr fontId="30" type="noConversion"/>
  </si>
  <si>
    <t>面粉</t>
    <phoneticPr fontId="22" type="noConversion"/>
  </si>
  <si>
    <t>胡萝卜</t>
    <phoneticPr fontId="22" type="noConversion"/>
  </si>
  <si>
    <t>新大中土豆</t>
    <phoneticPr fontId="22" type="noConversion"/>
  </si>
  <si>
    <t>辣白菜</t>
    <phoneticPr fontId="22" type="noConversion"/>
  </si>
  <si>
    <t>糖醋萝卜丝</t>
    <phoneticPr fontId="22" type="noConversion"/>
  </si>
  <si>
    <t>老干妈茄条</t>
    <phoneticPr fontId="22" type="noConversion"/>
  </si>
  <si>
    <t>酸奶青瓜</t>
    <phoneticPr fontId="22" type="noConversion"/>
  </si>
  <si>
    <t>香辣豆干</t>
    <phoneticPr fontId="22" type="noConversion"/>
  </si>
  <si>
    <t>糖醋萝卜皮</t>
    <phoneticPr fontId="22" type="noConversion"/>
  </si>
  <si>
    <t>川北凉粉</t>
    <phoneticPr fontId="22" type="noConversion"/>
  </si>
  <si>
    <t>葱油木耳</t>
    <phoneticPr fontId="22" type="noConversion"/>
  </si>
  <si>
    <t>红油脆豆腐</t>
    <phoneticPr fontId="22" type="noConversion"/>
  </si>
  <si>
    <t>拍黄瓜</t>
    <phoneticPr fontId="22" type="noConversion"/>
  </si>
  <si>
    <t>馄饨</t>
    <phoneticPr fontId="22" type="noConversion"/>
  </si>
  <si>
    <t>雪菜黄豆</t>
    <phoneticPr fontId="22" type="noConversion"/>
  </si>
  <si>
    <t>豆沙包</t>
    <phoneticPr fontId="22" type="noConversion"/>
  </si>
  <si>
    <t>老醋花生</t>
    <phoneticPr fontId="22" type="noConversion"/>
  </si>
  <si>
    <t>宫爆鹌鹑蛋</t>
    <phoneticPr fontId="22" type="noConversion"/>
  </si>
  <si>
    <t>炝拌腐竹</t>
    <phoneticPr fontId="22" type="noConversion"/>
  </si>
  <si>
    <t>花卷</t>
    <phoneticPr fontId="22" type="noConversion"/>
  </si>
  <si>
    <t>榨菜丝</t>
    <phoneticPr fontId="22" type="noConversion"/>
  </si>
  <si>
    <t>馒头</t>
    <phoneticPr fontId="22" type="noConversion"/>
  </si>
  <si>
    <t>老虎菜</t>
    <phoneticPr fontId="22" type="noConversion"/>
  </si>
  <si>
    <t>土豆鸡块</t>
    <phoneticPr fontId="22" type="noConversion"/>
  </si>
  <si>
    <t>小葱豆腐</t>
    <phoneticPr fontId="22" type="noConversion"/>
  </si>
  <si>
    <t>豆腐脑</t>
    <phoneticPr fontId="22" type="noConversion"/>
  </si>
  <si>
    <t>酸辣蕨根粉</t>
    <phoneticPr fontId="22" type="noConversion"/>
  </si>
  <si>
    <t>肉丝榨菜</t>
    <phoneticPr fontId="22" type="noConversion"/>
  </si>
  <si>
    <t>椒油笋丝</t>
    <phoneticPr fontId="22" type="noConversion"/>
  </si>
  <si>
    <t>烧饼</t>
    <phoneticPr fontId="22" type="noConversion"/>
  </si>
  <si>
    <t>红豆粥</t>
    <phoneticPr fontId="22" type="noConversion"/>
  </si>
  <si>
    <t>大饼</t>
    <phoneticPr fontId="22" type="noConversion"/>
  </si>
  <si>
    <t>糖醋藕片</t>
    <phoneticPr fontId="22" type="noConversion"/>
  </si>
  <si>
    <t>五花圆白菜</t>
    <phoneticPr fontId="22" type="noConversion"/>
  </si>
  <si>
    <t>油条</t>
    <phoneticPr fontId="22" type="noConversion"/>
  </si>
  <si>
    <t>豆浆</t>
    <phoneticPr fontId="22" type="noConversion"/>
  </si>
  <si>
    <t>清炒绿豆芽</t>
    <phoneticPr fontId="22" type="noConversion"/>
  </si>
  <si>
    <t>川北凉粉</t>
    <phoneticPr fontId="22" type="noConversion"/>
  </si>
  <si>
    <t>蒜苗鸡蛋</t>
    <phoneticPr fontId="22" type="noConversion"/>
  </si>
  <si>
    <t>千层饼</t>
    <phoneticPr fontId="22" type="noConversion"/>
  </si>
  <si>
    <t>大麦粥</t>
    <phoneticPr fontId="22" type="noConversion"/>
  </si>
  <si>
    <t>虾皮冬瓜</t>
    <phoneticPr fontId="22" type="noConversion"/>
  </si>
  <si>
    <t>红豆饭</t>
    <phoneticPr fontId="22" type="noConversion"/>
  </si>
  <si>
    <t>烧二冬</t>
    <phoneticPr fontId="22" type="noConversion"/>
  </si>
  <si>
    <t>糊塌子</t>
    <phoneticPr fontId="22" type="noConversion"/>
  </si>
  <si>
    <t>米饭</t>
    <phoneticPr fontId="22" type="noConversion"/>
  </si>
  <si>
    <t>清炒快菜</t>
    <phoneticPr fontId="22" type="noConversion"/>
  </si>
  <si>
    <t>面包圈</t>
    <phoneticPr fontId="22" type="noConversion"/>
  </si>
  <si>
    <t>蒸玉米</t>
    <phoneticPr fontId="22" type="noConversion"/>
  </si>
  <si>
    <t>辣根木耳</t>
    <phoneticPr fontId="22" type="noConversion"/>
  </si>
  <si>
    <t>猪蹄</t>
    <phoneticPr fontId="22" type="noConversion"/>
  </si>
  <si>
    <t>煮鸡蛋</t>
    <phoneticPr fontId="22" type="noConversion"/>
  </si>
  <si>
    <t>鸭脖</t>
    <phoneticPr fontId="22" type="noConversion"/>
  </si>
  <si>
    <t>榨菜丝</t>
    <phoneticPr fontId="22" type="noConversion"/>
  </si>
  <si>
    <t>油炸花生米</t>
    <phoneticPr fontId="22" type="noConversion"/>
  </si>
  <si>
    <t>大拌菜</t>
    <phoneticPr fontId="22" type="noConversion"/>
  </si>
  <si>
    <t>老干妈茄条</t>
    <phoneticPr fontId="22" type="noConversion"/>
  </si>
  <si>
    <t>酸辣土豆丝</t>
    <phoneticPr fontId="22" type="noConversion"/>
  </si>
  <si>
    <t>猪肉大葱包子</t>
    <phoneticPr fontId="22" type="noConversion"/>
  </si>
  <si>
    <t>红油脆豆腐</t>
    <phoneticPr fontId="22" type="noConversion"/>
  </si>
  <si>
    <t>双色蛋糕</t>
    <phoneticPr fontId="22" type="noConversion"/>
  </si>
  <si>
    <t>小米粥</t>
    <phoneticPr fontId="22" type="noConversion"/>
  </si>
  <si>
    <t>炝炒绿豆芽</t>
    <phoneticPr fontId="22" type="noConversion"/>
  </si>
  <si>
    <t>清炒油菜</t>
    <phoneticPr fontId="22" type="noConversion"/>
  </si>
  <si>
    <t>蛋糕</t>
    <phoneticPr fontId="22" type="noConversion"/>
  </si>
  <si>
    <t>醋溜白菜</t>
    <phoneticPr fontId="22" type="noConversion"/>
  </si>
  <si>
    <t>馄饨</t>
    <phoneticPr fontId="22" type="noConversion"/>
  </si>
  <si>
    <t>蒸玉米</t>
    <phoneticPr fontId="22" type="noConversion"/>
  </si>
  <si>
    <t>煮鸡蛋</t>
    <phoneticPr fontId="22" type="noConversion"/>
  </si>
  <si>
    <t>五彩豆腐丝</t>
    <phoneticPr fontId="22" type="noConversion"/>
  </si>
  <si>
    <t>姜汁皮蛋</t>
    <phoneticPr fontId="22" type="noConversion"/>
  </si>
  <si>
    <t>酱黄瓜</t>
    <phoneticPr fontId="22" type="noConversion"/>
  </si>
  <si>
    <t>鱼香鸡柳</t>
    <phoneticPr fontId="22" type="noConversion"/>
  </si>
  <si>
    <t>水果沙拉</t>
    <phoneticPr fontId="22" type="noConversion"/>
  </si>
  <si>
    <t>东北拉皮</t>
    <phoneticPr fontId="22" type="noConversion"/>
  </si>
  <si>
    <t>小白菜肉丁包子</t>
    <phoneticPr fontId="22" type="noConversion"/>
  </si>
  <si>
    <t>花生粥</t>
    <phoneticPr fontId="22" type="noConversion"/>
  </si>
  <si>
    <t>酸辣瓜条</t>
    <phoneticPr fontId="22" type="noConversion"/>
  </si>
  <si>
    <t>圆白菜鸡蛋包子</t>
    <phoneticPr fontId="22" type="noConversion"/>
  </si>
  <si>
    <t>炝炒圆白菜</t>
    <phoneticPr fontId="22" type="noConversion"/>
  </si>
  <si>
    <t>油饼</t>
    <phoneticPr fontId="22" type="noConversion"/>
  </si>
  <si>
    <t>粉条萝卜丝</t>
    <phoneticPr fontId="22" type="noConversion"/>
  </si>
  <si>
    <t>粉丝菠菜</t>
    <phoneticPr fontId="22" type="noConversion"/>
  </si>
  <si>
    <t>烤烧饼</t>
    <phoneticPr fontId="22" type="noConversion"/>
  </si>
  <si>
    <t>豆豉尖椒圈</t>
    <phoneticPr fontId="22" type="noConversion"/>
  </si>
  <si>
    <t>煎饼</t>
    <phoneticPr fontId="22" type="noConversion"/>
  </si>
  <si>
    <t>紫米饼</t>
    <phoneticPr fontId="22" type="noConversion"/>
  </si>
  <si>
    <t>老醋花生</t>
    <phoneticPr fontId="22" type="noConversion"/>
  </si>
  <si>
    <t>土豆牛腩</t>
    <phoneticPr fontId="22" type="noConversion"/>
  </si>
  <si>
    <t>豆腐乳</t>
    <phoneticPr fontId="22" type="noConversion"/>
  </si>
  <si>
    <t>炝拌木耳</t>
    <phoneticPr fontId="22" type="noConversion"/>
  </si>
  <si>
    <t>干烧鲤鱼</t>
    <phoneticPr fontId="22" type="noConversion"/>
  </si>
  <si>
    <t>红油脆豆腐</t>
    <phoneticPr fontId="22" type="noConversion"/>
  </si>
  <si>
    <t>拌三丁</t>
    <phoneticPr fontId="22" type="noConversion"/>
  </si>
  <si>
    <t>小葱豆腐丝</t>
    <phoneticPr fontId="22" type="noConversion"/>
  </si>
  <si>
    <t>猪肉西葫芦包子</t>
    <phoneticPr fontId="22" type="noConversion"/>
  </si>
  <si>
    <t>绿豆粥</t>
    <phoneticPr fontId="22" type="noConversion"/>
  </si>
  <si>
    <t>麻辣椒圈</t>
    <phoneticPr fontId="22" type="noConversion"/>
  </si>
  <si>
    <t>酸辣白菜条</t>
    <phoneticPr fontId="22" type="noConversion"/>
  </si>
  <si>
    <t>蒜香苦菊</t>
    <phoneticPr fontId="22" type="noConversion"/>
  </si>
  <si>
    <t>玉米渣粥</t>
    <phoneticPr fontId="22" type="noConversion"/>
  </si>
  <si>
    <t>粉条黄豆芽</t>
    <phoneticPr fontId="22" type="noConversion"/>
  </si>
  <si>
    <t>鸭胗</t>
    <phoneticPr fontId="22" type="noConversion"/>
  </si>
  <si>
    <t>清炒小白菜</t>
    <phoneticPr fontId="22" type="noConversion"/>
  </si>
  <si>
    <t>猪蹄</t>
    <phoneticPr fontId="22" type="noConversion"/>
  </si>
  <si>
    <t>自制酱牛肉</t>
    <phoneticPr fontId="22" type="noConversion"/>
  </si>
  <si>
    <t>花卷</t>
    <phoneticPr fontId="22" type="noConversion"/>
  </si>
  <si>
    <t>酱黄瓜</t>
    <phoneticPr fontId="22" type="noConversion"/>
  </si>
  <si>
    <t>馒头</t>
    <phoneticPr fontId="22" type="noConversion"/>
  </si>
  <si>
    <t>老虎菜</t>
    <phoneticPr fontId="22" type="noConversion"/>
  </si>
  <si>
    <t>炝拌腐竹</t>
    <phoneticPr fontId="22" type="noConversion"/>
  </si>
  <si>
    <t>豆腐脑</t>
    <phoneticPr fontId="22" type="noConversion"/>
  </si>
  <si>
    <t>酸辣蕨根粉</t>
    <phoneticPr fontId="22" type="noConversion"/>
  </si>
  <si>
    <t>香酥鸭</t>
    <phoneticPr fontId="22" type="noConversion"/>
  </si>
  <si>
    <t>鸭脖</t>
    <phoneticPr fontId="22" type="noConversion"/>
  </si>
  <si>
    <t>花生粥</t>
    <phoneticPr fontId="22" type="noConversion"/>
  </si>
  <si>
    <t>千层饼</t>
    <phoneticPr fontId="22" type="noConversion"/>
  </si>
  <si>
    <t>糖醋藕片</t>
    <phoneticPr fontId="22" type="noConversion"/>
  </si>
  <si>
    <t>肉酱蒸茄条</t>
    <phoneticPr fontId="22" type="noConversion"/>
  </si>
  <si>
    <t>高粱粥</t>
    <phoneticPr fontId="22" type="noConversion"/>
  </si>
  <si>
    <t>炝炒土豆丝</t>
    <phoneticPr fontId="22" type="noConversion"/>
  </si>
  <si>
    <t>玉米发糕</t>
    <phoneticPr fontId="22" type="noConversion"/>
  </si>
  <si>
    <t>川北凉粉</t>
    <phoneticPr fontId="22" type="noConversion"/>
  </si>
  <si>
    <t>荷塘小炒</t>
    <phoneticPr fontId="22" type="noConversion"/>
  </si>
  <si>
    <t>豆浆</t>
    <phoneticPr fontId="22" type="noConversion"/>
  </si>
  <si>
    <t>红豆饭</t>
    <phoneticPr fontId="22" type="noConversion"/>
  </si>
  <si>
    <t>花仁盖菜</t>
    <phoneticPr fontId="22" type="noConversion"/>
  </si>
  <si>
    <t>椒油笋丝</t>
    <phoneticPr fontId="22" type="noConversion"/>
  </si>
  <si>
    <t>清炒海带丝</t>
    <phoneticPr fontId="22" type="noConversion"/>
  </si>
  <si>
    <t>米饭</t>
    <phoneticPr fontId="22" type="noConversion"/>
  </si>
  <si>
    <t>香葱鸡蛋</t>
    <phoneticPr fontId="22" type="noConversion"/>
  </si>
  <si>
    <t>蒸玉米</t>
    <phoneticPr fontId="22" type="noConversion"/>
  </si>
  <si>
    <t>姜汁皮蛋</t>
    <phoneticPr fontId="22" type="noConversion"/>
  </si>
  <si>
    <t>猪蹄</t>
    <phoneticPr fontId="22" type="noConversion"/>
  </si>
  <si>
    <t>煮鸡蛋</t>
    <phoneticPr fontId="22" type="noConversion"/>
  </si>
  <si>
    <t>雪菜黄豆</t>
    <phoneticPr fontId="22" type="noConversion"/>
  </si>
  <si>
    <t>双色蛋糕</t>
    <phoneticPr fontId="22" type="noConversion"/>
  </si>
  <si>
    <t>养生木耳</t>
    <phoneticPr fontId="22" type="noConversion"/>
  </si>
  <si>
    <t>榨菜丝</t>
    <phoneticPr fontId="22" type="noConversion"/>
  </si>
  <si>
    <t>豆沙包</t>
    <phoneticPr fontId="22" type="noConversion"/>
  </si>
  <si>
    <t>三色花生米</t>
    <phoneticPr fontId="22" type="noConversion"/>
  </si>
  <si>
    <t>清炖狮子头</t>
    <phoneticPr fontId="22" type="noConversion"/>
  </si>
  <si>
    <t>香辣豆皮</t>
    <phoneticPr fontId="22" type="noConversion"/>
  </si>
  <si>
    <t>猪肉胡萝卜包子</t>
    <phoneticPr fontId="22" type="noConversion"/>
  </si>
  <si>
    <t>紫米粥</t>
    <phoneticPr fontId="22" type="noConversion"/>
  </si>
  <si>
    <t>酸辣海带丝</t>
    <phoneticPr fontId="22" type="noConversion"/>
  </si>
  <si>
    <t>油菜粉丝包子</t>
    <phoneticPr fontId="22" type="noConversion"/>
  </si>
  <si>
    <t>炝炒圆白菜</t>
    <phoneticPr fontId="22" type="noConversion"/>
  </si>
  <si>
    <t>香辣香干</t>
    <phoneticPr fontId="22" type="noConversion"/>
  </si>
  <si>
    <t>五花土豆片</t>
    <phoneticPr fontId="22" type="noConversion"/>
  </si>
  <si>
    <t>油条</t>
    <phoneticPr fontId="22" type="noConversion"/>
  </si>
  <si>
    <t>小米粥</t>
    <phoneticPr fontId="22" type="noConversion"/>
  </si>
  <si>
    <t>清炒土豆丝</t>
    <phoneticPr fontId="22" type="noConversion"/>
  </si>
  <si>
    <t>干锅萝卜</t>
    <phoneticPr fontId="22" type="noConversion"/>
  </si>
  <si>
    <t>鸭胗</t>
    <phoneticPr fontId="22" type="noConversion"/>
  </si>
  <si>
    <t>蒜蓉奶白菜</t>
    <phoneticPr fontId="22" type="noConversion"/>
  </si>
  <si>
    <t>老土豆</t>
  </si>
  <si>
    <t>新大中土豆</t>
    <phoneticPr fontId="22" type="noConversion"/>
  </si>
  <si>
    <t>老土豆</t>
    <phoneticPr fontId="22" type="noConversion"/>
  </si>
  <si>
    <t>西红柿炒鸡蛋</t>
  </si>
  <si>
    <t>西红柿炒鸡蛋</t>
    <phoneticPr fontId="22" type="noConversion"/>
  </si>
  <si>
    <t>扇贝</t>
    <phoneticPr fontId="1" type="noConversion"/>
  </si>
  <si>
    <t>炝拌白菜心</t>
  </si>
  <si>
    <t>大白菜</t>
    <phoneticPr fontId="1" type="noConversion"/>
  </si>
  <si>
    <t>西红柿鸡蛋面</t>
    <phoneticPr fontId="22" type="noConversion"/>
  </si>
  <si>
    <t>黄豆烧鸡块</t>
  </si>
  <si>
    <t>黄豆烧鸡块</t>
    <phoneticPr fontId="22" type="noConversion"/>
  </si>
  <si>
    <t>炒烤肉</t>
  </si>
  <si>
    <t>香菇烧豆腐</t>
  </si>
  <si>
    <t>香菇烧豆腐</t>
    <phoneticPr fontId="22" type="noConversion"/>
  </si>
  <si>
    <t>去皮后尖</t>
    <phoneticPr fontId="1" type="noConversion"/>
  </si>
  <si>
    <t>洋葱</t>
    <phoneticPr fontId="1" type="noConversion"/>
  </si>
  <si>
    <t>香菜</t>
    <phoneticPr fontId="1" type="noConversion"/>
  </si>
  <si>
    <t>鸡边腿</t>
    <phoneticPr fontId="1" type="noConversion"/>
  </si>
  <si>
    <t>黄豆</t>
    <phoneticPr fontId="1" type="noConversion"/>
  </si>
  <si>
    <t>卤水豆腐</t>
    <phoneticPr fontId="1" type="noConversion"/>
  </si>
  <si>
    <t>鲜香菇</t>
    <phoneticPr fontId="1" type="noConversion"/>
  </si>
  <si>
    <t>陕西臊子面</t>
    <phoneticPr fontId="22" type="noConversion"/>
  </si>
  <si>
    <t>凉拌芹菜</t>
  </si>
  <si>
    <t>芹菜</t>
    <phoneticPr fontId="1" type="noConversion"/>
  </si>
  <si>
    <t>红椒</t>
    <phoneticPr fontId="1" type="noConversion"/>
  </si>
  <si>
    <t>肉丝蒜苗</t>
    <phoneticPr fontId="22" type="noConversion"/>
  </si>
  <si>
    <t>花生猪手</t>
  </si>
  <si>
    <t>花生猪手</t>
    <phoneticPr fontId="22" type="noConversion"/>
  </si>
  <si>
    <t>猪蹄</t>
    <phoneticPr fontId="1" type="noConversion"/>
  </si>
  <si>
    <t>花生米</t>
    <phoneticPr fontId="1" type="noConversion"/>
  </si>
  <si>
    <t>土豆排骨</t>
    <phoneticPr fontId="22" type="noConversion"/>
  </si>
  <si>
    <t>木耳山药</t>
    <phoneticPr fontId="22" type="noConversion"/>
  </si>
  <si>
    <t>东安仔鸡</t>
  </si>
  <si>
    <t>东安仔鸡</t>
    <phoneticPr fontId="22" type="noConversion"/>
  </si>
  <si>
    <t>鸡腿肉</t>
    <phoneticPr fontId="1" type="noConversion"/>
  </si>
  <si>
    <t>洋葱</t>
    <phoneticPr fontId="1" type="noConversion"/>
  </si>
  <si>
    <t>青椒</t>
    <phoneticPr fontId="1" type="noConversion"/>
  </si>
  <si>
    <t>红椒</t>
    <phoneticPr fontId="1" type="noConversion"/>
  </si>
  <si>
    <t>海带烧肉</t>
    <phoneticPr fontId="22" type="noConversion"/>
  </si>
  <si>
    <t>海带头(大箱)</t>
  </si>
  <si>
    <t>木耳小炒肉</t>
    <phoneticPr fontId="22" type="noConversion"/>
  </si>
  <si>
    <t>酱汁藕片</t>
  </si>
  <si>
    <t>酱汁藕片</t>
    <phoneticPr fontId="22" type="noConversion"/>
  </si>
  <si>
    <t>莲藕</t>
    <phoneticPr fontId="1" type="noConversion"/>
  </si>
  <si>
    <t>毛氏烧肉</t>
  </si>
  <si>
    <t>毛氏烧肉</t>
    <phoneticPr fontId="22" type="noConversion"/>
  </si>
  <si>
    <t>鱼香肉丝</t>
    <phoneticPr fontId="22" type="noConversion"/>
  </si>
  <si>
    <t>香烤鸡腿</t>
  </si>
  <si>
    <t>清蒸鱼</t>
    <phoneticPr fontId="22" type="noConversion"/>
  </si>
  <si>
    <t>木耳山药</t>
    <phoneticPr fontId="22" type="noConversion"/>
  </si>
  <si>
    <t>尖椒鸡蛋</t>
    <phoneticPr fontId="22" type="noConversion"/>
  </si>
  <si>
    <t>肉末鸡油豆腐</t>
    <phoneticPr fontId="22" type="noConversion"/>
  </si>
  <si>
    <t>尖椒土豆丝</t>
    <phoneticPr fontId="22" type="noConversion"/>
  </si>
  <si>
    <t>香菇油菜</t>
    <phoneticPr fontId="22" type="noConversion"/>
  </si>
  <si>
    <t>散干大白宽粉条</t>
  </si>
  <si>
    <t>大白菜</t>
    <phoneticPr fontId="1" type="noConversion"/>
  </si>
  <si>
    <t>酸菜丸子</t>
  </si>
  <si>
    <t>酸菜丸子</t>
    <phoneticPr fontId="22" type="noConversion"/>
  </si>
  <si>
    <t>去皮前尖</t>
    <phoneticPr fontId="1" type="noConversion"/>
  </si>
  <si>
    <t>酸菜</t>
    <phoneticPr fontId="1" type="noConversion"/>
  </si>
  <si>
    <t>炸鸡排</t>
  </si>
  <si>
    <t>孜然肉段</t>
  </si>
  <si>
    <t>孜然肉段</t>
    <phoneticPr fontId="22" type="noConversion"/>
  </si>
  <si>
    <t>去皮后尖</t>
    <phoneticPr fontId="1" type="noConversion"/>
  </si>
  <si>
    <t>香菜</t>
    <phoneticPr fontId="1" type="noConversion"/>
  </si>
  <si>
    <t>老干妈炒鸡蛋</t>
  </si>
  <si>
    <t>老干妈炒鸡蛋</t>
    <phoneticPr fontId="22" type="noConversion"/>
  </si>
  <si>
    <t>木耳白菜</t>
    <phoneticPr fontId="22" type="noConversion"/>
  </si>
  <si>
    <t>滑蛋虾仁</t>
  </si>
  <si>
    <t>土豆排骨</t>
    <phoneticPr fontId="22" type="noConversion"/>
  </si>
  <si>
    <t>扒鸡腿</t>
  </si>
  <si>
    <t>扒鸡腿</t>
    <phoneticPr fontId="22" type="noConversion"/>
  </si>
  <si>
    <t>水煮鸡片</t>
  </si>
  <si>
    <t>水煮鸡片</t>
    <phoneticPr fontId="22" type="noConversion"/>
  </si>
  <si>
    <t>肉丝香干芹菜</t>
    <phoneticPr fontId="22" type="noConversion"/>
  </si>
  <si>
    <t>地三鲜</t>
    <phoneticPr fontId="22" type="noConversion"/>
  </si>
  <si>
    <t>香菇油菜</t>
    <phoneticPr fontId="22" type="noConversion"/>
  </si>
  <si>
    <t>青笋木耳鸡蛋</t>
    <phoneticPr fontId="22" type="noConversion"/>
  </si>
  <si>
    <t>西红柿菜花</t>
  </si>
  <si>
    <t>西红柿菜花</t>
    <phoneticPr fontId="22" type="noConversion"/>
  </si>
  <si>
    <t>西红柿</t>
    <phoneticPr fontId="1" type="noConversion"/>
  </si>
  <si>
    <t>菜花</t>
    <phoneticPr fontId="1" type="noConversion"/>
  </si>
  <si>
    <t>圆生菜</t>
    <phoneticPr fontId="1" type="noConversion"/>
  </si>
  <si>
    <t>鸡胸</t>
    <phoneticPr fontId="1" type="noConversion"/>
  </si>
  <si>
    <t>大饼回锅肉</t>
    <phoneticPr fontId="22" type="noConversion"/>
  </si>
  <si>
    <t>雪菜烧豆腐</t>
  </si>
  <si>
    <t>雪菜烧豆腐</t>
    <phoneticPr fontId="22" type="noConversion"/>
  </si>
  <si>
    <t>卤水豆腐</t>
    <phoneticPr fontId="1" type="noConversion"/>
  </si>
  <si>
    <t>芹菜腐竹</t>
    <phoneticPr fontId="22" type="noConversion"/>
  </si>
  <si>
    <t>芹菜</t>
    <phoneticPr fontId="1" type="noConversion"/>
  </si>
  <si>
    <t>烧茄子</t>
    <phoneticPr fontId="22" type="noConversion"/>
  </si>
  <si>
    <t>香菇鸡块</t>
    <phoneticPr fontId="22" type="noConversion"/>
  </si>
  <si>
    <t>香辣鸡柳</t>
  </si>
  <si>
    <t>香辣鸡柳</t>
    <phoneticPr fontId="22" type="noConversion"/>
  </si>
  <si>
    <t>南煎丸子</t>
  </si>
  <si>
    <t>鸡油香菇菠菜</t>
  </si>
  <si>
    <t>鸡油香菇菠菜</t>
    <phoneticPr fontId="22" type="noConversion"/>
  </si>
  <si>
    <t>盐水鸭</t>
    <phoneticPr fontId="22" type="noConversion"/>
  </si>
  <si>
    <t>肉片鲜蘑</t>
    <phoneticPr fontId="22" type="noConversion"/>
  </si>
  <si>
    <t>鲜香菇</t>
    <phoneticPr fontId="1" type="noConversion"/>
  </si>
  <si>
    <t>菠菜</t>
    <phoneticPr fontId="1" type="noConversion"/>
  </si>
  <si>
    <t>宽粉烧肉</t>
    <phoneticPr fontId="22" type="noConversion"/>
  </si>
  <si>
    <t>木须肉</t>
    <phoneticPr fontId="22" type="noConversion"/>
  </si>
  <si>
    <t>肉片菜花</t>
    <phoneticPr fontId="22" type="noConversion"/>
  </si>
  <si>
    <t>焦溜肉段</t>
    <phoneticPr fontId="22" type="noConversion"/>
  </si>
  <si>
    <t>酱爆鸡丁</t>
  </si>
  <si>
    <t>酱爆鸡丁</t>
    <phoneticPr fontId="22" type="noConversion"/>
  </si>
  <si>
    <t>黄瓜</t>
    <phoneticPr fontId="1" type="noConversion"/>
  </si>
  <si>
    <t>梅菜扣肉</t>
  </si>
  <si>
    <t>雪里红</t>
    <phoneticPr fontId="1" type="noConversion"/>
  </si>
  <si>
    <t>家常带鱼</t>
    <phoneticPr fontId="22" type="noConversion"/>
  </si>
  <si>
    <t>家常带鱼</t>
    <phoneticPr fontId="1" type="noConversion"/>
  </si>
  <si>
    <t>肉片木耳西葫芦</t>
    <phoneticPr fontId="22" type="noConversion"/>
  </si>
  <si>
    <t>东北乱炖</t>
    <phoneticPr fontId="22" type="noConversion"/>
  </si>
  <si>
    <t>板栗冬瓜条</t>
    <phoneticPr fontId="22" type="noConversion"/>
  </si>
  <si>
    <t>木耳快菜</t>
  </si>
  <si>
    <t>木耳快菜</t>
    <phoneticPr fontId="22" type="noConversion"/>
  </si>
  <si>
    <t>快菜</t>
    <phoneticPr fontId="1" type="noConversion"/>
  </si>
  <si>
    <t>木耳(斤)</t>
    <phoneticPr fontId="1" type="noConversion"/>
  </si>
  <si>
    <t>香酥翅根</t>
  </si>
  <si>
    <t>香酥翅根</t>
    <phoneticPr fontId="22" type="noConversion"/>
  </si>
  <si>
    <t>鱼香鸡片</t>
    <phoneticPr fontId="22" type="noConversion"/>
  </si>
  <si>
    <t>烤鸭胸</t>
    <phoneticPr fontId="22" type="noConversion"/>
  </si>
  <si>
    <t>菠萝古老肉</t>
    <phoneticPr fontId="22" type="noConversion"/>
  </si>
  <si>
    <t>醋溜白菜</t>
    <phoneticPr fontId="22" type="noConversion"/>
  </si>
  <si>
    <t>豆腐鲶鱼</t>
    <phoneticPr fontId="22" type="noConversion"/>
  </si>
  <si>
    <t>土豆牛腩</t>
    <phoneticPr fontId="22" type="noConversion"/>
  </si>
  <si>
    <t>鱼香小滑肉</t>
    <phoneticPr fontId="22" type="noConversion"/>
  </si>
  <si>
    <t>红焖鸭块</t>
    <phoneticPr fontId="22" type="noConversion"/>
  </si>
  <si>
    <t>醋溜白菜</t>
    <phoneticPr fontId="22" type="noConversion"/>
  </si>
  <si>
    <t>五花肉丁面</t>
    <phoneticPr fontId="22" type="noConversion"/>
  </si>
  <si>
    <t>尖椒鸡蛋面</t>
    <phoneticPr fontId="22" type="noConversion"/>
  </si>
  <si>
    <t>榨菜肉丝面</t>
    <phoneticPr fontId="22" type="noConversion"/>
  </si>
  <si>
    <t>鸡蛋炒饭</t>
    <phoneticPr fontId="22" type="noConversion"/>
  </si>
  <si>
    <t>红烧牛肉面</t>
    <phoneticPr fontId="22" type="noConversion"/>
  </si>
  <si>
    <t>炒河粉</t>
    <phoneticPr fontId="22" type="noConversion"/>
  </si>
  <si>
    <t>尖椒肥肠面</t>
    <phoneticPr fontId="22" type="noConversion"/>
  </si>
  <si>
    <t>西红柿茄丁面</t>
    <phoneticPr fontId="22" type="noConversion"/>
  </si>
  <si>
    <t>牛肉拉面</t>
    <phoneticPr fontId="22" type="noConversion"/>
  </si>
  <si>
    <t>豇豆焖面</t>
    <phoneticPr fontId="22" type="noConversion"/>
  </si>
  <si>
    <t>酸辣粉</t>
    <phoneticPr fontId="22" type="noConversion"/>
  </si>
  <si>
    <t>韩式烤肉饭</t>
    <phoneticPr fontId="22" type="noConversion"/>
  </si>
  <si>
    <t>西红柿鸡蛋面</t>
    <phoneticPr fontId="22" type="noConversion"/>
  </si>
  <si>
    <t>炒牛河</t>
    <phoneticPr fontId="22" type="noConversion"/>
  </si>
  <si>
    <t>臊子面</t>
    <phoneticPr fontId="22" type="noConversion"/>
  </si>
  <si>
    <t>炒猫耳朵</t>
    <phoneticPr fontId="22" type="noConversion"/>
  </si>
  <si>
    <t>一品牛腩饭</t>
    <phoneticPr fontId="22" type="noConversion"/>
  </si>
  <si>
    <t>蒜苗肉丝面</t>
    <phoneticPr fontId="22" type="noConversion"/>
  </si>
  <si>
    <t>油泼面</t>
    <phoneticPr fontId="22" type="noConversion"/>
  </si>
  <si>
    <t>尖椒茄子面</t>
    <phoneticPr fontId="22" type="noConversion"/>
  </si>
  <si>
    <t>炒米线</t>
    <phoneticPr fontId="22" type="noConversion"/>
  </si>
  <si>
    <t>油泼面</t>
    <phoneticPr fontId="22" type="noConversion"/>
  </si>
  <si>
    <t>面粉</t>
    <phoneticPr fontId="22" type="noConversion"/>
  </si>
  <si>
    <t>油菜</t>
    <phoneticPr fontId="22" type="noConversion"/>
  </si>
  <si>
    <t>去皮前尖</t>
    <phoneticPr fontId="22" type="noConversion"/>
  </si>
  <si>
    <t>肉丁面</t>
    <phoneticPr fontId="22" type="noConversion"/>
  </si>
  <si>
    <t>凉面</t>
  </si>
  <si>
    <t>凉面</t>
    <phoneticPr fontId="22" type="noConversion"/>
  </si>
  <si>
    <t>台式卤肉套餐</t>
    <phoneticPr fontId="22" type="noConversion"/>
  </si>
  <si>
    <t>羊肉烩面</t>
    <phoneticPr fontId="22" type="noConversion"/>
  </si>
  <si>
    <t>新疆拉条子</t>
    <phoneticPr fontId="22" type="noConversion"/>
  </si>
  <si>
    <t>叉烧排骨套餐</t>
    <phoneticPr fontId="22" type="noConversion"/>
  </si>
  <si>
    <t>西红柿鸡蛋面</t>
    <phoneticPr fontId="22" type="noConversion"/>
  </si>
  <si>
    <t>肉丁茄子面</t>
    <phoneticPr fontId="22" type="noConversion"/>
  </si>
  <si>
    <t>土耳其炒饭</t>
  </si>
  <si>
    <t>土耳其炒饭</t>
    <phoneticPr fontId="22" type="noConversion"/>
  </si>
  <si>
    <t>大米</t>
    <phoneticPr fontId="22" type="noConversion"/>
  </si>
  <si>
    <t>蒜苗</t>
    <phoneticPr fontId="22" type="noConversion"/>
  </si>
  <si>
    <t>老土豆</t>
    <phoneticPr fontId="22" type="noConversion"/>
  </si>
  <si>
    <t>鲜蘑肉丁刀削面</t>
  </si>
  <si>
    <t>香菇西红柿面</t>
  </si>
  <si>
    <t>香菇西红柿面</t>
    <phoneticPr fontId="22" type="noConversion"/>
  </si>
  <si>
    <t>鲜香菇</t>
    <phoneticPr fontId="22" type="noConversion"/>
  </si>
  <si>
    <t>西红柿</t>
    <phoneticPr fontId="22" type="noConversion"/>
  </si>
  <si>
    <t>老汤羊肉粉</t>
  </si>
  <si>
    <t>老汤羊肉粉</t>
    <phoneticPr fontId="22" type="noConversion"/>
  </si>
  <si>
    <t>羊肉片</t>
    <phoneticPr fontId="22" type="noConversion"/>
  </si>
  <si>
    <t>白萝卜</t>
    <phoneticPr fontId="22" type="noConversion"/>
  </si>
  <si>
    <t>酸汤肉丝面</t>
  </si>
  <si>
    <t>酸汤肉丝面</t>
    <phoneticPr fontId="22" type="noConversion"/>
  </si>
  <si>
    <t>豇豆拌面</t>
    <phoneticPr fontId="22" type="noConversion"/>
  </si>
  <si>
    <t>鸡蛋炒饼</t>
    <phoneticPr fontId="22" type="noConversion"/>
  </si>
  <si>
    <t>鱼酸菜</t>
    <phoneticPr fontId="22" type="noConversion"/>
  </si>
  <si>
    <t>芹菜腐竹</t>
    <phoneticPr fontId="22" type="noConversion"/>
  </si>
  <si>
    <t>面粉</t>
    <phoneticPr fontId="22" type="noConversion"/>
  </si>
  <si>
    <t>去皮前尖</t>
    <phoneticPr fontId="22" type="noConversion"/>
  </si>
  <si>
    <t>大葱</t>
    <phoneticPr fontId="22" type="noConversion"/>
  </si>
  <si>
    <t>玉米面豆沙包</t>
  </si>
  <si>
    <t>玉米面</t>
    <phoneticPr fontId="22" type="noConversion"/>
  </si>
  <si>
    <t>红小豆</t>
    <phoneticPr fontId="22" type="noConversion"/>
  </si>
  <si>
    <t>红糖</t>
    <phoneticPr fontId="22" type="noConversion"/>
  </si>
  <si>
    <t>玉米面</t>
    <phoneticPr fontId="1" type="noConversion"/>
  </si>
  <si>
    <t>瓜子仁</t>
    <phoneticPr fontId="1" type="noConversion"/>
  </si>
  <si>
    <t>紫米发糕</t>
    <phoneticPr fontId="22" type="noConversion"/>
  </si>
  <si>
    <t>紫米发糕</t>
    <phoneticPr fontId="22" type="noConversion"/>
  </si>
  <si>
    <t>玉米发糕</t>
    <phoneticPr fontId="22" type="noConversion"/>
  </si>
  <si>
    <t>玉米发糕</t>
    <phoneticPr fontId="22" type="noConversion"/>
  </si>
  <si>
    <t>小笼包</t>
    <phoneticPr fontId="22" type="noConversion"/>
  </si>
  <si>
    <t>韭菜鸡蛋馅饼</t>
  </si>
  <si>
    <t>小白菜鸡蛋馅饼</t>
  </si>
  <si>
    <t>肉饼</t>
  </si>
  <si>
    <t>猪肉大葱馅饼</t>
  </si>
  <si>
    <t>圆白菜鸡蛋馅饼</t>
    <phoneticPr fontId="22" type="noConversion"/>
  </si>
  <si>
    <t>圆白菜</t>
    <phoneticPr fontId="22" type="noConversion"/>
  </si>
  <si>
    <t>肉饼</t>
    <phoneticPr fontId="22" type="noConversion"/>
  </si>
  <si>
    <t>西葫芦鸡蛋包子</t>
  </si>
  <si>
    <t>猪肉芹菜包子</t>
    <phoneticPr fontId="22" type="noConversion"/>
  </si>
  <si>
    <t>圆白菜鸡蛋包子</t>
    <phoneticPr fontId="22" type="noConversion"/>
  </si>
  <si>
    <t>尖椒茄子包子</t>
    <phoneticPr fontId="22" type="noConversion"/>
  </si>
  <si>
    <t>小白菜鸡蛋包子</t>
    <phoneticPr fontId="22" type="noConversion"/>
  </si>
  <si>
    <t>煮鸡蛋</t>
  </si>
  <si>
    <t>山楂银耳</t>
    <phoneticPr fontId="22" type="noConversion"/>
  </si>
  <si>
    <t>小笼包</t>
    <phoneticPr fontId="22" type="noConversion"/>
  </si>
  <si>
    <t>玉米渣粥</t>
    <phoneticPr fontId="22" type="noConversion"/>
  </si>
  <si>
    <t>肉笼</t>
    <phoneticPr fontId="22" type="noConversion"/>
  </si>
  <si>
    <t>五花土豆片</t>
    <phoneticPr fontId="22" type="noConversion"/>
  </si>
  <si>
    <t>（早餐）酸辣藕片</t>
    <phoneticPr fontId="22" type="noConversion"/>
  </si>
  <si>
    <t>馄饨</t>
    <phoneticPr fontId="22" type="noConversion"/>
  </si>
  <si>
    <t>酸奶</t>
  </si>
  <si>
    <t>酸奶</t>
    <phoneticPr fontId="22" type="noConversion"/>
  </si>
  <si>
    <t>酸奶</t>
    <phoneticPr fontId="1" type="noConversion"/>
  </si>
  <si>
    <t>酸奶</t>
    <phoneticPr fontId="22" type="noConversion"/>
  </si>
  <si>
    <t>新大中土豆</t>
    <phoneticPr fontId="1" type="noConversion"/>
  </si>
  <si>
    <t>新大中土豆</t>
    <phoneticPr fontId="1" type="noConversion"/>
  </si>
  <si>
    <t>酸辣瓜条</t>
  </si>
  <si>
    <t>牛肉罩饼</t>
  </si>
  <si>
    <t>玉米发糕</t>
    <phoneticPr fontId="22" type="noConversion"/>
  </si>
  <si>
    <t>烧饼夹鸡蛋</t>
  </si>
  <si>
    <t>烧饼夹鸡蛋</t>
    <phoneticPr fontId="22" type="noConversion"/>
  </si>
  <si>
    <t>肉夹馍</t>
    <phoneticPr fontId="22" type="noConversion"/>
  </si>
  <si>
    <t>面粉</t>
    <phoneticPr fontId="22" type="noConversion"/>
  </si>
  <si>
    <t>鸡蛋(筐)</t>
    <phoneticPr fontId="22" type="noConversion"/>
  </si>
  <si>
    <t>肉夹馍</t>
    <phoneticPr fontId="22" type="noConversion"/>
  </si>
  <si>
    <t>去皮后尖</t>
    <phoneticPr fontId="22" type="noConversion"/>
  </si>
  <si>
    <t>尖椒</t>
    <phoneticPr fontId="22" type="noConversion"/>
  </si>
  <si>
    <t>香菜</t>
    <phoneticPr fontId="22" type="noConversion"/>
  </si>
  <si>
    <t>枣糕</t>
    <phoneticPr fontId="22" type="noConversion"/>
  </si>
  <si>
    <t>蛋糕</t>
    <phoneticPr fontId="22" type="noConversion"/>
  </si>
  <si>
    <t>玉米面饼</t>
  </si>
  <si>
    <t>玉米面饼</t>
    <phoneticPr fontId="22" type="noConversion"/>
  </si>
  <si>
    <t>玉米面</t>
    <phoneticPr fontId="22" type="noConversion"/>
  </si>
  <si>
    <t>紫米饼</t>
    <phoneticPr fontId="22" type="noConversion"/>
  </si>
  <si>
    <t>大饼</t>
    <phoneticPr fontId="22" type="noConversion"/>
  </si>
  <si>
    <t>蒸玉米</t>
    <phoneticPr fontId="22" type="noConversion"/>
  </si>
  <si>
    <t>肉笼</t>
    <phoneticPr fontId="22" type="noConversion"/>
  </si>
  <si>
    <t>红圣女果</t>
  </si>
  <si>
    <t>黄圣女果</t>
  </si>
  <si>
    <t>杨桃</t>
  </si>
  <si>
    <t>红提</t>
  </si>
  <si>
    <t>青提</t>
  </si>
  <si>
    <t>普通橙子</t>
  </si>
  <si>
    <t>沙糖桔</t>
  </si>
  <si>
    <t>猕猴桃</t>
  </si>
  <si>
    <t>青椒土豆片</t>
    <phoneticPr fontId="22" type="noConversion"/>
  </si>
  <si>
    <t>清炖排骨</t>
  </si>
  <si>
    <t>清炖排骨</t>
    <phoneticPr fontId="22" type="noConversion"/>
  </si>
  <si>
    <t>新大中土豆</t>
  </si>
  <si>
    <t>新大中土豆</t>
    <phoneticPr fontId="1" type="noConversion"/>
  </si>
  <si>
    <t>醋烹银芽</t>
    <phoneticPr fontId="22" type="noConversion"/>
  </si>
  <si>
    <t>绿豆芽</t>
    <phoneticPr fontId="1" type="noConversion"/>
  </si>
  <si>
    <t>凉拌紫甘蓝</t>
  </si>
  <si>
    <t>凉拌紫甘蓝</t>
    <phoneticPr fontId="22" type="noConversion"/>
  </si>
  <si>
    <t>紫甘蓝</t>
    <phoneticPr fontId="1" type="noConversion"/>
  </si>
  <si>
    <t>新大中土豆</t>
    <phoneticPr fontId="1" type="noConversion"/>
  </si>
  <si>
    <t>新大中土豆</t>
    <phoneticPr fontId="1" type="noConversion"/>
  </si>
  <si>
    <t>新大中土豆</t>
    <phoneticPr fontId="1" type="noConversion"/>
  </si>
  <si>
    <t>圆茄</t>
    <phoneticPr fontId="1" type="noConversion"/>
  </si>
  <si>
    <t>烤鸭胸</t>
    <phoneticPr fontId="22" type="noConversion"/>
  </si>
  <si>
    <t>清炒土豆丝</t>
    <phoneticPr fontId="22" type="noConversion"/>
  </si>
  <si>
    <t>一级五花</t>
    <phoneticPr fontId="1" type="noConversion"/>
  </si>
  <si>
    <t>一级五花</t>
    <phoneticPr fontId="1" type="noConversion"/>
  </si>
  <si>
    <t>新大中土豆</t>
    <phoneticPr fontId="17" type="noConversion"/>
  </si>
  <si>
    <t>周六
（6月30日）</t>
    <phoneticPr fontId="22" type="noConversion"/>
  </si>
  <si>
    <t>周日
（7月1日）</t>
    <phoneticPr fontId="22" type="noConversion"/>
  </si>
  <si>
    <t>周一
（7月2日）</t>
    <phoneticPr fontId="22" type="noConversion"/>
  </si>
  <si>
    <t>周二
（7月3日）</t>
    <phoneticPr fontId="22" type="noConversion"/>
  </si>
  <si>
    <t>周三
（7月4日）</t>
    <phoneticPr fontId="22" type="noConversion"/>
  </si>
  <si>
    <t>周四
（7月5日）</t>
    <phoneticPr fontId="22" type="noConversion"/>
  </si>
  <si>
    <t>周五
（7月6日）</t>
    <phoneticPr fontId="22" type="noConversion"/>
  </si>
  <si>
    <t>豉椒牛肉</t>
    <phoneticPr fontId="1" type="noConversion"/>
  </si>
  <si>
    <t>小土豆</t>
  </si>
  <si>
    <t>豆王-扁豆</t>
  </si>
  <si>
    <t>玉米棒(鲜)</t>
  </si>
  <si>
    <t>黑豆苗</t>
  </si>
  <si>
    <t>豌豆粒(袋)</t>
  </si>
  <si>
    <t>蒜黄</t>
  </si>
  <si>
    <t>带皮五花肉 大包装</t>
  </si>
  <si>
    <t>带皮去骨后腿 大包装</t>
  </si>
  <si>
    <t>带皮去骨前腿 大包装</t>
  </si>
  <si>
    <t>排骨  (龙骨+肋排)</t>
  </si>
  <si>
    <t>小排 10kg起售</t>
  </si>
  <si>
    <t>带皮后肘</t>
  </si>
  <si>
    <t>带皮前肘</t>
  </si>
  <si>
    <t>汤骨 10kg起售</t>
  </si>
  <si>
    <t>去骨大排肉(3号肉)</t>
  </si>
  <si>
    <t>大排里脊肉</t>
  </si>
  <si>
    <t>肥膘</t>
  </si>
  <si>
    <t>肉皮</t>
  </si>
  <si>
    <t>7.3夹心肉泥</t>
  </si>
  <si>
    <t>精瘦肉泥</t>
  </si>
  <si>
    <t>猪耳朵(冻)</t>
  </si>
  <si>
    <t>猪口条</t>
  </si>
  <si>
    <t>猪肝(鲜)</t>
  </si>
  <si>
    <t>猪肚(鲜)</t>
  </si>
  <si>
    <t>冰鲜带鱼(200-300)</t>
  </si>
  <si>
    <t>鲫鱼(加工)</t>
  </si>
  <si>
    <t>白身鱼排</t>
  </si>
  <si>
    <t>富士苹果</t>
  </si>
  <si>
    <t>80梨</t>
  </si>
  <si>
    <t>柠檬(进口)</t>
  </si>
  <si>
    <t>进口奇异果黄心</t>
  </si>
  <si>
    <t>老豆腐(甜水源)</t>
  </si>
  <si>
    <t>脆皮豆腐</t>
  </si>
  <si>
    <t>磨芋</t>
  </si>
  <si>
    <t>粉鱼</t>
  </si>
  <si>
    <t>凉皮</t>
  </si>
  <si>
    <t>香干</t>
  </si>
  <si>
    <t>大白皮</t>
  </si>
  <si>
    <t>豆皮</t>
  </si>
  <si>
    <t>素鸡</t>
  </si>
  <si>
    <t>豆泡</t>
  </si>
  <si>
    <t>饼丝</t>
  </si>
  <si>
    <t>减性面条</t>
  </si>
  <si>
    <t>切面条</t>
  </si>
  <si>
    <t>猫耳朵</t>
  </si>
  <si>
    <t>馄饨皮</t>
  </si>
  <si>
    <t>五豆豆浆（甜味）</t>
  </si>
  <si>
    <t>卤制素鸡腿</t>
  </si>
  <si>
    <t>卤制素什锦</t>
  </si>
  <si>
    <t>卤制系列</t>
  </si>
  <si>
    <t>彩云豆腐</t>
  </si>
  <si>
    <t>萝卜干(辣)</t>
  </si>
  <si>
    <t>刘二酸菜</t>
  </si>
  <si>
    <t>绵白糖(雪景)1*100斤</t>
  </si>
  <si>
    <t>中盐加碘精制盐</t>
  </si>
  <si>
    <t>鸡精(红梅)1*10*1000g</t>
  </si>
  <si>
    <t>酵母(燕山)1*20*500g</t>
  </si>
  <si>
    <t>花椒</t>
  </si>
  <si>
    <t>芝麻酱(口福)1*3250g</t>
  </si>
  <si>
    <t>干香菇(冬菇)</t>
  </si>
  <si>
    <t>干辣椒</t>
  </si>
  <si>
    <t>双鱼野生紫菜1*160*50g</t>
  </si>
  <si>
    <t>火锅底料(大重庆)1*60*180g</t>
  </si>
  <si>
    <t>糯米粉(紫菊)1*30*400g</t>
  </si>
  <si>
    <t>海天上等蚝油1*2*6kg</t>
  </si>
  <si>
    <t>辣椒酱(湘辣王)1*24*248g</t>
  </si>
  <si>
    <t>老才臣酱豆腐1*7.2kg</t>
  </si>
  <si>
    <t>大料(八角)</t>
  </si>
  <si>
    <t>广味源胡椒粉1*20*450g</t>
  </si>
  <si>
    <t>辣椒面</t>
  </si>
  <si>
    <t>猪油(正义)1*15kg</t>
  </si>
  <si>
    <t>李锦记蒸鱼豉油汁1*12*410ml</t>
  </si>
  <si>
    <t>海鲜酱(海天)1*2*7kg</t>
  </si>
  <si>
    <t>剁椒(浏阳河)1*6*1800g</t>
  </si>
  <si>
    <t>户户辣椒酱(韩国)1*20*500g</t>
  </si>
  <si>
    <t>蛋黄酱(味好美)1*4*3l</t>
  </si>
  <si>
    <t>鸡汁(家乐)1*6*1L</t>
  </si>
  <si>
    <t>玉米粒(吉丽)1*24*410g</t>
  </si>
  <si>
    <t>豆沙1*20*500g</t>
  </si>
  <si>
    <t>干黄酱(六必居)1*40**250g</t>
  </si>
  <si>
    <t>金枪鱼(力士皇冠)1*6</t>
  </si>
  <si>
    <t>料酒(永丰宝鼎)1*15*500g</t>
  </si>
  <si>
    <t>双喜泡打粉1*6*3.3kg</t>
  </si>
  <si>
    <t>米醋(龙门)1*4*5l</t>
  </si>
  <si>
    <t>生抽(海天)1*20*500ml</t>
  </si>
  <si>
    <t>沙拉酱(丘比)1*6*800g</t>
  </si>
  <si>
    <t>美极鲜味汁(雀巢)1*6*800ml</t>
  </si>
  <si>
    <t>茶树菇(干)</t>
  </si>
  <si>
    <t>黄酒(绍京)1*20*500g</t>
  </si>
  <si>
    <t>南乳汁(鼎丰)1*24*440g</t>
  </si>
  <si>
    <t>十三香(王守义)1*100*40g</t>
  </si>
  <si>
    <t>三磊阳江姜豉1*40*80g</t>
  </si>
  <si>
    <t>老抽王(海天)1*12*500ml</t>
  </si>
  <si>
    <t>干辣椒段(散)</t>
  </si>
  <si>
    <t>蒜茸酱(海天)1*15*230g</t>
  </si>
  <si>
    <t>豆腐王(绿宙)1*1000g</t>
  </si>
  <si>
    <t>麻椒</t>
  </si>
  <si>
    <t>柱侯酱(海天)1*2*6.5kg</t>
  </si>
  <si>
    <t>草果</t>
  </si>
  <si>
    <t>家乐香浓鸡粉1*6*1kg</t>
  </si>
  <si>
    <t>黑胡椒碎</t>
  </si>
  <si>
    <t>抓脆腌渍食用菌（滑子菇）1*4*3.5kg</t>
  </si>
  <si>
    <t>枸杞子</t>
  </si>
  <si>
    <t>孜然</t>
  </si>
  <si>
    <t>红三角碱面1*100*250g</t>
  </si>
  <si>
    <t>榛磨</t>
  </si>
  <si>
    <t>家乐番茄沙司1*6*3.25kg</t>
  </si>
  <si>
    <t>三花淡奶(雀巢)1*48*410g</t>
  </si>
  <si>
    <t>咖喱粉(妙多)1*12*350g</t>
  </si>
  <si>
    <t>蚝油(海天)1*12*700g</t>
  </si>
  <si>
    <t>家乐鲜鸡精1*10*900g</t>
  </si>
  <si>
    <t>陈醋(紫林)1*15*420ml</t>
  </si>
  <si>
    <t>香辣酱(阿香婆)1*24*210g</t>
  </si>
  <si>
    <t>豆沙(丰园)(桶)</t>
  </si>
  <si>
    <t>百花蜂蜜1*12*700g</t>
  </si>
  <si>
    <t>丽歌意大利面1*5*3kg</t>
  </si>
  <si>
    <t>古越龙山花雕酒1*20*600ml</t>
  </si>
  <si>
    <t>海米</t>
  </si>
  <si>
    <t>酸辣粉</t>
  </si>
  <si>
    <t>排骨酱(海天)1*15*260g</t>
  </si>
  <si>
    <t>冰糖(斤)</t>
  </si>
  <si>
    <t>神龙菠萝罐头1*12*560g</t>
  </si>
  <si>
    <t>腰果(斤)</t>
  </si>
  <si>
    <t>黄汁粉(家乐)1*12</t>
  </si>
  <si>
    <t>草莓酱(兆丰)1*12*1kg</t>
  </si>
  <si>
    <t>豆蔻</t>
  </si>
  <si>
    <t>淡奶油(雀巢)1*12*1L</t>
  </si>
  <si>
    <t>风车生粉1*25kg</t>
  </si>
  <si>
    <t>狮牌吉士粉1*4*3.5kg</t>
  </si>
  <si>
    <t>鲜露(家乐)850ml</t>
  </si>
  <si>
    <t>韭菜花(王致和)1*24*320g</t>
  </si>
  <si>
    <t>天鱼上海白醋1*6*2L</t>
  </si>
  <si>
    <t>芝士粉(卡夫)1*24*90g</t>
  </si>
  <si>
    <t>丰园莲茸1*14.8kg</t>
  </si>
  <si>
    <t>虾皮</t>
  </si>
  <si>
    <t>锦珍生抽(李锦记)1*12*500g</t>
  </si>
  <si>
    <t>户户大酱(韩国)1*20</t>
  </si>
  <si>
    <t>干豆角</t>
  </si>
  <si>
    <t>桂皮</t>
  </si>
  <si>
    <t>白腐乳(广合)1*12*335g</t>
  </si>
  <si>
    <t>金快达浓椰浆1*24*400g</t>
  </si>
  <si>
    <t>莲子(干)</t>
  </si>
  <si>
    <t>白胡椒粉(味好美)1*12*510g</t>
  </si>
  <si>
    <t>松仁(斤)</t>
  </si>
  <si>
    <t>奶油(金钻)1*12*1kg</t>
  </si>
  <si>
    <t>香叶</t>
  </si>
  <si>
    <t>肉扣</t>
  </si>
  <si>
    <t>葡萄干</t>
  </si>
  <si>
    <t>橙汁(劲霸)</t>
  </si>
  <si>
    <t>隆丰苹果酱1*12*1kg</t>
  </si>
  <si>
    <t>味精粉(双桥)1*25</t>
  </si>
  <si>
    <t>冠味新日式面包糠1*10*1kg</t>
  </si>
  <si>
    <t>妙多咖喱膏1*12*500g</t>
  </si>
  <si>
    <t>核桃仁(斤)</t>
  </si>
  <si>
    <t>番茄沙司(风球)1*250g</t>
  </si>
  <si>
    <t>玉米片(家乐氏)1*12*340g</t>
  </si>
  <si>
    <t>叉烧酱(海天)1*15*280g</t>
  </si>
  <si>
    <t>干荷叶</t>
  </si>
  <si>
    <t>牛排调料(味好美)</t>
  </si>
  <si>
    <t>陶华碧老干妈风味豆豉油质辣椒1*24*280g</t>
  </si>
  <si>
    <t>锦珍老抽(李锦记)1*12*500g</t>
  </si>
  <si>
    <t>熊猫调制甜炼乳1*48*370g</t>
  </si>
  <si>
    <t>海天黄豆酱1*6*2kg</t>
  </si>
  <si>
    <t>通心粉(蔡树)1*40*200g</t>
  </si>
  <si>
    <t>地捫番茄沙司1*24*340g</t>
  </si>
  <si>
    <t>海天海鲜酱1*15*250g</t>
  </si>
  <si>
    <t>蚝油(李锦记)1*12*510</t>
  </si>
  <si>
    <t>白鹤澄面1*40*454g</t>
  </si>
  <si>
    <t>草菇老抽(海天)1*12*500ml</t>
  </si>
  <si>
    <t>消泡剂(康利)1*10*1kg</t>
  </si>
  <si>
    <t>味好美特级红辣椒粉1*12*453g</t>
  </si>
  <si>
    <t>黑胡椒碎(味好美)1*12*453g</t>
  </si>
  <si>
    <t>牛肉清汤粉(家乐)1*12*500g</t>
  </si>
  <si>
    <t>司顿拉面剂1*30*500g</t>
  </si>
  <si>
    <t>三乐味淋1*18L</t>
  </si>
  <si>
    <t>香辣牛肉酱(阿香婆)1*24*210g</t>
  </si>
  <si>
    <t>海天柱侯酱1*15*240g</t>
  </si>
  <si>
    <t>鑫惠达孜然粉1*20*500g</t>
  </si>
  <si>
    <t>酱油(万字浓口)1*18l</t>
  </si>
  <si>
    <t>王致和大块腐乳1*15*340g</t>
  </si>
  <si>
    <t>狮牌吉士粉1*24*300g</t>
  </si>
  <si>
    <t>丁香</t>
  </si>
  <si>
    <t>大枣</t>
  </si>
  <si>
    <t>卡真调料(味好美)1*12*510g</t>
  </si>
  <si>
    <t>花生酱(顶好)1*12*450g</t>
  </si>
  <si>
    <t>海天威极生抽1*2*4.9L</t>
  </si>
  <si>
    <t>灯笼椒(散装)</t>
  </si>
  <si>
    <t>广味源沙姜粉1*20*454g</t>
  </si>
  <si>
    <t>椰茸(斤)</t>
  </si>
  <si>
    <t>老抽(海天)1*2*4.9L</t>
  </si>
  <si>
    <t>千岛酱(味好美)1*4*3l</t>
  </si>
  <si>
    <t>家乐松肉粉1*12*453.6g</t>
  </si>
  <si>
    <t>白汁粉(家乐)1*12</t>
  </si>
  <si>
    <t>黄姜粉(争王)1*500g</t>
  </si>
  <si>
    <t>糖桂花(紫菊)1*24*300g</t>
  </si>
  <si>
    <t>柠檬(劲霸)1*6*840ml</t>
  </si>
  <si>
    <t>辣酱(永丰)1*24*300g</t>
  </si>
  <si>
    <t>抓脆腌渍食用菌（草菇） 1*4*2.5kg</t>
  </si>
  <si>
    <t>粗黑胡椒粉(味好美)1*453g</t>
  </si>
  <si>
    <t>酱油(金狮)1*4*5L</t>
  </si>
  <si>
    <t>沙茶酱(广味源)1*15*220g</t>
  </si>
  <si>
    <t>黑胡椒汁(家乐)</t>
  </si>
  <si>
    <t>咖喱粉(味好美)500g</t>
  </si>
  <si>
    <t>白芷</t>
  </si>
  <si>
    <t>话梅(斤)</t>
  </si>
  <si>
    <t>良姜</t>
  </si>
  <si>
    <t>XO酱(李锦记)1*12*80g</t>
  </si>
  <si>
    <t>牛肉粉(大喜大)1*1kg</t>
  </si>
  <si>
    <t>金宝牛尾汤1*24*305g</t>
  </si>
  <si>
    <t>潘泰诺华星辣鸡酱1*12*730ml</t>
  </si>
  <si>
    <t>甜面酱(天源)1*24*300g</t>
  </si>
  <si>
    <t>小茴香</t>
  </si>
  <si>
    <t>天然食粉(斧头)1*24*454g</t>
  </si>
  <si>
    <t>同利惠达花椒粉1*24*500g</t>
  </si>
  <si>
    <t>粽叶</t>
  </si>
  <si>
    <t>陈醋(水塔)1*15*420ml</t>
  </si>
  <si>
    <t>红曲米(斤)</t>
  </si>
  <si>
    <t>德力助手日式乌冬面1*30*200g</t>
  </si>
  <si>
    <t>辣鲜露(家乐)1*6</t>
  </si>
  <si>
    <t>广味源沙爹酱1*15*220g</t>
  </si>
  <si>
    <t>份白糖(太古)</t>
  </si>
  <si>
    <t>塔塔粉(狮康)1*8*1000g</t>
  </si>
  <si>
    <t>锦辉味椒盐1*18*45g</t>
  </si>
  <si>
    <t>李派淋急汁1*6*290ml</t>
  </si>
  <si>
    <t>皇浦可可粉1*1kg</t>
  </si>
  <si>
    <t>多家香精装幼滑虾酱1*24*225g</t>
  </si>
  <si>
    <t>金杯鱼露 1*12*26OZ</t>
  </si>
  <si>
    <t>海鲜酱油(海天)1*12</t>
  </si>
  <si>
    <t>百里香(味好美)1*12*198g</t>
  </si>
  <si>
    <t>迷迭香草(味好美)1*170g</t>
  </si>
  <si>
    <t>永丰料酒1*6*2L</t>
  </si>
  <si>
    <t>张裕金奖白兰地1*12*750ml</t>
  </si>
  <si>
    <t>皮萨草叶(味好美)141g</t>
  </si>
  <si>
    <t>大瓜子仁</t>
  </si>
  <si>
    <t>蓉山泡椒1*36*250g</t>
  </si>
  <si>
    <t>陈皮</t>
  </si>
  <si>
    <t>红曲粉(斤)</t>
  </si>
  <si>
    <t>散干宽粉条</t>
  </si>
  <si>
    <t>党参</t>
  </si>
  <si>
    <t>辣椒仔(美国)1*12*60ml</t>
  </si>
  <si>
    <t>鑫惠达五香粉1*24*500g</t>
  </si>
  <si>
    <t>冰片糖(永鸿)27*17*14cm</t>
  </si>
  <si>
    <t>姜黄粉(味好美)1*12*453g</t>
  </si>
  <si>
    <t>蜜枣</t>
  </si>
  <si>
    <t>香茅草</t>
  </si>
  <si>
    <t>甘草</t>
  </si>
  <si>
    <t>臭粉(斧头)1*12*1200g</t>
  </si>
  <si>
    <t>山楂片</t>
  </si>
  <si>
    <t>跃马醇旧广东米酒1*12*610ml</t>
  </si>
  <si>
    <t>山奈</t>
  </si>
  <si>
    <t>番茄酱1*6*3kg</t>
  </si>
  <si>
    <t>面包改良剂(宝桃)1*500g</t>
  </si>
  <si>
    <t>奇妙酱(卡夫)1*12</t>
  </si>
  <si>
    <t>白胡椒粒(斤)</t>
  </si>
  <si>
    <t>劲霸青芥辣酱1*100*43g</t>
  </si>
  <si>
    <t>红薯粉(斤)</t>
  </si>
  <si>
    <t>罗汉果(个)</t>
  </si>
  <si>
    <t>金山恒顺香醋1*12*500ml</t>
  </si>
  <si>
    <t>姜片(斤)</t>
  </si>
  <si>
    <t>鹰金钱玫瑰露酒1*12*480g</t>
  </si>
  <si>
    <t>美国厨师红腰豆1*24*380g</t>
  </si>
  <si>
    <t>苹果醋(海天)1*450g</t>
  </si>
  <si>
    <t>粟粉(家乐)1*800g</t>
  </si>
  <si>
    <t>紫草</t>
  </si>
  <si>
    <t>红丝</t>
  </si>
  <si>
    <t>青丝</t>
  </si>
  <si>
    <t>大红浙醋(味道仔)1*12*620ml</t>
  </si>
  <si>
    <t>世界花无枝红车厘子1*12*737g</t>
  </si>
  <si>
    <t>当归</t>
  </si>
  <si>
    <t>干贡菜(斤)</t>
  </si>
  <si>
    <t>干豇豆</t>
  </si>
  <si>
    <t>玛利欧黑橄榄1*12*350g</t>
  </si>
  <si>
    <t>淮山</t>
  </si>
  <si>
    <t>星湖乙基麦芽酚1*24*500g</t>
  </si>
  <si>
    <t>广味源香滑磨豉酱1*15*200g</t>
  </si>
  <si>
    <t>南姜</t>
  </si>
  <si>
    <t>金牌厨师顶好大红色素1*12*300g</t>
  </si>
  <si>
    <t>沙仁</t>
  </si>
  <si>
    <t>石桥大酱(石桥)1*50*180g</t>
  </si>
  <si>
    <t>糖粉(斤)</t>
  </si>
  <si>
    <t>朱师傅绿茶粉1*12*500g</t>
  </si>
  <si>
    <t>九江双蒸酒1*610ml</t>
  </si>
  <si>
    <t>绿豆粉(斤)</t>
  </si>
  <si>
    <t>骨髓浸膏(独风轩)1*1kg</t>
  </si>
  <si>
    <t>亿品佳猪肉香精1*24*500g</t>
  </si>
  <si>
    <t>美极鸡粉1*12*1kg</t>
  </si>
  <si>
    <t>丽歌斜切面1*24*500g</t>
  </si>
  <si>
    <t>通心粉(丽歌)500g</t>
  </si>
  <si>
    <t>抓脆腌渍食用菌（口蘑）1*4*3.5kg</t>
  </si>
  <si>
    <t>虾干</t>
  </si>
  <si>
    <t>味好美辣椒粉1*12*520g</t>
  </si>
  <si>
    <t>蒜头粉(味好美)1*640g</t>
  </si>
  <si>
    <t>玉桂粉(味好美)1*453g</t>
  </si>
  <si>
    <t>罗勒叶(味好美)1*12*141g</t>
  </si>
  <si>
    <t>佰旺林福建香菇1*500g</t>
  </si>
  <si>
    <t>金牌厨师顶好橙黄色素1*12*300g</t>
  </si>
  <si>
    <t>北极虾虾油王1*12*630ml</t>
  </si>
  <si>
    <t>顶好橙红色素1*12*300g</t>
  </si>
  <si>
    <t>顶好苹果绿色素1*12*300g</t>
  </si>
  <si>
    <t>顶好日落黄色素1*12*300g</t>
  </si>
  <si>
    <t>顶好日落红色素1*12*300g</t>
  </si>
  <si>
    <t>恒顺全蛋面1*30*200g</t>
  </si>
  <si>
    <t>天山红番茄酱1*12*850g</t>
  </si>
  <si>
    <t>毕卜</t>
  </si>
  <si>
    <t>香果</t>
  </si>
  <si>
    <t>白扣</t>
  </si>
  <si>
    <t>味好美份沙司1*600*10g</t>
  </si>
  <si>
    <t>意大利调料(味好美)170g</t>
  </si>
  <si>
    <t>味好美蛇蒿叶1*99g</t>
  </si>
  <si>
    <t>李锦记锦珍豆瓣酱1*4*7kg</t>
  </si>
  <si>
    <t>绿桥牌蒜香粉1*24*400G</t>
  </si>
  <si>
    <t>干贝</t>
  </si>
  <si>
    <t>瑶柱</t>
  </si>
  <si>
    <t>帝王玉米</t>
  </si>
  <si>
    <t>汇福大豆油</t>
  </si>
  <si>
    <t>五得利特精粉</t>
  </si>
  <si>
    <t>五得利富强粉</t>
  </si>
  <si>
    <t>长粒香大米</t>
  </si>
  <si>
    <t>珍珠大米</t>
  </si>
  <si>
    <t>江米（长）</t>
  </si>
  <si>
    <t>江米（圆）</t>
  </si>
  <si>
    <t>紫米</t>
  </si>
  <si>
    <t>黑米</t>
  </si>
  <si>
    <t>小米</t>
  </si>
  <si>
    <t>玉米面</t>
  </si>
  <si>
    <t>玉米面（中粗）</t>
  </si>
  <si>
    <t>玉米渣</t>
  </si>
  <si>
    <t>大米面</t>
  </si>
  <si>
    <t>紫米面</t>
  </si>
  <si>
    <t>江米面</t>
  </si>
  <si>
    <t>荞麦面</t>
  </si>
  <si>
    <t>绿豆</t>
  </si>
  <si>
    <t>红豆</t>
  </si>
  <si>
    <t>黄豆</t>
  </si>
  <si>
    <t>芸豆</t>
  </si>
  <si>
    <t>花生米（去皮）</t>
  </si>
  <si>
    <t>花豆</t>
  </si>
  <si>
    <t>绿黄-黑豆</t>
  </si>
  <si>
    <t>燕麦片</t>
  </si>
  <si>
    <t>燕麦米</t>
  </si>
  <si>
    <t>高粱米</t>
  </si>
  <si>
    <t>玉米棒</t>
    <phoneticPr fontId="1" type="noConversion"/>
  </si>
  <si>
    <t>玉米棒</t>
    <phoneticPr fontId="17" type="noConversion"/>
  </si>
  <si>
    <t>牛肉</t>
    <phoneticPr fontId="1" type="noConversion"/>
  </si>
  <si>
    <t>豉椒肉片</t>
    <phoneticPr fontId="22" type="noConversion"/>
  </si>
  <si>
    <t>带鱼</t>
    <phoneticPr fontId="1" type="noConversion"/>
  </si>
  <si>
    <t>带鱼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</si>
</sst>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0.0_);[Red]\(0.0\)"/>
    <numFmt numFmtId="177" formatCode="0.00_ "/>
    <numFmt numFmtId="178" formatCode="0.00_);[Red]\(0.00\)"/>
    <numFmt numFmtId="179" formatCode="0.00_);\(0.00\)"/>
  </numFmts>
  <fonts count="49">
    <font>
      <sz val="12"/>
      <name val="宋体"/>
      <charset val="134"/>
    </font>
    <font>
      <sz val="9"/>
      <name val="宋体"/>
      <family val="3"/>
      <charset val="134"/>
    </font>
    <font>
      <sz val="12"/>
      <name val="楷体_GB2312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indexed="8"/>
      <name val="楷体_GB2312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color indexed="8"/>
      <name val="Comic Sans MS"/>
      <family val="4"/>
    </font>
    <font>
      <sz val="10"/>
      <name val="Comic Sans MS"/>
      <family val="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Comic Sans MS"/>
      <family val="4"/>
    </font>
    <font>
      <sz val="10"/>
      <color indexed="8"/>
      <name val="宋体"/>
      <family val="3"/>
      <charset val="134"/>
    </font>
    <font>
      <sz val="12"/>
      <name val="宋体"/>
      <family val="3"/>
      <charset val="134"/>
      <scheme val="minor"/>
    </font>
    <font>
      <sz val="12"/>
      <color indexed="8"/>
      <name val="宋体"/>
      <family val="3"/>
      <charset val="134"/>
      <scheme val="minor"/>
    </font>
    <font>
      <sz val="16"/>
      <name val="楷体_GB2312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楷体_GB2312"/>
      <family val="3"/>
      <charset val="134"/>
    </font>
    <font>
      <sz val="11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0"/>
      <color rgb="FFFF0000"/>
      <name val="Arial"/>
      <family val="2"/>
    </font>
    <font>
      <sz val="12"/>
      <color rgb="FF00B050"/>
      <name val="宋体"/>
      <family val="3"/>
      <charset val="134"/>
    </font>
    <font>
      <sz val="12"/>
      <color rgb="FFFF0000"/>
      <name val="宋体"/>
      <family val="3"/>
      <charset val="134"/>
      <scheme val="minor"/>
    </font>
    <font>
      <b/>
      <sz val="11"/>
      <color indexed="8"/>
      <name val="Comic Sans MS"/>
      <family val="4"/>
    </font>
    <font>
      <b/>
      <sz val="10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theme="6" tint="-0.249977111117893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color indexed="8"/>
      <name val="Arial Narrow"/>
      <family val="2"/>
    </font>
    <font>
      <b/>
      <sz val="11"/>
      <color indexed="8"/>
      <name val="Arial Narrow"/>
      <family val="2"/>
    </font>
    <font>
      <b/>
      <sz val="12"/>
      <color indexed="8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13" fillId="0" borderId="0">
      <alignment vertical="center"/>
    </xf>
    <xf numFmtId="0" fontId="5" fillId="3" borderId="0" applyNumberFormat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8" fillId="4" borderId="1" applyNumberFormat="0" applyAlignment="0" applyProtection="0">
      <alignment vertical="center"/>
    </xf>
    <xf numFmtId="0" fontId="7" fillId="0" borderId="0">
      <alignment vertical="center"/>
    </xf>
    <xf numFmtId="43" fontId="45" fillId="0" borderId="0" applyFont="0" applyFill="0" applyBorder="0" applyAlignment="0" applyProtection="0">
      <alignment vertical="center"/>
    </xf>
  </cellStyleXfs>
  <cellXfs count="301">
    <xf numFmtId="0" fontId="0" fillId="0" borderId="0" xfId="0"/>
    <xf numFmtId="0" fontId="0" fillId="0" borderId="2" xfId="0" applyBorder="1"/>
    <xf numFmtId="0" fontId="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2" fillId="8" borderId="0" xfId="0" applyFont="1" applyFill="1" applyAlignment="1">
      <alignment horizontal="left"/>
    </xf>
    <xf numFmtId="0" fontId="0" fillId="0" borderId="2" xfId="0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NumberFormat="1" applyFill="1" applyBorder="1" applyAlignment="1">
      <alignment vertical="center"/>
    </xf>
    <xf numFmtId="0" fontId="0" fillId="0" borderId="0" xfId="0" applyNumberFormat="1"/>
    <xf numFmtId="0" fontId="14" fillId="0" borderId="2" xfId="0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vertical="center" readingOrder="1"/>
    </xf>
    <xf numFmtId="14" fontId="0" fillId="0" borderId="0" xfId="0" applyNumberFormat="1" applyFill="1" applyBorder="1" applyAlignment="1">
      <alignment vertical="center" readingOrder="1"/>
    </xf>
    <xf numFmtId="14" fontId="0" fillId="0" borderId="0" xfId="0" applyNumberFormat="1" applyAlignment="1">
      <alignment vertical="center" readingOrder="1"/>
    </xf>
    <xf numFmtId="0" fontId="16" fillId="0" borderId="2" xfId="0" applyFont="1" applyFill="1" applyBorder="1" applyAlignment="1">
      <alignment horizontal="center" vertical="center"/>
    </xf>
    <xf numFmtId="178" fontId="18" fillId="8" borderId="2" xfId="0" applyNumberFormat="1" applyFont="1" applyFill="1" applyBorder="1" applyAlignment="1">
      <alignment horizontal="center" vertical="center"/>
    </xf>
    <xf numFmtId="178" fontId="18" fillId="8" borderId="2" xfId="0" applyNumberFormat="1" applyFont="1" applyFill="1" applyBorder="1" applyAlignment="1">
      <alignment horizontal="center"/>
    </xf>
    <xf numFmtId="0" fontId="18" fillId="8" borderId="2" xfId="0" applyFont="1" applyFill="1" applyBorder="1" applyAlignment="1">
      <alignment horizontal="center"/>
    </xf>
    <xf numFmtId="0" fontId="19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/>
    </xf>
    <xf numFmtId="177" fontId="2" fillId="0" borderId="2" xfId="0" applyNumberFormat="1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0" fontId="20" fillId="0" borderId="2" xfId="0" applyFont="1" applyFill="1" applyBorder="1" applyAlignment="1">
      <alignment horizontal="center" vertical="center"/>
    </xf>
    <xf numFmtId="178" fontId="14" fillId="0" borderId="2" xfId="0" applyNumberFormat="1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/>
    </xf>
    <xf numFmtId="0" fontId="7" fillId="0" borderId="2" xfId="0" applyFont="1" applyFill="1" applyBorder="1" applyAlignment="1">
      <alignment vertical="center"/>
    </xf>
    <xf numFmtId="178" fontId="14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177" fontId="2" fillId="9" borderId="2" xfId="0" applyNumberFormat="1" applyFont="1" applyFill="1" applyBorder="1" applyAlignment="1">
      <alignment horizontal="left" vertical="center"/>
    </xf>
    <xf numFmtId="0" fontId="21" fillId="0" borderId="2" xfId="0" applyFont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178" fontId="23" fillId="9" borderId="2" xfId="0" applyNumberFormat="1" applyFont="1" applyFill="1" applyBorder="1" applyAlignment="1" applyProtection="1">
      <alignment horizontal="center" vertical="center"/>
    </xf>
    <xf numFmtId="178" fontId="23" fillId="8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77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left" vertical="center"/>
    </xf>
    <xf numFmtId="178" fontId="2" fillId="0" borderId="2" xfId="0" applyNumberFormat="1" applyFont="1" applyFill="1" applyBorder="1" applyAlignment="1">
      <alignment horizontal="left"/>
    </xf>
    <xf numFmtId="0" fontId="24" fillId="0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 wrapText="1"/>
    </xf>
    <xf numFmtId="178" fontId="23" fillId="8" borderId="2" xfId="0" applyNumberFormat="1" applyFont="1" applyFill="1" applyBorder="1" applyAlignment="1">
      <alignment horizontal="center"/>
    </xf>
    <xf numFmtId="0" fontId="23" fillId="8" borderId="2" xfId="0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3" fillId="9" borderId="2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77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left" vertical="center"/>
    </xf>
    <xf numFmtId="0" fontId="2" fillId="9" borderId="2" xfId="0" applyNumberFormat="1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2" fillId="0" borderId="4" xfId="0" applyFont="1" applyFill="1" applyBorder="1" applyAlignment="1">
      <alignment horizontal="center" vertical="center"/>
    </xf>
    <xf numFmtId="0" fontId="2" fillId="0" borderId="8" xfId="0" applyFont="1" applyBorder="1" applyAlignment="1" applyProtection="1">
      <protection locked="0"/>
    </xf>
    <xf numFmtId="0" fontId="21" fillId="0" borderId="11" xfId="0" applyFont="1" applyBorder="1" applyAlignment="1">
      <alignment horizontal="center" vertical="center" wrapText="1"/>
    </xf>
    <xf numFmtId="0" fontId="2" fillId="0" borderId="8" xfId="0" applyFont="1" applyBorder="1" applyAlignment="1" applyProtection="1">
      <alignment horizontal="left"/>
      <protection locked="0"/>
    </xf>
    <xf numFmtId="0" fontId="2" fillId="0" borderId="9" xfId="0" applyFont="1" applyBorder="1" applyAlignment="1" applyProtection="1">
      <alignment horizontal="left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Continuous"/>
    </xf>
    <xf numFmtId="0" fontId="29" fillId="8" borderId="0" xfId="0" applyFont="1" applyFill="1" applyAlignment="1">
      <alignment horizontal="centerContinuous"/>
    </xf>
    <xf numFmtId="0" fontId="26" fillId="0" borderId="2" xfId="0" applyFont="1" applyFill="1" applyBorder="1" applyAlignment="1">
      <alignment horizontal="center" vertical="center"/>
    </xf>
    <xf numFmtId="178" fontId="23" fillId="9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7" fillId="0" borderId="2" xfId="5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 wrapText="1"/>
    </xf>
    <xf numFmtId="176" fontId="28" fillId="14" borderId="2" xfId="0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 wrapText="1"/>
    </xf>
    <xf numFmtId="177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0" fontId="2" fillId="15" borderId="2" xfId="0" applyFont="1" applyFill="1" applyBorder="1" applyAlignment="1">
      <alignment horizontal="left"/>
    </xf>
    <xf numFmtId="0" fontId="2" fillId="15" borderId="0" xfId="0" applyFont="1" applyFill="1" applyAlignment="1">
      <alignment horizontal="left"/>
    </xf>
    <xf numFmtId="0" fontId="2" fillId="9" borderId="8" xfId="0" applyFont="1" applyFill="1" applyBorder="1" applyAlignment="1" applyProtection="1">
      <alignment horizontal="left"/>
      <protection locked="0"/>
    </xf>
    <xf numFmtId="0" fontId="7" fillId="9" borderId="2" xfId="0" applyFont="1" applyFill="1" applyBorder="1" applyAlignment="1" applyProtection="1">
      <alignment horizontal="center" vertical="center" wrapText="1"/>
      <protection locked="0"/>
    </xf>
    <xf numFmtId="0" fontId="21" fillId="9" borderId="2" xfId="0" applyFont="1" applyFill="1" applyBorder="1" applyAlignment="1" applyProtection="1">
      <alignment horizontal="center" vertical="center" wrapText="1"/>
      <protection locked="0"/>
    </xf>
    <xf numFmtId="0" fontId="21" fillId="9" borderId="11" xfId="0" applyFont="1" applyFill="1" applyBorder="1" applyAlignment="1">
      <alignment horizontal="center" vertical="center" wrapText="1"/>
    </xf>
    <xf numFmtId="0" fontId="2" fillId="9" borderId="0" xfId="0" applyFont="1" applyFill="1" applyAlignment="1">
      <alignment horizontal="left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2" xfId="0" applyFont="1" applyBorder="1" applyAlignment="1">
      <alignment horizontal="left"/>
    </xf>
    <xf numFmtId="0" fontId="2" fillId="8" borderId="2" xfId="0" applyFont="1" applyFill="1" applyBorder="1" applyAlignment="1">
      <alignment horizontal="left"/>
    </xf>
    <xf numFmtId="0" fontId="2" fillId="9" borderId="2" xfId="0" applyFont="1" applyFill="1" applyBorder="1" applyAlignment="1">
      <alignment horizontal="left"/>
    </xf>
    <xf numFmtId="0" fontId="2" fillId="0" borderId="3" xfId="0" applyFont="1" applyBorder="1" applyAlignment="1">
      <alignment horizontal="left"/>
    </xf>
    <xf numFmtId="0" fontId="7" fillId="12" borderId="2" xfId="0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/>
    <xf numFmtId="0" fontId="7" fillId="0" borderId="0" xfId="0" applyFont="1"/>
    <xf numFmtId="0" fontId="27" fillId="13" borderId="2" xfId="0" applyFont="1" applyFill="1" applyBorder="1" applyAlignment="1" applyProtection="1">
      <alignment horizontal="center"/>
      <protection locked="0"/>
    </xf>
    <xf numFmtId="0" fontId="0" fillId="13" borderId="2" xfId="0" applyFill="1" applyBorder="1" applyAlignment="1" applyProtection="1">
      <alignment horizontal="center" vertical="center" wrapText="1"/>
      <protection locked="0"/>
    </xf>
    <xf numFmtId="0" fontId="27" fillId="0" borderId="2" xfId="0" applyFont="1" applyBorder="1" applyAlignment="1">
      <alignment horizontal="center"/>
    </xf>
    <xf numFmtId="0" fontId="2" fillId="0" borderId="2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14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7" fillId="0" borderId="2" xfId="0" applyFont="1" applyBorder="1"/>
    <xf numFmtId="0" fontId="2" fillId="0" borderId="2" xfId="0" applyFont="1" applyFill="1" applyBorder="1" applyAlignment="1">
      <alignment horizontal="left" vertical="center"/>
    </xf>
    <xf numFmtId="0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8" fontId="2" fillId="9" borderId="2" xfId="0" applyNumberFormat="1" applyFont="1" applyFill="1" applyBorder="1" applyAlignment="1">
      <alignment horizontal="left" vertical="center"/>
    </xf>
    <xf numFmtId="0" fontId="31" fillId="0" borderId="2" xfId="0" applyFont="1" applyFill="1" applyBorder="1" applyAlignment="1">
      <alignment horizontal="center" vertical="center" wrapText="1"/>
    </xf>
    <xf numFmtId="0" fontId="32" fillId="0" borderId="2" xfId="0" applyFont="1" applyFill="1" applyBorder="1" applyAlignment="1">
      <alignment horizontal="left" vertical="center"/>
    </xf>
    <xf numFmtId="177" fontId="32" fillId="0" borderId="2" xfId="0" applyNumberFormat="1" applyFont="1" applyFill="1" applyBorder="1" applyAlignment="1">
      <alignment horizontal="left" vertical="center"/>
    </xf>
    <xf numFmtId="0" fontId="32" fillId="0" borderId="2" xfId="0" applyNumberFormat="1" applyFont="1" applyFill="1" applyBorder="1" applyAlignment="1">
      <alignment horizontal="left" vertical="center"/>
    </xf>
    <xf numFmtId="178" fontId="31" fillId="0" borderId="2" xfId="0" applyNumberFormat="1" applyFont="1" applyFill="1" applyBorder="1" applyAlignment="1">
      <alignment horizontal="center" vertical="center" wrapText="1"/>
    </xf>
    <xf numFmtId="0" fontId="32" fillId="0" borderId="2" xfId="0" applyFont="1" applyFill="1" applyBorder="1" applyAlignment="1">
      <alignment horizontal="left" vertical="center" wrapText="1"/>
    </xf>
    <xf numFmtId="0" fontId="31" fillId="0" borderId="2" xfId="0" applyFont="1" applyBorder="1" applyAlignment="1">
      <alignment horizontal="center" vertical="center" wrapText="1"/>
    </xf>
    <xf numFmtId="0" fontId="33" fillId="0" borderId="2" xfId="0" applyFont="1" applyFill="1" applyBorder="1" applyAlignment="1">
      <alignment horizontal="center" vertical="center"/>
    </xf>
    <xf numFmtId="0" fontId="33" fillId="8" borderId="2" xfId="0" applyFont="1" applyFill="1" applyBorder="1" applyAlignment="1">
      <alignment horizontal="center"/>
    </xf>
    <xf numFmtId="0" fontId="34" fillId="0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77" fontId="32" fillId="9" borderId="2" xfId="0" applyNumberFormat="1" applyFont="1" applyFill="1" applyBorder="1" applyAlignment="1">
      <alignment horizontal="left" vertical="center"/>
    </xf>
    <xf numFmtId="0" fontId="35" fillId="8" borderId="2" xfId="0" applyFont="1" applyFill="1" applyBorder="1" applyAlignment="1">
      <alignment horizontal="center"/>
    </xf>
    <xf numFmtId="0" fontId="32" fillId="9" borderId="2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center" vertical="center"/>
    </xf>
    <xf numFmtId="178" fontId="33" fillId="8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0" fontId="31" fillId="0" borderId="6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left"/>
    </xf>
    <xf numFmtId="0" fontId="31" fillId="0" borderId="2" xfId="0" applyFont="1" applyBorder="1"/>
    <xf numFmtId="0" fontId="31" fillId="0" borderId="2" xfId="0" applyFont="1" applyFill="1" applyBorder="1" applyAlignment="1">
      <alignment horizontal="center" vertical="center"/>
    </xf>
    <xf numFmtId="178" fontId="33" fillId="8" borderId="2" xfId="0" applyNumberFormat="1" applyFont="1" applyFill="1" applyBorder="1" applyAlignment="1">
      <alignment horizontal="center"/>
    </xf>
    <xf numFmtId="0" fontId="37" fillId="0" borderId="2" xfId="0" applyFont="1" applyBorder="1" applyAlignment="1">
      <alignment horizontal="center" vertical="center" wrapText="1"/>
    </xf>
    <xf numFmtId="0" fontId="31" fillId="0" borderId="2" xfId="0" applyFont="1" applyBorder="1" applyAlignment="1" applyProtection="1">
      <alignment horizontal="center" vertical="center" wrapText="1"/>
      <protection locked="0"/>
    </xf>
    <xf numFmtId="0" fontId="31" fillId="9" borderId="2" xfId="0" applyFont="1" applyFill="1" applyBorder="1" applyAlignment="1" applyProtection="1">
      <alignment horizontal="center" vertical="center" wrapText="1"/>
      <protection locked="0"/>
    </xf>
    <xf numFmtId="0" fontId="31" fillId="9" borderId="6" xfId="0" applyFont="1" applyFill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0" fontId="21" fillId="0" borderId="2" xfId="0" applyFont="1" applyFill="1" applyBorder="1" applyAlignment="1" applyProtection="1">
      <alignment horizontal="center" vertical="center" wrapText="1"/>
      <protection locked="0"/>
    </xf>
    <xf numFmtId="0" fontId="21" fillId="0" borderId="2" xfId="0" applyFont="1" applyFill="1" applyBorder="1" applyAlignment="1">
      <alignment horizontal="center" vertical="center" wrapText="1"/>
    </xf>
    <xf numFmtId="0" fontId="0" fillId="0" borderId="2" xfId="0" applyFill="1" applyBorder="1"/>
    <xf numFmtId="0" fontId="7" fillId="0" borderId="2" xfId="0" applyFont="1" applyFill="1" applyBorder="1"/>
    <xf numFmtId="0" fontId="0" fillId="0" borderId="2" xfId="0" applyFill="1" applyBorder="1" applyAlignment="1">
      <alignment wrapText="1"/>
    </xf>
    <xf numFmtId="0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0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0" fontId="27" fillId="0" borderId="2" xfId="0" applyFont="1" applyBorder="1" applyAlignment="1">
      <alignment horizontal="center" wrapText="1"/>
    </xf>
    <xf numFmtId="0" fontId="27" fillId="0" borderId="2" xfId="0" applyFont="1" applyBorder="1" applyAlignment="1" applyProtection="1">
      <alignment horizontal="centerContinuous" wrapText="1"/>
      <protection locked="0"/>
    </xf>
    <xf numFmtId="0" fontId="27" fillId="0" borderId="2" xfId="0" applyFont="1" applyBorder="1" applyAlignment="1">
      <alignment horizontal="centerContinuous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Fill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wrapText="1"/>
    </xf>
    <xf numFmtId="0" fontId="2" fillId="0" borderId="2" xfId="0" applyFont="1" applyFill="1" applyBorder="1" applyAlignment="1">
      <alignment horizontal="left" vertical="center"/>
    </xf>
    <xf numFmtId="178" fontId="18" fillId="8" borderId="2" xfId="0" applyNumberFormat="1" applyFont="1" applyFill="1" applyBorder="1" applyAlignment="1" applyProtection="1">
      <alignment horizontal="center" vertical="center"/>
    </xf>
    <xf numFmtId="0" fontId="18" fillId="8" borderId="2" xfId="0" applyFont="1" applyFill="1" applyBorder="1" applyAlignment="1" applyProtection="1">
      <alignment horizontal="center" vertical="center"/>
    </xf>
    <xf numFmtId="0" fontId="39" fillId="8" borderId="2" xfId="0" applyFont="1" applyFill="1" applyBorder="1" applyAlignment="1" applyProtection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41" fillId="0" borderId="2" xfId="0" applyFont="1" applyFill="1" applyBorder="1" applyAlignment="1">
      <alignment horizontal="center" vertical="center"/>
    </xf>
    <xf numFmtId="0" fontId="40" fillId="0" borderId="2" xfId="0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wrapText="1"/>
    </xf>
    <xf numFmtId="0" fontId="27" fillId="0" borderId="14" xfId="0" applyFont="1" applyBorder="1" applyAlignment="1" applyProtection="1">
      <alignment horizontal="centerContinuous" wrapText="1"/>
      <protection locked="0"/>
    </xf>
    <xf numFmtId="0" fontId="27" fillId="0" borderId="14" xfId="0" applyFont="1" applyBorder="1" applyAlignment="1">
      <alignment horizontal="centerContinuous" wrapText="1"/>
    </xf>
    <xf numFmtId="0" fontId="27" fillId="0" borderId="14" xfId="0" applyFont="1" applyFill="1" applyBorder="1" applyAlignment="1" applyProtection="1">
      <alignment horizontal="centerContinuous" wrapText="1"/>
      <protection locked="0"/>
    </xf>
    <xf numFmtId="0" fontId="27" fillId="13" borderId="14" xfId="0" applyFont="1" applyFill="1" applyBorder="1" applyAlignment="1">
      <alignment horizontal="centerContinuous" wrapText="1"/>
    </xf>
    <xf numFmtId="0" fontId="7" fillId="14" borderId="4" xfId="5" applyFont="1" applyFill="1" applyBorder="1" applyAlignment="1">
      <alignment horizontal="center" vertical="center" shrinkToFit="1"/>
    </xf>
    <xf numFmtId="0" fontId="7" fillId="14" borderId="2" xfId="5" applyFont="1" applyFill="1" applyBorder="1" applyAlignment="1">
      <alignment horizontal="center" vertical="center" shrinkToFit="1"/>
    </xf>
    <xf numFmtId="0" fontId="7" fillId="12" borderId="4" xfId="5" applyFont="1" applyFill="1" applyBorder="1" applyAlignment="1" applyProtection="1">
      <alignment horizontal="center" vertical="center" shrinkToFit="1"/>
      <protection locked="0"/>
    </xf>
    <xf numFmtId="0" fontId="27" fillId="12" borderId="4" xfId="0" applyFont="1" applyFill="1" applyBorder="1" applyAlignment="1">
      <alignment horizontal="center" vertical="center" shrinkToFit="1"/>
    </xf>
    <xf numFmtId="0" fontId="7" fillId="12" borderId="4" xfId="0" applyFont="1" applyFill="1" applyBorder="1" applyAlignment="1" applyProtection="1">
      <alignment horizontal="center" vertical="center" shrinkToFit="1"/>
      <protection locked="0"/>
    </xf>
    <xf numFmtId="0" fontId="27" fillId="14" borderId="4" xfId="0" applyFont="1" applyFill="1" applyBorder="1" applyAlignment="1">
      <alignment horizontal="center" vertical="center" shrinkToFit="1"/>
    </xf>
    <xf numFmtId="0" fontId="27" fillId="14" borderId="4" xfId="5" applyFont="1" applyFill="1" applyBorder="1" applyAlignment="1">
      <alignment horizontal="center" vertical="center" shrinkToFit="1"/>
    </xf>
    <xf numFmtId="176" fontId="28" fillId="14" borderId="4" xfId="0" applyNumberFormat="1" applyFont="1" applyFill="1" applyBorder="1" applyAlignment="1">
      <alignment horizontal="center" vertical="center" shrinkToFit="1"/>
    </xf>
    <xf numFmtId="0" fontId="7" fillId="13" borderId="4" xfId="5" applyFont="1" applyFill="1" applyBorder="1" applyAlignment="1">
      <alignment horizontal="center" vertical="center" shrinkToFit="1"/>
    </xf>
    <xf numFmtId="0" fontId="27" fillId="13" borderId="4" xfId="0" applyFont="1" applyFill="1" applyBorder="1" applyAlignment="1">
      <alignment horizontal="center" vertical="center" shrinkToFit="1"/>
    </xf>
    <xf numFmtId="0" fontId="27" fillId="13" borderId="4" xfId="5" applyFont="1" applyFill="1" applyBorder="1" applyAlignment="1">
      <alignment horizontal="center" vertical="center" shrinkToFit="1"/>
    </xf>
    <xf numFmtId="176" fontId="28" fillId="13" borderId="10" xfId="0" applyNumberFormat="1" applyFont="1" applyFill="1" applyBorder="1" applyAlignment="1">
      <alignment horizontal="center" vertical="center" shrinkToFit="1"/>
    </xf>
    <xf numFmtId="0" fontId="7" fillId="12" borderId="2" xfId="5" applyFill="1" applyBorder="1" applyAlignment="1" applyProtection="1">
      <alignment horizontal="center" vertical="center" shrinkToFit="1"/>
      <protection locked="0"/>
    </xf>
    <xf numFmtId="0" fontId="7" fillId="12" borderId="2" xfId="0" applyFont="1" applyFill="1" applyBorder="1" applyAlignment="1" applyProtection="1">
      <alignment horizontal="center" vertical="center" shrinkToFit="1"/>
      <protection locked="0"/>
    </xf>
    <xf numFmtId="0" fontId="7" fillId="12" borderId="2" xfId="5" applyFont="1" applyFill="1" applyBorder="1" applyAlignment="1" applyProtection="1">
      <alignment horizontal="center" vertical="center" shrinkToFit="1"/>
      <protection locked="0"/>
    </xf>
    <xf numFmtId="0" fontId="7" fillId="14" borderId="2" xfId="5" applyFill="1" applyBorder="1" applyAlignment="1">
      <alignment horizontal="center" vertical="center" shrinkToFit="1"/>
    </xf>
    <xf numFmtId="0" fontId="27" fillId="14" borderId="2" xfId="5" applyFont="1" applyFill="1" applyBorder="1" applyAlignment="1">
      <alignment horizontal="center" vertical="center" shrinkToFit="1"/>
    </xf>
    <xf numFmtId="0" fontId="7" fillId="13" borderId="2" xfId="5" applyFill="1" applyBorder="1" applyAlignment="1">
      <alignment horizontal="center" vertical="center" shrinkToFit="1"/>
    </xf>
    <xf numFmtId="0" fontId="7" fillId="13" borderId="2" xfId="5" applyFont="1" applyFill="1" applyBorder="1" applyAlignment="1">
      <alignment horizontal="center" vertical="center" shrinkToFit="1"/>
    </xf>
    <xf numFmtId="0" fontId="27" fillId="13" borderId="2" xfId="5" applyFont="1" applyFill="1" applyBorder="1" applyAlignment="1">
      <alignment horizontal="center" vertical="center" shrinkToFit="1"/>
    </xf>
    <xf numFmtId="0" fontId="27" fillId="12" borderId="2" xfId="5" applyFont="1" applyFill="1" applyBorder="1" applyAlignment="1" applyProtection="1">
      <alignment horizontal="center" vertical="center" shrinkToFit="1"/>
      <protection locked="0"/>
    </xf>
    <xf numFmtId="176" fontId="28" fillId="14" borderId="2" xfId="5" applyNumberFormat="1" applyFont="1" applyFill="1" applyBorder="1" applyAlignment="1">
      <alignment horizontal="center" vertical="center" shrinkToFit="1"/>
    </xf>
    <xf numFmtId="0" fontId="27" fillId="13" borderId="2" xfId="5" applyFont="1" applyFill="1" applyBorder="1" applyAlignment="1">
      <alignment horizontal="center" shrinkToFit="1"/>
    </xf>
    <xf numFmtId="0" fontId="27" fillId="12" borderId="2" xfId="0" applyFont="1" applyFill="1" applyBorder="1" applyAlignment="1" applyProtection="1">
      <alignment horizontal="center" shrinkToFit="1"/>
      <protection locked="0"/>
    </xf>
    <xf numFmtId="0" fontId="7" fillId="12" borderId="5" xfId="5" applyFill="1" applyBorder="1" applyAlignment="1" applyProtection="1">
      <alignment horizontal="center" vertical="center" shrinkToFit="1"/>
      <protection locked="0"/>
    </xf>
    <xf numFmtId="0" fontId="27" fillId="12" borderId="5" xfId="0" applyFont="1" applyFill="1" applyBorder="1" applyAlignment="1">
      <alignment horizontal="center" vertical="center" shrinkToFit="1"/>
    </xf>
    <xf numFmtId="0" fontId="27" fillId="12" borderId="5" xfId="0" applyFont="1" applyFill="1" applyBorder="1" applyAlignment="1" applyProtection="1">
      <alignment horizontal="center" shrinkToFit="1"/>
      <protection locked="0"/>
    </xf>
    <xf numFmtId="0" fontId="27" fillId="12" borderId="5" xfId="5" applyFont="1" applyFill="1" applyBorder="1" applyAlignment="1" applyProtection="1">
      <alignment horizontal="center" vertical="center" shrinkToFit="1"/>
      <protection locked="0"/>
    </xf>
    <xf numFmtId="0" fontId="27" fillId="14" borderId="5" xfId="5" applyFont="1" applyFill="1" applyBorder="1" applyAlignment="1">
      <alignment horizontal="center" vertical="center" shrinkToFit="1"/>
    </xf>
    <xf numFmtId="176" fontId="28" fillId="14" borderId="5" xfId="5" applyNumberFormat="1" applyFont="1" applyFill="1" applyBorder="1" applyAlignment="1">
      <alignment horizontal="center" vertical="center" shrinkToFit="1"/>
    </xf>
    <xf numFmtId="0" fontId="27" fillId="13" borderId="5" xfId="5" applyFont="1" applyFill="1" applyBorder="1" applyAlignment="1">
      <alignment horizontal="center" shrinkToFit="1"/>
    </xf>
    <xf numFmtId="0" fontId="27" fillId="13" borderId="5" xfId="5" applyFont="1" applyFill="1" applyBorder="1" applyAlignment="1">
      <alignment horizontal="center" vertical="center" shrinkToFit="1"/>
    </xf>
    <xf numFmtId="177" fontId="2" fillId="0" borderId="2" xfId="0" applyNumberFormat="1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178" fontId="7" fillId="0" borderId="0" xfId="0" applyNumberFormat="1" applyFont="1"/>
    <xf numFmtId="0" fontId="32" fillId="16" borderId="2" xfId="0" applyFont="1" applyFill="1" applyBorder="1" applyAlignment="1">
      <alignment horizontal="left"/>
    </xf>
    <xf numFmtId="0" fontId="2" fillId="16" borderId="2" xfId="0" applyFont="1" applyFill="1" applyBorder="1" applyAlignment="1">
      <alignment horizontal="left"/>
    </xf>
    <xf numFmtId="0" fontId="2" fillId="16" borderId="0" xfId="0" applyFont="1" applyFill="1" applyAlignment="1">
      <alignment horizontal="left"/>
    </xf>
    <xf numFmtId="0" fontId="18" fillId="0" borderId="2" xfId="0" applyFont="1" applyBorder="1" applyAlignment="1">
      <alignment horizontal="center" wrapText="1"/>
    </xf>
    <xf numFmtId="0" fontId="18" fillId="0" borderId="2" xfId="0" applyFont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0" fillId="0" borderId="2" xfId="0" applyNumberFormat="1" applyBorder="1"/>
    <xf numFmtId="178" fontId="7" fillId="0" borderId="2" xfId="0" applyNumberFormat="1" applyFont="1" applyBorder="1"/>
    <xf numFmtId="0" fontId="7" fillId="14" borderId="4" xfId="5" applyFill="1" applyBorder="1" applyAlignment="1">
      <alignment horizontal="center" vertical="center" shrinkToFit="1"/>
    </xf>
    <xf numFmtId="0" fontId="7" fillId="13" borderId="4" xfId="5" applyFill="1" applyBorder="1" applyAlignment="1">
      <alignment horizontal="center" vertical="center" shrinkToFit="1"/>
    </xf>
    <xf numFmtId="0" fontId="27" fillId="12" borderId="2" xfId="0" applyFont="1" applyFill="1" applyBorder="1" applyAlignment="1">
      <alignment horizontal="center" vertical="center" shrinkToFit="1"/>
    </xf>
    <xf numFmtId="0" fontId="27" fillId="14" borderId="2" xfId="0" applyFont="1" applyFill="1" applyBorder="1" applyAlignment="1">
      <alignment horizontal="center" vertical="center" shrinkToFit="1"/>
    </xf>
    <xf numFmtId="176" fontId="28" fillId="14" borderId="2" xfId="0" applyNumberFormat="1" applyFont="1" applyFill="1" applyBorder="1" applyAlignment="1">
      <alignment horizontal="center" vertical="center" shrinkToFit="1"/>
    </xf>
    <xf numFmtId="0" fontId="27" fillId="13" borderId="2" xfId="0" applyFont="1" applyFill="1" applyBorder="1" applyAlignment="1">
      <alignment horizontal="center" vertical="center" shrinkToFit="1"/>
    </xf>
    <xf numFmtId="176" fontId="28" fillId="13" borderId="11" xfId="0" applyNumberFormat="1" applyFont="1" applyFill="1" applyBorder="1" applyAlignment="1">
      <alignment horizontal="center" vertical="center" shrinkToFit="1"/>
    </xf>
    <xf numFmtId="0" fontId="27" fillId="14" borderId="5" xfId="0" applyFont="1" applyFill="1" applyBorder="1" applyAlignment="1">
      <alignment horizontal="center" vertical="center" shrinkToFit="1"/>
    </xf>
    <xf numFmtId="176" fontId="28" fillId="14" borderId="5" xfId="0" applyNumberFormat="1" applyFont="1" applyFill="1" applyBorder="1" applyAlignment="1">
      <alignment horizontal="center" vertical="center" shrinkToFit="1"/>
    </xf>
    <xf numFmtId="0" fontId="27" fillId="13" borderId="5" xfId="0" applyFont="1" applyFill="1" applyBorder="1" applyAlignment="1">
      <alignment horizontal="center" vertical="center" shrinkToFit="1"/>
    </xf>
    <xf numFmtId="176" fontId="28" fillId="13" borderId="15" xfId="0" applyNumberFormat="1" applyFont="1" applyFill="1" applyBorder="1" applyAlignment="1">
      <alignment horizontal="center" vertical="center" shrinkToFit="1"/>
    </xf>
    <xf numFmtId="0" fontId="27" fillId="9" borderId="2" xfId="5" applyFont="1" applyFill="1" applyBorder="1" applyAlignment="1">
      <alignment horizontal="center" vertical="center" shrinkToFit="1"/>
    </xf>
    <xf numFmtId="0" fontId="0" fillId="0" borderId="3" xfId="0" applyNumberFormat="1" applyBorder="1"/>
    <xf numFmtId="0" fontId="0" fillId="0" borderId="12" xfId="0" applyFill="1" applyBorder="1"/>
    <xf numFmtId="0" fontId="7" fillId="0" borderId="12" xfId="0" applyFont="1" applyFill="1" applyBorder="1"/>
    <xf numFmtId="0" fontId="42" fillId="12" borderId="2" xfId="5" applyFont="1" applyFill="1" applyBorder="1" applyAlignment="1" applyProtection="1">
      <alignment horizontal="center" vertical="center" shrinkToFit="1"/>
      <protection locked="0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43" fillId="13" borderId="2" xfId="5" applyFont="1" applyFill="1" applyBorder="1" applyAlignment="1">
      <alignment horizontal="center" vertical="center" shrinkToFit="1"/>
    </xf>
    <xf numFmtId="0" fontId="44" fillId="13" borderId="2" xfId="5" applyFont="1" applyFill="1" applyBorder="1" applyAlignment="1">
      <alignment horizontal="center" vertical="center" shrinkToFit="1"/>
    </xf>
    <xf numFmtId="0" fontId="44" fillId="13" borderId="4" xfId="5" applyFont="1" applyFill="1" applyBorder="1" applyAlignment="1">
      <alignment horizontal="center" vertical="center" shrinkToFit="1"/>
    </xf>
    <xf numFmtId="176" fontId="44" fillId="13" borderId="10" xfId="0" applyNumberFormat="1" applyFont="1" applyFill="1" applyBorder="1" applyAlignment="1">
      <alignment horizontal="center" vertical="center" shrinkToFit="1"/>
    </xf>
    <xf numFmtId="176" fontId="44" fillId="13" borderId="11" xfId="0" applyNumberFormat="1" applyFont="1" applyFill="1" applyBorder="1" applyAlignment="1">
      <alignment horizontal="center" vertical="center" shrinkToFit="1"/>
    </xf>
    <xf numFmtId="0" fontId="7" fillId="12" borderId="4" xfId="5" applyFill="1" applyBorder="1" applyAlignment="1" applyProtection="1">
      <alignment horizontal="center" vertical="center" shrinkToFit="1"/>
      <protection locked="0"/>
    </xf>
    <xf numFmtId="0" fontId="43" fillId="13" borderId="5" xfId="5" applyFont="1" applyFill="1" applyBorder="1" applyAlignment="1">
      <alignment horizontal="center" vertical="center" shrinkToFit="1"/>
    </xf>
    <xf numFmtId="176" fontId="43" fillId="13" borderId="15" xfId="0" applyNumberFormat="1" applyFont="1" applyFill="1" applyBorder="1" applyAlignment="1">
      <alignment horizontal="center" vertical="center" shrinkToFit="1"/>
    </xf>
    <xf numFmtId="0" fontId="7" fillId="13" borderId="5" xfId="5" applyFont="1" applyFill="1" applyBorder="1" applyAlignment="1">
      <alignment horizontal="center" vertical="center" shrinkToFit="1"/>
    </xf>
    <xf numFmtId="179" fontId="46" fillId="8" borderId="2" xfId="18" applyNumberFormat="1" applyFont="1" applyFill="1" applyBorder="1" applyAlignment="1" applyProtection="1">
      <alignment horizontal="center"/>
    </xf>
    <xf numFmtId="178" fontId="47" fillId="8" borderId="2" xfId="0" applyNumberFormat="1" applyFont="1" applyFill="1" applyBorder="1" applyAlignment="1">
      <alignment horizontal="center" vertical="center"/>
    </xf>
    <xf numFmtId="179" fontId="48" fillId="8" borderId="2" xfId="18" applyNumberFormat="1" applyFont="1" applyFill="1" applyBorder="1" applyAlignment="1" applyProtection="1">
      <alignment horizontal="center"/>
    </xf>
    <xf numFmtId="179" fontId="46" fillId="8" borderId="2" xfId="18" applyNumberFormat="1" applyFont="1" applyFill="1" applyBorder="1" applyAlignment="1" applyProtection="1">
      <alignment horizontal="center" vertical="center"/>
    </xf>
    <xf numFmtId="0" fontId="27" fillId="0" borderId="7" xfId="0" applyFont="1" applyBorder="1" applyAlignment="1">
      <alignment horizontal="center" vertical="center" textRotation="255" wrapText="1" shrinkToFit="1"/>
    </xf>
    <xf numFmtId="0" fontId="27" fillId="0" borderId="8" xfId="0" applyFont="1" applyBorder="1" applyAlignment="1">
      <alignment horizontal="center" vertical="center" textRotation="255" shrinkToFit="1"/>
    </xf>
    <xf numFmtId="0" fontId="27" fillId="0" borderId="9" xfId="0" applyFont="1" applyBorder="1" applyAlignment="1">
      <alignment horizontal="center" vertical="center" textRotation="255" shrinkToFit="1"/>
    </xf>
    <xf numFmtId="0" fontId="27" fillId="0" borderId="2" xfId="0" applyFont="1" applyBorder="1" applyAlignment="1">
      <alignment horizontal="center" wrapText="1"/>
    </xf>
    <xf numFmtId="0" fontId="2" fillId="0" borderId="2" xfId="0" applyFont="1" applyFill="1" applyBorder="1" applyAlignment="1">
      <alignment horizontal="left" vertical="center" wrapText="1"/>
    </xf>
    <xf numFmtId="0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177" fontId="2" fillId="0" borderId="2" xfId="0" applyNumberFormat="1" applyFont="1" applyFill="1" applyBorder="1" applyAlignment="1">
      <alignment horizontal="left" vertical="center"/>
    </xf>
    <xf numFmtId="0" fontId="2" fillId="15" borderId="2" xfId="0" applyFont="1" applyFill="1" applyBorder="1" applyAlignment="1">
      <alignment horizontal="left" vertical="center"/>
    </xf>
    <xf numFmtId="176" fontId="2" fillId="0" borderId="2" xfId="0" applyNumberFormat="1" applyFont="1" applyFill="1" applyBorder="1" applyAlignment="1">
      <alignment horizontal="left" vertical="center"/>
    </xf>
    <xf numFmtId="0" fontId="2" fillId="16" borderId="2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vertical="center"/>
    </xf>
    <xf numFmtId="176" fontId="18" fillId="8" borderId="2" xfId="0" applyNumberFormat="1" applyFont="1" applyFill="1" applyBorder="1" applyAlignment="1">
      <alignment horizontal="center" vertical="center"/>
    </xf>
  </cellXfs>
  <cellStyles count="19">
    <cellStyle name="差" xfId="1" builtinId="27" customBuiltin="1"/>
    <cellStyle name="差 2" xfId="2"/>
    <cellStyle name="常规" xfId="0" builtinId="0"/>
    <cellStyle name="常规 2" xfId="3"/>
    <cellStyle name="常规 2 2" xfId="4"/>
    <cellStyle name="常规 2 2 2" xfId="5"/>
    <cellStyle name="常规 3" xfId="6"/>
    <cellStyle name="常规 4" xfId="7"/>
    <cellStyle name="常规 5" xfId="8"/>
    <cellStyle name="常规 5 2" xfId="17"/>
    <cellStyle name="好" xfId="9" builtinId="26" customBuiltin="1"/>
    <cellStyle name="货币 2" xfId="10"/>
    <cellStyle name="货币 3" xfId="11"/>
    <cellStyle name="千位分隔" xfId="18" builtinId="3"/>
    <cellStyle name="强调文字颜色 1" xfId="12" builtinId="29" customBuiltin="1"/>
    <cellStyle name="强调文字颜色 3" xfId="13" builtinId="37" customBuiltin="1"/>
    <cellStyle name="适中" xfId="14" builtinId="28" customBuiltin="1"/>
    <cellStyle name="适中 2" xfId="15"/>
    <cellStyle name="输入 2" xfId="16"/>
  </cellStyles>
  <dxfs count="6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93"/>
  <sheetViews>
    <sheetView showZeros="0" workbookViewId="0">
      <pane xSplit="1" ySplit="2" topLeftCell="H39" activePane="bottomRight" state="frozen"/>
      <selection activeCell="V147" sqref="V147"/>
      <selection pane="topRight" activeCell="V147" sqref="V147"/>
      <selection pane="bottomLeft" activeCell="V147" sqref="V147"/>
      <selection pane="bottomRight" activeCell="L64" sqref="L64"/>
    </sheetView>
  </sheetViews>
  <sheetFormatPr defaultRowHeight="15" customHeight="1"/>
  <cols>
    <col min="1" max="1" width="4.625" style="190" customWidth="1"/>
    <col min="2" max="2" width="16.625" style="191" customWidth="1"/>
    <col min="3" max="3" width="5.75" style="190" customWidth="1"/>
    <col min="4" max="4" width="11" style="191" customWidth="1"/>
    <col min="5" max="5" width="5.5" style="190" customWidth="1"/>
    <col min="6" max="6" width="19.375" style="192" customWidth="1"/>
    <col min="7" max="7" width="4.625" style="190" customWidth="1"/>
    <col min="8" max="8" width="14.125" style="190" customWidth="1"/>
    <col min="9" max="9" width="5.5" style="190" bestFit="1" customWidth="1"/>
    <col min="10" max="10" width="11.5" style="190" customWidth="1"/>
    <col min="11" max="11" width="5.5" style="190" customWidth="1"/>
    <col min="12" max="12" width="17.125" style="193" customWidth="1"/>
    <col min="13" max="13" width="6.5" style="190" bestFit="1" customWidth="1"/>
    <col min="14" max="14" width="15.5" style="190" customWidth="1"/>
    <col min="15" max="15" width="5.375" style="190" customWidth="1"/>
    <col min="16" max="16" width="12.75" style="190" customWidth="1"/>
    <col min="17" max="17" width="5.375" style="190" customWidth="1"/>
    <col min="18" max="18" width="13.125" style="190" customWidth="1"/>
    <col min="19" max="19" width="10.25" style="190" customWidth="1"/>
    <col min="20" max="20" width="13.5" style="190" customWidth="1"/>
    <col min="21" max="21" width="6" style="190" bestFit="1" customWidth="1"/>
    <col min="22" max="22" width="14.5" style="190" customWidth="1"/>
    <col min="23" max="23" width="7.375" style="190" customWidth="1"/>
    <col min="24" max="16384" width="9" style="190"/>
  </cols>
  <sheetData>
    <row r="1" spans="1:23" ht="27.75" customHeight="1">
      <c r="A1" s="187"/>
      <c r="B1" s="188" t="s">
        <v>69</v>
      </c>
      <c r="C1" s="189"/>
      <c r="D1" s="188"/>
      <c r="E1" s="189"/>
      <c r="F1" s="188"/>
      <c r="G1" s="189"/>
      <c r="H1" s="189" t="s">
        <v>70</v>
      </c>
      <c r="I1" s="189"/>
      <c r="J1" s="189"/>
      <c r="K1" s="189"/>
      <c r="L1" s="189"/>
      <c r="M1" s="189"/>
      <c r="N1" s="189"/>
      <c r="O1" s="189"/>
      <c r="P1" s="285" t="s">
        <v>11</v>
      </c>
      <c r="Q1" s="285"/>
      <c r="R1" s="285"/>
      <c r="S1" s="285"/>
      <c r="T1" s="285"/>
      <c r="U1" s="285"/>
      <c r="V1" s="285"/>
      <c r="W1" s="285"/>
    </row>
    <row r="2" spans="1:23" ht="19.5" customHeight="1" thickBot="1">
      <c r="A2" s="201"/>
      <c r="B2" s="202" t="s">
        <v>395</v>
      </c>
      <c r="C2" s="203"/>
      <c r="D2" s="202" t="s">
        <v>399</v>
      </c>
      <c r="E2" s="203"/>
      <c r="F2" s="204" t="s">
        <v>792</v>
      </c>
      <c r="G2" s="203"/>
      <c r="H2" s="203" t="s">
        <v>395</v>
      </c>
      <c r="I2" s="203"/>
      <c r="J2" s="203" t="s">
        <v>397</v>
      </c>
      <c r="K2" s="203"/>
      <c r="L2" s="203" t="s">
        <v>396</v>
      </c>
      <c r="M2" s="203"/>
      <c r="N2" s="203" t="s">
        <v>398</v>
      </c>
      <c r="O2" s="203"/>
      <c r="P2" s="205" t="s">
        <v>422</v>
      </c>
      <c r="Q2" s="205"/>
      <c r="R2" s="205" t="s">
        <v>397</v>
      </c>
      <c r="S2" s="205"/>
      <c r="T2" s="205" t="s">
        <v>398</v>
      </c>
      <c r="U2" s="205"/>
      <c r="V2" s="205" t="s">
        <v>396</v>
      </c>
      <c r="W2" s="205"/>
    </row>
    <row r="3" spans="1:23" ht="19.5" customHeight="1" thickBot="1">
      <c r="A3" s="282" t="s">
        <v>2808</v>
      </c>
      <c r="B3" s="274" t="s">
        <v>2393</v>
      </c>
      <c r="C3" s="209">
        <f>IFERROR(VLOOKUP(B3,主食定价,COLUMNS(主食成本核算!$A$3:$X$3),0),0)</f>
        <v>2.5</v>
      </c>
      <c r="D3" s="210" t="s">
        <v>1474</v>
      </c>
      <c r="E3" s="209">
        <f>IFERROR(VLOOKUP(D3,主食定价,COLUMNS(主食成本核算!$A$3:$X$3),0),0)</f>
        <v>2</v>
      </c>
      <c r="F3" s="208" t="s">
        <v>2383</v>
      </c>
      <c r="G3" s="209">
        <f t="shared" ref="G3:G14" si="0">IFERROR(VLOOKUP(F3,凉菜定价,24,0),0)</f>
        <v>0.6</v>
      </c>
      <c r="H3" s="250" t="s">
        <v>2250</v>
      </c>
      <c r="I3" s="211">
        <f>IFERROR(VLOOKUP(H3,主食定价,COLUMNS(主食成本核算!$A$3:$X$3),0),0)</f>
        <v>2.1</v>
      </c>
      <c r="J3" s="206" t="s">
        <v>2719</v>
      </c>
      <c r="K3" s="211">
        <f t="shared" ref="K3:K34" si="1">IFERROR(VLOOKUP(J3,凉菜定价,24,0),0)</f>
        <v>3.1</v>
      </c>
      <c r="L3" s="212" t="s">
        <v>2563</v>
      </c>
      <c r="M3" s="213">
        <f t="shared" ref="M3:M14" si="2">IFERROR(VLOOKUP(L3,热菜核算,24,0),0)</f>
        <v>6.7</v>
      </c>
      <c r="N3" s="206" t="s">
        <v>2761</v>
      </c>
      <c r="O3" s="211">
        <f t="shared" ref="O3:O14" si="3">IFERROR(VLOOKUP(N3,小吃定价,24,0),0)</f>
        <v>11.7</v>
      </c>
      <c r="P3" s="251" t="s">
        <v>869</v>
      </c>
      <c r="Q3" s="215">
        <f>IFERROR(VLOOKUP(P3,主食定价,COLUMNS(主食成本核算!$A$3:$X$3),0),0)</f>
        <v>2.1</v>
      </c>
      <c r="R3" s="214" t="s">
        <v>2390</v>
      </c>
      <c r="S3" s="215">
        <f>IFERROR(VLOOKUP(R3,凉菜定价,24,0),0)</f>
        <v>4.1999999999999993</v>
      </c>
      <c r="T3" s="214" t="s">
        <v>2668</v>
      </c>
      <c r="U3" s="215">
        <f t="shared" ref="U3:U14" si="4">IFERROR(VLOOKUP(T3,小吃定价,24,0),0)</f>
        <v>5.8</v>
      </c>
      <c r="V3" s="271" t="s">
        <v>1760</v>
      </c>
      <c r="W3" s="272">
        <f>IFERROR(VLOOKUP(V3,热菜核算,24,0),0)</f>
        <v>6.1</v>
      </c>
    </row>
    <row r="4" spans="1:23" ht="19.5" customHeight="1" thickBot="1">
      <c r="A4" s="283"/>
      <c r="B4" s="220" t="s">
        <v>2238</v>
      </c>
      <c r="C4" s="209">
        <f>IFERROR(VLOOKUP(B4,主食定价,COLUMNS(主食成本核算!$A$3:$X$3),0),0)</f>
        <v>0.8</v>
      </c>
      <c r="D4" s="219" t="s">
        <v>1472</v>
      </c>
      <c r="E4" s="252">
        <f>IFERROR(VLOOKUP(D4,主食定价,COLUMNS(主食成本核算!$A$3:$X$3),0),0)</f>
        <v>1.65</v>
      </c>
      <c r="F4" s="220" t="s">
        <v>2384</v>
      </c>
      <c r="G4" s="252">
        <f t="shared" si="0"/>
        <v>0.4</v>
      </c>
      <c r="H4" s="222" t="s">
        <v>2754</v>
      </c>
      <c r="I4" s="253">
        <f>IFERROR(VLOOKUP(H4,主食定价,COLUMNS(主食成本核算!$A$3:$X$3),0),0)</f>
        <v>1.2</v>
      </c>
      <c r="J4" s="207" t="s">
        <v>2473</v>
      </c>
      <c r="K4" s="253">
        <f t="shared" si="1"/>
        <v>2.9</v>
      </c>
      <c r="L4" s="222" t="s">
        <v>2199</v>
      </c>
      <c r="M4" s="254">
        <f t="shared" si="2"/>
        <v>5.7</v>
      </c>
      <c r="N4" s="207" t="s">
        <v>2666</v>
      </c>
      <c r="O4" s="253">
        <f t="shared" si="3"/>
        <v>8.9</v>
      </c>
      <c r="P4" s="224" t="s">
        <v>2741</v>
      </c>
      <c r="Q4" s="255">
        <f>IFERROR(VLOOKUP(P4,主食定价,COLUMNS(主食成本核算!$A$3:$X$3),0),0)</f>
        <v>0.6</v>
      </c>
      <c r="R4" s="228" t="s">
        <v>2391</v>
      </c>
      <c r="S4" s="255">
        <f>IFERROR(VLOOKUP(R4,凉菜定价,24,0),0)</f>
        <v>2.6</v>
      </c>
      <c r="T4" s="224" t="s">
        <v>2544</v>
      </c>
      <c r="U4" s="255">
        <f t="shared" si="4"/>
        <v>3.9</v>
      </c>
      <c r="V4" s="270" t="s">
        <v>2566</v>
      </c>
      <c r="W4" s="273">
        <f>IFERROR(VLOOKUP(V4,热菜核算,24,0),0)</f>
        <v>6.9</v>
      </c>
    </row>
    <row r="5" spans="1:23" ht="19.5" customHeight="1" thickBot="1">
      <c r="A5" s="283"/>
      <c r="B5" s="218" t="s">
        <v>2741</v>
      </c>
      <c r="C5" s="209">
        <f>IFERROR(VLOOKUP(B5,主食定价,COLUMNS(主食成本核算!$A$3:$X$3),0),0)</f>
        <v>0.6</v>
      </c>
      <c r="D5" s="219" t="s">
        <v>1473</v>
      </c>
      <c r="E5" s="252">
        <f>IFERROR(VLOOKUP(D5,主食定价,COLUMNS(主食成本核算!$A$3:$X$3),0),0)</f>
        <v>1.6</v>
      </c>
      <c r="F5" s="220" t="s">
        <v>2265</v>
      </c>
      <c r="G5" s="252">
        <f t="shared" si="0"/>
        <v>0.4</v>
      </c>
      <c r="H5" s="221" t="s">
        <v>2237</v>
      </c>
      <c r="I5" s="253">
        <f>IFERROR(VLOOKUP(H5,主食定价,COLUMNS(主食成本核算!$A$3:$X$3),0),0)</f>
        <v>0.5</v>
      </c>
      <c r="J5" s="207" t="s">
        <v>2385</v>
      </c>
      <c r="K5" s="253">
        <f t="shared" si="1"/>
        <v>1.8</v>
      </c>
      <c r="L5" s="222" t="s">
        <v>2561</v>
      </c>
      <c r="M5" s="254">
        <f t="shared" si="2"/>
        <v>3.5077058823529419</v>
      </c>
      <c r="N5" s="207" t="s">
        <v>2667</v>
      </c>
      <c r="O5" s="253">
        <f t="shared" si="3"/>
        <v>3.6</v>
      </c>
      <c r="P5" s="228" t="s">
        <v>2235</v>
      </c>
      <c r="Q5" s="255">
        <f>IFERROR(VLOOKUP(P5,主食定价,COLUMNS(主食成本核算!$A$3:$X$3),0),0)</f>
        <v>0.4</v>
      </c>
      <c r="R5" s="224" t="s">
        <v>2389</v>
      </c>
      <c r="S5" s="255">
        <f>IFERROR(VLOOKUP(R5,凉菜定价,24,0),0)</f>
        <v>2.1</v>
      </c>
      <c r="T5" s="224" t="s">
        <v>2669</v>
      </c>
      <c r="U5" s="255">
        <f t="shared" si="4"/>
        <v>3.3000000000000003</v>
      </c>
      <c r="V5" s="270" t="s">
        <v>2569</v>
      </c>
      <c r="W5" s="273">
        <f>IFERROR(VLOOKUP(V5,热菜核算,24,0),0)</f>
        <v>5.2</v>
      </c>
    </row>
    <row r="6" spans="1:23" ht="19.5" customHeight="1" thickBot="1">
      <c r="A6" s="283"/>
      <c r="B6" s="218" t="s">
        <v>2746</v>
      </c>
      <c r="C6" s="209">
        <f>IFERROR(VLOOKUP(B6,主食定价,COLUMNS(主食成本核算!$A$3:$X$3),0),0)</f>
        <v>0.7</v>
      </c>
      <c r="D6" s="219" t="s">
        <v>2757</v>
      </c>
      <c r="E6" s="252">
        <f>IFERROR(VLOOKUP(D6,主食定价,COLUMNS(主食成本核算!$A$3:$X$3),0),0)</f>
        <v>1.2</v>
      </c>
      <c r="F6" s="265" t="s">
        <v>2542</v>
      </c>
      <c r="G6" s="252">
        <f t="shared" si="0"/>
        <v>0.4</v>
      </c>
      <c r="H6" s="221" t="s">
        <v>2247</v>
      </c>
      <c r="I6" s="253">
        <f>IFERROR(VLOOKUP(H6,主食定价,COLUMNS(主食成本核算!$A$3:$X$3),0),0)</f>
        <v>0.5</v>
      </c>
      <c r="J6" s="207" t="s">
        <v>2387</v>
      </c>
      <c r="K6" s="253">
        <f t="shared" si="1"/>
        <v>2.2000000000000002</v>
      </c>
      <c r="L6" s="222" t="s">
        <v>2200</v>
      </c>
      <c r="M6" s="254">
        <f t="shared" si="2"/>
        <v>4.7</v>
      </c>
      <c r="N6" s="207"/>
      <c r="O6" s="253">
        <f t="shared" si="3"/>
        <v>0</v>
      </c>
      <c r="P6" s="228" t="s">
        <v>2233</v>
      </c>
      <c r="Q6" s="255">
        <f>IFERROR(VLOOKUP(P6,主食定价,COLUMNS(主食成本核算!$A$3:$X$3),0),0)</f>
        <v>0.4</v>
      </c>
      <c r="R6" s="224" t="s">
        <v>2760</v>
      </c>
      <c r="S6" s="255">
        <v>1.4000000000000001</v>
      </c>
      <c r="T6" s="224"/>
      <c r="U6" s="255">
        <f t="shared" si="4"/>
        <v>0</v>
      </c>
      <c r="V6" s="270" t="s">
        <v>2567</v>
      </c>
      <c r="W6" s="273">
        <f>IFERROR(VLOOKUP(V6,热菜核算,24,0),0)</f>
        <v>3.6</v>
      </c>
    </row>
    <row r="7" spans="1:23" ht="19.5" customHeight="1" thickBot="1">
      <c r="A7" s="283"/>
      <c r="B7" s="218" t="s">
        <v>1613</v>
      </c>
      <c r="C7" s="209">
        <f>IFERROR(VLOOKUP(B7,主食定价,COLUMNS(主食成本核算!$A$3:$X$3),0),0)</f>
        <v>0.7</v>
      </c>
      <c r="D7" s="219" t="s">
        <v>1693</v>
      </c>
      <c r="E7" s="252">
        <f>IFERROR(VLOOKUP(D7,主食定价,COLUMNS(主食成本核算!$A$3:$X$3),0),0)</f>
        <v>1</v>
      </c>
      <c r="F7" s="220" t="s">
        <v>2275</v>
      </c>
      <c r="G7" s="252">
        <f t="shared" si="0"/>
        <v>0.5</v>
      </c>
      <c r="H7" s="207" t="s">
        <v>2240</v>
      </c>
      <c r="I7" s="253">
        <f>IFERROR(VLOOKUP(H7,主食定价,COLUMNS(主食成本核算!$A$3:$X$3),0),0)</f>
        <v>0.4</v>
      </c>
      <c r="J7" s="207" t="s">
        <v>2386</v>
      </c>
      <c r="K7" s="253">
        <f t="shared" si="1"/>
        <v>1</v>
      </c>
      <c r="L7" s="222" t="s">
        <v>2203</v>
      </c>
      <c r="M7" s="254">
        <f t="shared" si="2"/>
        <v>2.4</v>
      </c>
      <c r="N7" s="227"/>
      <c r="O7" s="253">
        <f t="shared" si="3"/>
        <v>0</v>
      </c>
      <c r="P7" s="228" t="s">
        <v>2245</v>
      </c>
      <c r="Q7" s="255">
        <f>IFERROR(VLOOKUP(P7,主食定价,COLUMNS(主食成本核算!$A$3:$X$3),0),0)</f>
        <v>0.4</v>
      </c>
      <c r="R7" s="224" t="s">
        <v>1341</v>
      </c>
      <c r="S7" s="255">
        <v>1.1000000000000001</v>
      </c>
      <c r="T7" s="225"/>
      <c r="U7" s="255">
        <f t="shared" si="4"/>
        <v>0</v>
      </c>
      <c r="V7" s="270" t="s">
        <v>2278</v>
      </c>
      <c r="W7" s="273">
        <v>3.6</v>
      </c>
    </row>
    <row r="8" spans="1:23" ht="19.5" customHeight="1" thickBot="1">
      <c r="A8" s="283"/>
      <c r="B8" s="220" t="s">
        <v>1320</v>
      </c>
      <c r="C8" s="209">
        <f>IFERROR(VLOOKUP(B8,主食定价,COLUMNS(主食成本核算!$A$3:$X$3),0),0)</f>
        <v>0.6</v>
      </c>
      <c r="D8" s="219" t="s">
        <v>1698</v>
      </c>
      <c r="E8" s="252">
        <f>IFERROR(VLOOKUP(D8,主食定价,COLUMNS(主食成本核算!$A$3:$X$3),0),0)</f>
        <v>0.7</v>
      </c>
      <c r="F8" s="220" t="s">
        <v>2264</v>
      </c>
      <c r="G8" s="252">
        <f t="shared" si="0"/>
        <v>0.3</v>
      </c>
      <c r="H8" s="221" t="s">
        <v>2234</v>
      </c>
      <c r="I8" s="253">
        <f>IFERROR(VLOOKUP(H8,主食定价,COLUMNS(主食成本核算!$A$3:$X$3),0),0)</f>
        <v>0.4</v>
      </c>
      <c r="J8" s="207" t="s">
        <v>2388</v>
      </c>
      <c r="K8" s="253">
        <f t="shared" si="1"/>
        <v>1.5</v>
      </c>
      <c r="L8" s="222" t="s">
        <v>2201</v>
      </c>
      <c r="M8" s="254">
        <f t="shared" si="2"/>
        <v>2.9</v>
      </c>
      <c r="N8" s="227"/>
      <c r="O8" s="253">
        <f t="shared" si="3"/>
        <v>0</v>
      </c>
      <c r="P8" s="223" t="s">
        <v>2248</v>
      </c>
      <c r="Q8" s="255">
        <f>IFERROR(VLOOKUP(P8,主食定价,COLUMNS(主食成本核算!$A$3:$X$3),0),0)</f>
        <v>0.4</v>
      </c>
      <c r="R8" s="228"/>
      <c r="S8" s="255">
        <f>IFERROR(VLOOKUP(R8,凉菜定价,24,0),0)</f>
        <v>0</v>
      </c>
      <c r="T8" s="225"/>
      <c r="U8" s="255">
        <f t="shared" si="4"/>
        <v>0</v>
      </c>
      <c r="V8" s="270" t="s">
        <v>2281</v>
      </c>
      <c r="W8" s="273">
        <v>1.7</v>
      </c>
    </row>
    <row r="9" spans="1:23" ht="19.5" customHeight="1" thickBot="1">
      <c r="A9" s="283"/>
      <c r="B9" s="218" t="s">
        <v>2233</v>
      </c>
      <c r="C9" s="209">
        <f>IFERROR(VLOOKUP(B9,主食定价,COLUMNS(主食成本核算!$A$3:$X$3),0),0)</f>
        <v>0.4</v>
      </c>
      <c r="D9" s="219" t="s">
        <v>2239</v>
      </c>
      <c r="E9" s="252">
        <f>IFERROR(VLOOKUP(D9,主食定价,COLUMNS(主食成本核算!$A$3:$X$3),0),0)</f>
        <v>0.5</v>
      </c>
      <c r="F9" s="220" t="s">
        <v>118</v>
      </c>
      <c r="G9" s="252">
        <f t="shared" si="0"/>
        <v>0.30000000000000004</v>
      </c>
      <c r="H9" s="207" t="s">
        <v>2246</v>
      </c>
      <c r="I9" s="253">
        <f>IFERROR(VLOOKUP(H9,主食定价,COLUMNS(主食成本核算!$A$3:$X$3),0),0)</f>
        <v>0.4</v>
      </c>
      <c r="J9" s="222"/>
      <c r="K9" s="253">
        <f t="shared" si="1"/>
        <v>0</v>
      </c>
      <c r="L9" s="222" t="s">
        <v>2202</v>
      </c>
      <c r="M9" s="254">
        <f t="shared" si="2"/>
        <v>2.9</v>
      </c>
      <c r="N9" s="227"/>
      <c r="O9" s="253">
        <f t="shared" si="3"/>
        <v>0</v>
      </c>
      <c r="P9" s="223" t="s">
        <v>2243</v>
      </c>
      <c r="Q9" s="255">
        <f>IFERROR(VLOOKUP(P9,主食定价,COLUMNS(主食成本核算!$A$3:$X$3),0),0)</f>
        <v>0.35</v>
      </c>
      <c r="R9" s="228"/>
      <c r="S9" s="255">
        <f>IFERROR(VLOOKUP(R9,凉菜定价,24,0),0)</f>
        <v>0</v>
      </c>
      <c r="T9" s="228"/>
      <c r="U9" s="255">
        <f t="shared" si="4"/>
        <v>0</v>
      </c>
      <c r="V9" s="269"/>
      <c r="W9" s="273">
        <f>IFERROR(VLOOKUP(V9,热菜核算,24,0),0)</f>
        <v>0</v>
      </c>
    </row>
    <row r="10" spans="1:23" ht="19.5" customHeight="1" thickBot="1">
      <c r="A10" s="283"/>
      <c r="B10" s="220" t="s">
        <v>2235</v>
      </c>
      <c r="C10" s="209">
        <f>IFERROR(VLOOKUP(B10,主食定价,COLUMNS(主食成本核算!$A$3:$X$3),0),0)</f>
        <v>0.4</v>
      </c>
      <c r="D10" s="219" t="s">
        <v>1699</v>
      </c>
      <c r="E10" s="252">
        <f>IFERROR(VLOOKUP(D10,主食定价,COLUMNS(主食成本核算!$A$3:$X$3),0),0)</f>
        <v>0.5</v>
      </c>
      <c r="F10" s="220" t="s">
        <v>1324</v>
      </c>
      <c r="G10" s="252">
        <f t="shared" si="0"/>
        <v>0.30000000000000004</v>
      </c>
      <c r="H10" s="221" t="s">
        <v>2244</v>
      </c>
      <c r="I10" s="253">
        <f>IFERROR(VLOOKUP(H10,主食定价,COLUMNS(主食成本核算!$A$3:$X$3),0),0)</f>
        <v>0.35</v>
      </c>
      <c r="J10" s="222"/>
      <c r="K10" s="253">
        <f t="shared" si="1"/>
        <v>0</v>
      </c>
      <c r="L10" s="222" t="s">
        <v>2182</v>
      </c>
      <c r="M10" s="254">
        <f t="shared" si="2"/>
        <v>1.3</v>
      </c>
      <c r="N10" s="227"/>
      <c r="O10" s="253">
        <f t="shared" si="3"/>
        <v>0</v>
      </c>
      <c r="P10" s="224" t="s">
        <v>2241</v>
      </c>
      <c r="Q10" s="255">
        <f>IFERROR(VLOOKUP(P10,主食定价,COLUMNS(主食成本核算!$A$3:$X$3),0),0)</f>
        <v>0.3</v>
      </c>
      <c r="R10" s="228"/>
      <c r="S10" s="255">
        <f>IFERROR(VLOOKUP(R10,凉菜定价,24,0),0)</f>
        <v>0</v>
      </c>
      <c r="T10" s="228"/>
      <c r="U10" s="255">
        <f t="shared" si="4"/>
        <v>0</v>
      </c>
      <c r="V10" s="270"/>
      <c r="W10" s="256">
        <f>IFERROR(VLOOKUP(V10,热菜核算,24,0),0)</f>
        <v>0</v>
      </c>
    </row>
    <row r="11" spans="1:23" ht="19.5" customHeight="1" thickBot="1">
      <c r="A11" s="283"/>
      <c r="B11" s="226" t="s">
        <v>862</v>
      </c>
      <c r="C11" s="209">
        <f>IFERROR(VLOOKUP(B11,主食定价,COLUMNS(主食成本核算!$A$3:$X$3),0),0)</f>
        <v>0.4</v>
      </c>
      <c r="D11" s="229"/>
      <c r="E11" s="252">
        <f>IFERROR(VLOOKUP(D11,主食定价,COLUMNS(主食成本核算!$A$3:$X$3),0),0)</f>
        <v>0</v>
      </c>
      <c r="F11" s="226"/>
      <c r="G11" s="252">
        <f t="shared" si="0"/>
        <v>0</v>
      </c>
      <c r="H11" s="221" t="s">
        <v>2242</v>
      </c>
      <c r="I11" s="253">
        <f>IFERROR(VLOOKUP(H11,主食定价,COLUMNS(主食成本核算!$A$3:$X$3),0),0)</f>
        <v>0.3</v>
      </c>
      <c r="J11" s="222"/>
      <c r="K11" s="253">
        <f t="shared" si="1"/>
        <v>0</v>
      </c>
      <c r="L11" s="222"/>
      <c r="M11" s="254">
        <f t="shared" si="2"/>
        <v>0</v>
      </c>
      <c r="N11" s="227"/>
      <c r="O11" s="253">
        <f t="shared" si="3"/>
        <v>0</v>
      </c>
      <c r="P11" s="224"/>
      <c r="Q11" s="255">
        <f>IFERROR(VLOOKUP(P11,主食定价,COLUMNS(主食成本核算!$A$3:$X$3),0),0)</f>
        <v>0</v>
      </c>
      <c r="R11" s="228"/>
      <c r="S11" s="255">
        <f>IFERROR(VLOOKUP(R11,凉菜定价,24,0),0)</f>
        <v>0</v>
      </c>
      <c r="T11" s="228"/>
      <c r="U11" s="255">
        <f t="shared" si="4"/>
        <v>0</v>
      </c>
      <c r="V11" s="225"/>
      <c r="W11" s="256">
        <f>IFERROR(VLOOKUP(V11,热菜核算,24,0),0)</f>
        <v>0</v>
      </c>
    </row>
    <row r="12" spans="1:23" ht="19.5" customHeight="1" thickBot="1">
      <c r="A12" s="283"/>
      <c r="B12" s="218" t="s">
        <v>846</v>
      </c>
      <c r="C12" s="209">
        <f>IFERROR(VLOOKUP(B12,主食定价,COLUMNS(主食成本核算!$A$3:$X$3),0),0)</f>
        <v>0.4</v>
      </c>
      <c r="D12" s="229"/>
      <c r="E12" s="252">
        <f>IFERROR(VLOOKUP(D12,主食定价,COLUMNS(主食成本核算!$A$3:$X$3),0),0)</f>
        <v>0</v>
      </c>
      <c r="F12" s="226"/>
      <c r="G12" s="252">
        <f t="shared" si="0"/>
        <v>0</v>
      </c>
      <c r="H12" s="222"/>
      <c r="I12" s="253">
        <f>IFERROR(VLOOKUP(H12,主食定价,COLUMNS(主食成本核算!$A$3:$X$3),0),0)</f>
        <v>0</v>
      </c>
      <c r="J12" s="222"/>
      <c r="K12" s="253">
        <f t="shared" si="1"/>
        <v>0</v>
      </c>
      <c r="L12" s="222"/>
      <c r="M12" s="254">
        <f t="shared" si="2"/>
        <v>0</v>
      </c>
      <c r="N12" s="227"/>
      <c r="O12" s="253">
        <f t="shared" si="3"/>
        <v>0</v>
      </c>
      <c r="P12" s="223"/>
      <c r="Q12" s="255">
        <f>IFERROR(VLOOKUP(P12,主食定价,COLUMNS(主食成本核算!$A$3:$X$3),0),0)</f>
        <v>0</v>
      </c>
      <c r="R12" s="228"/>
      <c r="S12" s="255">
        <f>IFERROR(VLOOKUP(R12,凉菜定价,24,0),0)</f>
        <v>0</v>
      </c>
      <c r="T12" s="228"/>
      <c r="U12" s="255">
        <f t="shared" si="4"/>
        <v>0</v>
      </c>
      <c r="V12" s="225"/>
      <c r="W12" s="256">
        <f>IFERROR(VLOOKUP(V12,热菜核算,24,0),0)</f>
        <v>0</v>
      </c>
    </row>
    <row r="13" spans="1:23" ht="19.5" customHeight="1" thickBot="1">
      <c r="A13" s="283"/>
      <c r="B13" s="218" t="s">
        <v>2723</v>
      </c>
      <c r="C13" s="209">
        <f>IFERROR(VLOOKUP(B13,主食定价,COLUMNS(主食成本核算!$A$3:$X$3),0),0)</f>
        <v>0.4</v>
      </c>
      <c r="D13" s="229"/>
      <c r="E13" s="252">
        <f>IFERROR(VLOOKUP(D13,主食定价,COLUMNS(主食成本核算!$A$3:$X$3),0),0)</f>
        <v>0</v>
      </c>
      <c r="F13" s="226"/>
      <c r="G13" s="252">
        <f t="shared" si="0"/>
        <v>0</v>
      </c>
      <c r="H13" s="222"/>
      <c r="I13" s="253">
        <f>IFERROR(VLOOKUP(H13,主食定价,COLUMNS(主食成本核算!$A$3:$X$3),0),0)</f>
        <v>0</v>
      </c>
      <c r="J13" s="222"/>
      <c r="K13" s="253">
        <f t="shared" si="1"/>
        <v>0</v>
      </c>
      <c r="L13" s="222"/>
      <c r="M13" s="254">
        <f t="shared" si="2"/>
        <v>0</v>
      </c>
      <c r="N13" s="227"/>
      <c r="O13" s="253">
        <f t="shared" si="3"/>
        <v>0</v>
      </c>
      <c r="P13" s="224"/>
      <c r="Q13" s="255">
        <f>IFERROR(VLOOKUP(P13,主食定价,COLUMNS(主食成本核算!$A$3:$X$3),0),0)</f>
        <v>0</v>
      </c>
      <c r="R13" s="224"/>
      <c r="S13" s="255"/>
      <c r="T13" s="228"/>
      <c r="U13" s="255">
        <f t="shared" si="4"/>
        <v>0</v>
      </c>
      <c r="V13" s="225"/>
      <c r="W13" s="256">
        <f>IFERROR(VLOOKUP(V13,热菜核算,24,0),0)</f>
        <v>0</v>
      </c>
    </row>
    <row r="14" spans="1:23" ht="19.5" customHeight="1" thickBot="1">
      <c r="A14" s="284"/>
      <c r="B14" s="230"/>
      <c r="C14" s="209">
        <f>IFERROR(VLOOKUP(B14,主食定价,COLUMNS(主食成本核算!$A$3:$X$3),0),0)</f>
        <v>0</v>
      </c>
      <c r="D14" s="232"/>
      <c r="E14" s="231">
        <f>IFERROR(VLOOKUP(D14,主食定价,COLUMNS(主食成本核算!$A$3:$X$3),0),0)</f>
        <v>0</v>
      </c>
      <c r="F14" s="233"/>
      <c r="G14" s="231">
        <f t="shared" si="0"/>
        <v>0</v>
      </c>
      <c r="H14" s="234"/>
      <c r="I14" s="257">
        <f>IFERROR(VLOOKUP(H14,主食定价,COLUMNS(主食成本核算!$A$3:$X$3),0),0)</f>
        <v>0</v>
      </c>
      <c r="J14" s="234"/>
      <c r="K14" s="257">
        <f t="shared" si="1"/>
        <v>0</v>
      </c>
      <c r="L14" s="234"/>
      <c r="M14" s="258">
        <f t="shared" si="2"/>
        <v>0</v>
      </c>
      <c r="N14" s="235"/>
      <c r="O14" s="257">
        <f t="shared" si="3"/>
        <v>0</v>
      </c>
      <c r="P14" s="236"/>
      <c r="Q14" s="259">
        <f>IFERROR(VLOOKUP(P14,主食定价,COLUMNS(主食成本核算!$A$3:$X$3),0),0)</f>
        <v>0</v>
      </c>
      <c r="R14" s="277"/>
      <c r="S14" s="259"/>
      <c r="T14" s="236"/>
      <c r="U14" s="259">
        <f t="shared" si="4"/>
        <v>0</v>
      </c>
      <c r="V14" s="275"/>
      <c r="W14" s="276"/>
    </row>
    <row r="15" spans="1:23" ht="19.5" customHeight="1" thickBot="1">
      <c r="A15" s="282" t="s">
        <v>2809</v>
      </c>
      <c r="B15" s="208" t="s">
        <v>2393</v>
      </c>
      <c r="C15" s="209">
        <f>IFERROR(VLOOKUP(B15,主食定价,COLUMNS(主食成本核算!$A$3:$X$3),0),0)</f>
        <v>2.5</v>
      </c>
      <c r="D15" s="210" t="s">
        <v>1474</v>
      </c>
      <c r="E15" s="209">
        <f>IFERROR(VLOOKUP(D15,主食定价,COLUMNS(主食成本核算!$A$3:$X$3),0),0)</f>
        <v>2</v>
      </c>
      <c r="F15" s="208" t="s">
        <v>2421</v>
      </c>
      <c r="G15" s="209">
        <f t="shared" ref="G15:G38" si="5">IFERROR(VLOOKUP(F15,凉菜定价,24,0),0)</f>
        <v>0.5</v>
      </c>
      <c r="H15" s="250" t="s">
        <v>2250</v>
      </c>
      <c r="I15" s="211">
        <f>IFERROR(VLOOKUP(H15,主食定价,COLUMNS(主食成本核算!$A$3:$X$3),0),0)</f>
        <v>2.1</v>
      </c>
      <c r="J15" s="206" t="s">
        <v>2747</v>
      </c>
      <c r="K15" s="211">
        <f t="shared" si="1"/>
        <v>5.5</v>
      </c>
      <c r="L15" s="212" t="s">
        <v>2574</v>
      </c>
      <c r="M15" s="213">
        <f t="shared" ref="M15:M26" si="6">IFERROR(VLOOKUP(L15,热菜核算,24,0),0)</f>
        <v>6.7</v>
      </c>
      <c r="N15" s="206" t="s">
        <v>2670</v>
      </c>
      <c r="O15" s="211">
        <f t="shared" ref="O15:O26" si="7">IFERROR(VLOOKUP(N15,小吃定价,24,0),0)</f>
        <v>10.299999999999999</v>
      </c>
      <c r="P15" s="251" t="s">
        <v>869</v>
      </c>
      <c r="Q15" s="215">
        <f>IFERROR(VLOOKUP(P15,主食定价,COLUMNS(主食成本核算!$A$3:$X$3),0),0)</f>
        <v>2.1</v>
      </c>
      <c r="R15" s="214" t="s">
        <v>2218</v>
      </c>
      <c r="S15" s="215">
        <f t="shared" ref="S15:S34" si="8">IFERROR(VLOOKUP(R15,凉菜定价,24,0),0)</f>
        <v>5.8</v>
      </c>
      <c r="T15" s="214" t="s">
        <v>2672</v>
      </c>
      <c r="U15" s="215">
        <f t="shared" ref="U15:U26" si="9">IFERROR(VLOOKUP(T15,小吃定价,24,0),0)</f>
        <v>6.1</v>
      </c>
      <c r="V15" s="216" t="s">
        <v>2576</v>
      </c>
      <c r="W15" s="217">
        <f t="shared" ref="W15:W26" si="10">IFERROR(VLOOKUP(V15,热菜核算,24,0),0)</f>
        <v>6.8</v>
      </c>
    </row>
    <row r="16" spans="1:23" ht="19.5" customHeight="1" thickBot="1">
      <c r="A16" s="283"/>
      <c r="B16" s="218" t="s">
        <v>2427</v>
      </c>
      <c r="C16" s="209">
        <f>IFERROR(VLOOKUP(B16,主食定价,COLUMNS(主食成本核算!$A$3:$X$3),0),0)</f>
        <v>0.7</v>
      </c>
      <c r="D16" s="219" t="s">
        <v>1472</v>
      </c>
      <c r="E16" s="252">
        <f>IFERROR(VLOOKUP(D16,主食定价,COLUMNS(主食成本核算!$A$3:$X$3),0),0)</f>
        <v>1.65</v>
      </c>
      <c r="F16" s="220" t="s">
        <v>2394</v>
      </c>
      <c r="G16" s="252">
        <f t="shared" si="5"/>
        <v>0.5</v>
      </c>
      <c r="H16" s="222" t="s">
        <v>2754</v>
      </c>
      <c r="I16" s="253">
        <f>IFERROR(VLOOKUP(H16,主食定价,COLUMNS(主食成本核算!$A$3:$X$3),0),0)</f>
        <v>1.2</v>
      </c>
      <c r="J16" s="207" t="s">
        <v>2396</v>
      </c>
      <c r="K16" s="253">
        <f t="shared" si="1"/>
        <v>4.3</v>
      </c>
      <c r="L16" s="222" t="s">
        <v>2397</v>
      </c>
      <c r="M16" s="254">
        <f t="shared" si="6"/>
        <v>6.7053088235294132</v>
      </c>
      <c r="N16" s="207" t="s">
        <v>2671</v>
      </c>
      <c r="O16" s="253">
        <f t="shared" si="7"/>
        <v>4.8999999999999995</v>
      </c>
      <c r="P16" s="228" t="s">
        <v>2236</v>
      </c>
      <c r="Q16" s="255">
        <f>IFERROR(VLOOKUP(P16,主食定价,COLUMNS(主食成本核算!$A$3:$X$3),0),0)</f>
        <v>0.5</v>
      </c>
      <c r="R16" s="228" t="s">
        <v>2398</v>
      </c>
      <c r="S16" s="255">
        <f t="shared" si="8"/>
        <v>13.1</v>
      </c>
      <c r="T16" s="224" t="s">
        <v>2673</v>
      </c>
      <c r="U16" s="255">
        <f t="shared" si="9"/>
        <v>2.7</v>
      </c>
      <c r="V16" s="225" t="s">
        <v>2204</v>
      </c>
      <c r="W16" s="256">
        <f t="shared" si="10"/>
        <v>6.5289529411764713</v>
      </c>
    </row>
    <row r="17" spans="1:23" ht="19.5" customHeight="1" thickBot="1">
      <c r="A17" s="283"/>
      <c r="B17" s="218" t="s">
        <v>2742</v>
      </c>
      <c r="C17" s="209">
        <f>IFERROR(VLOOKUP(B17,主食定价,COLUMNS(主食成本核算!$A$3:$X$3),0),0)</f>
        <v>0.7</v>
      </c>
      <c r="D17" s="219" t="s">
        <v>1473</v>
      </c>
      <c r="E17" s="252">
        <f>IFERROR(VLOOKUP(D17,主食定价,COLUMNS(主食成本核算!$A$3:$X$3),0),0)</f>
        <v>1.6</v>
      </c>
      <c r="F17" s="220" t="s">
        <v>2400</v>
      </c>
      <c r="G17" s="252">
        <f t="shared" si="5"/>
        <v>0.7</v>
      </c>
      <c r="H17" s="221" t="s">
        <v>2395</v>
      </c>
      <c r="I17" s="253">
        <f>IFERROR(VLOOKUP(H17,主食定价,COLUMNS(主食成本核算!$A$3:$X$3),0),0)</f>
        <v>0.5</v>
      </c>
      <c r="J17" s="207" t="s">
        <v>2402</v>
      </c>
      <c r="K17" s="253">
        <f t="shared" si="1"/>
        <v>1.6</v>
      </c>
      <c r="L17" s="222" t="s">
        <v>2403</v>
      </c>
      <c r="M17" s="254">
        <f t="shared" si="6"/>
        <v>4.9072941176470604</v>
      </c>
      <c r="N17" s="207"/>
      <c r="O17" s="253">
        <f t="shared" si="7"/>
        <v>0</v>
      </c>
      <c r="P17" s="228" t="s">
        <v>2235</v>
      </c>
      <c r="Q17" s="255">
        <f>IFERROR(VLOOKUP(P17,主食定价,COLUMNS(主食成本核算!$A$3:$X$3),0),0)</f>
        <v>0.4</v>
      </c>
      <c r="R17" s="224" t="s">
        <v>2404</v>
      </c>
      <c r="S17" s="255">
        <f t="shared" si="8"/>
        <v>1.9000000000000001</v>
      </c>
      <c r="T17" s="224"/>
      <c r="U17" s="255">
        <f t="shared" si="9"/>
        <v>0</v>
      </c>
      <c r="V17" s="225" t="s">
        <v>2205</v>
      </c>
      <c r="W17" s="256">
        <f t="shared" si="10"/>
        <v>3.3</v>
      </c>
    </row>
    <row r="18" spans="1:23" ht="19.5" customHeight="1" thickBot="1">
      <c r="A18" s="283"/>
      <c r="B18" s="218" t="s">
        <v>971</v>
      </c>
      <c r="C18" s="209">
        <f>IFERROR(VLOOKUP(B18,主食定价,COLUMNS(主食成本核算!$A$3:$X$3),0),0)</f>
        <v>0.7</v>
      </c>
      <c r="D18" s="219" t="s">
        <v>2405</v>
      </c>
      <c r="E18" s="252">
        <f>IFERROR(VLOOKUP(D18,主食定价,COLUMNS(主食成本核算!$A$3:$X$3),0),0)</f>
        <v>1</v>
      </c>
      <c r="F18" s="220" t="s">
        <v>2261</v>
      </c>
      <c r="G18" s="252">
        <f t="shared" si="5"/>
        <v>0.30000000000000004</v>
      </c>
      <c r="H18" s="221" t="s">
        <v>2401</v>
      </c>
      <c r="I18" s="253">
        <f>IFERROR(VLOOKUP(H18,主食定价,COLUMNS(主食成本核算!$A$3:$X$3),0),0)</f>
        <v>0.4</v>
      </c>
      <c r="J18" s="207" t="s">
        <v>2406</v>
      </c>
      <c r="K18" s="253">
        <f t="shared" si="1"/>
        <v>2.8000000000000003</v>
      </c>
      <c r="L18" s="222" t="s">
        <v>2407</v>
      </c>
      <c r="M18" s="254">
        <f t="shared" si="6"/>
        <v>5.7</v>
      </c>
      <c r="N18" s="207"/>
      <c r="O18" s="253">
        <f t="shared" si="7"/>
        <v>0</v>
      </c>
      <c r="P18" s="228" t="s">
        <v>2233</v>
      </c>
      <c r="Q18" s="255">
        <f>IFERROR(VLOOKUP(P18,主食定价,COLUMNS(主食成本核算!$A$3:$X$3),0),0)</f>
        <v>0.4</v>
      </c>
      <c r="R18" s="224" t="s">
        <v>2408</v>
      </c>
      <c r="S18" s="255">
        <f t="shared" si="8"/>
        <v>2</v>
      </c>
      <c r="T18" s="224"/>
      <c r="U18" s="255">
        <f t="shared" si="9"/>
        <v>0</v>
      </c>
      <c r="V18" s="225" t="s">
        <v>2539</v>
      </c>
      <c r="W18" s="256">
        <f t="shared" si="10"/>
        <v>2.8</v>
      </c>
    </row>
    <row r="19" spans="1:23" ht="19.5" customHeight="1" thickBot="1">
      <c r="A19" s="283"/>
      <c r="B19" s="218" t="s">
        <v>2424</v>
      </c>
      <c r="C19" s="209">
        <f>IFERROR(VLOOKUP(B19,主食定价,COLUMNS(主食成本核算!$A$3:$X$3),0),0)</f>
        <v>0.6</v>
      </c>
      <c r="D19" s="219" t="s">
        <v>2410</v>
      </c>
      <c r="E19" s="252">
        <f>IFERROR(VLOOKUP(D19,主食定价,COLUMNS(主食成本核算!$A$3:$X$3),0),0)</f>
        <v>0.5</v>
      </c>
      <c r="F19" s="220" t="s">
        <v>2416</v>
      </c>
      <c r="G19" s="252">
        <f t="shared" si="5"/>
        <v>0.3</v>
      </c>
      <c r="H19" s="207" t="s">
        <v>2399</v>
      </c>
      <c r="I19" s="253">
        <f>IFERROR(VLOOKUP(H19,主食定价,COLUMNS(主食成本核算!$A$3:$X$3),0),0)</f>
        <v>0.4</v>
      </c>
      <c r="J19" s="207" t="s">
        <v>2412</v>
      </c>
      <c r="K19" s="253">
        <f t="shared" si="1"/>
        <v>2.5</v>
      </c>
      <c r="L19" s="222" t="s">
        <v>2413</v>
      </c>
      <c r="M19" s="254">
        <f t="shared" si="6"/>
        <v>3.2</v>
      </c>
      <c r="N19" s="227"/>
      <c r="O19" s="253">
        <f t="shared" si="7"/>
        <v>0</v>
      </c>
      <c r="P19" s="223" t="s">
        <v>2245</v>
      </c>
      <c r="Q19" s="255">
        <f>IFERROR(VLOOKUP(P19,主食定价,COLUMNS(主食成本核算!$A$3:$X$3),0),0)</f>
        <v>0.4</v>
      </c>
      <c r="R19" s="224" t="s">
        <v>2392</v>
      </c>
      <c r="S19" s="255">
        <f t="shared" si="8"/>
        <v>0.79999999999999993</v>
      </c>
      <c r="T19" s="225"/>
      <c r="U19" s="255">
        <f t="shared" si="9"/>
        <v>0</v>
      </c>
      <c r="V19" s="225" t="s">
        <v>2578</v>
      </c>
      <c r="W19" s="256">
        <f t="shared" si="10"/>
        <v>3</v>
      </c>
    </row>
    <row r="20" spans="1:23" ht="19.5" customHeight="1" thickBot="1">
      <c r="A20" s="283"/>
      <c r="B20" s="220" t="s">
        <v>2399</v>
      </c>
      <c r="C20" s="209">
        <f>IFERROR(VLOOKUP(B20,主食定价,COLUMNS(主食成本核算!$A$3:$X$3),0),0)</f>
        <v>0.4</v>
      </c>
      <c r="D20" s="219" t="s">
        <v>2415</v>
      </c>
      <c r="E20" s="252">
        <f>IFERROR(VLOOKUP(D20,主食定价,COLUMNS(主食成本核算!$A$3:$X$3),0),0)</f>
        <v>0.5</v>
      </c>
      <c r="F20" s="220" t="s">
        <v>118</v>
      </c>
      <c r="G20" s="252">
        <f t="shared" si="5"/>
        <v>0.30000000000000004</v>
      </c>
      <c r="H20" s="221" t="s">
        <v>2411</v>
      </c>
      <c r="I20" s="253">
        <f>IFERROR(VLOOKUP(H20,主食定价,COLUMNS(主食成本核算!$A$3:$X$3),0),0)</f>
        <v>0.4</v>
      </c>
      <c r="J20" s="207" t="s">
        <v>2417</v>
      </c>
      <c r="K20" s="253">
        <f t="shared" si="1"/>
        <v>2.1</v>
      </c>
      <c r="L20" s="222" t="s">
        <v>2418</v>
      </c>
      <c r="M20" s="254">
        <f t="shared" si="6"/>
        <v>2.2999999999999998</v>
      </c>
      <c r="N20" s="227"/>
      <c r="O20" s="253">
        <f t="shared" si="7"/>
        <v>0</v>
      </c>
      <c r="P20" s="223" t="s">
        <v>1700</v>
      </c>
      <c r="Q20" s="255">
        <v>0.4</v>
      </c>
      <c r="R20" s="224"/>
      <c r="S20" s="255">
        <f t="shared" si="8"/>
        <v>0</v>
      </c>
      <c r="T20" s="225"/>
      <c r="U20" s="255">
        <f t="shared" si="9"/>
        <v>0</v>
      </c>
      <c r="V20" s="225" t="s">
        <v>2665</v>
      </c>
      <c r="W20" s="256">
        <f t="shared" si="10"/>
        <v>1.5</v>
      </c>
    </row>
    <row r="21" spans="1:23" ht="19.5" customHeight="1" thickBot="1">
      <c r="A21" s="283"/>
      <c r="B21" s="226" t="s">
        <v>2401</v>
      </c>
      <c r="C21" s="209">
        <f>IFERROR(VLOOKUP(B21,主食定价,COLUMNS(主食成本核算!$A$3:$X$3),0),0)</f>
        <v>0.4</v>
      </c>
      <c r="D21" s="219" t="s">
        <v>2420</v>
      </c>
      <c r="E21" s="252">
        <f>IFERROR(VLOOKUP(D21,主食定价,COLUMNS(主食成本核算!$A$3:$X$3),0),0)</f>
        <v>0.4</v>
      </c>
      <c r="F21" s="220" t="s">
        <v>1324</v>
      </c>
      <c r="G21" s="252">
        <f t="shared" si="5"/>
        <v>0.30000000000000004</v>
      </c>
      <c r="H21" s="207" t="s">
        <v>2730</v>
      </c>
      <c r="I21" s="253">
        <f>IFERROR(VLOOKUP(H21,主食定价,COLUMNS(主食成本核算!$A$3:$X$3),0),0)</f>
        <v>0.4</v>
      </c>
      <c r="J21" s="222"/>
      <c r="K21" s="253">
        <f t="shared" si="1"/>
        <v>0</v>
      </c>
      <c r="L21" s="222" t="s">
        <v>2423</v>
      </c>
      <c r="M21" s="254">
        <f t="shared" si="6"/>
        <v>1.9</v>
      </c>
      <c r="N21" s="227"/>
      <c r="O21" s="253">
        <f t="shared" si="7"/>
        <v>0</v>
      </c>
      <c r="P21" s="224" t="s">
        <v>2243</v>
      </c>
      <c r="Q21" s="255">
        <f>IFERROR(VLOOKUP(P21,主食定价,COLUMNS(主食成本核算!$A$3:$X$3),0),0)</f>
        <v>0.35</v>
      </c>
      <c r="R21" s="224"/>
      <c r="S21" s="255">
        <f t="shared" si="8"/>
        <v>0</v>
      </c>
      <c r="T21" s="228"/>
      <c r="U21" s="255">
        <f t="shared" si="9"/>
        <v>0</v>
      </c>
      <c r="V21" s="225"/>
      <c r="W21" s="256">
        <f t="shared" si="10"/>
        <v>0</v>
      </c>
    </row>
    <row r="22" spans="1:23" ht="19.5" customHeight="1" thickBot="1">
      <c r="A22" s="283"/>
      <c r="B22" s="220" t="s">
        <v>2409</v>
      </c>
      <c r="C22" s="209">
        <f>IFERROR(VLOOKUP(B22,主食定价,COLUMNS(主食成本核算!$A$3:$X$3),0),0)</f>
        <v>0.4</v>
      </c>
      <c r="D22" s="219" t="s">
        <v>2754</v>
      </c>
      <c r="E22" s="252">
        <f>IFERROR(VLOOKUP(D22,主食定价,COLUMNS(主食成本核算!$A$3:$X$3),0),0)</f>
        <v>1.2</v>
      </c>
      <c r="F22" s="220"/>
      <c r="G22" s="252">
        <f t="shared" si="5"/>
        <v>0</v>
      </c>
      <c r="H22" s="221" t="s">
        <v>2422</v>
      </c>
      <c r="I22" s="253">
        <f>IFERROR(VLOOKUP(H22,主食定价,COLUMNS(主食成本核算!$A$3:$X$3),0),0)</f>
        <v>0.35</v>
      </c>
      <c r="J22" s="222"/>
      <c r="K22" s="253">
        <f t="shared" si="1"/>
        <v>0</v>
      </c>
      <c r="L22" s="222" t="s">
        <v>2426</v>
      </c>
      <c r="M22" s="254">
        <f t="shared" si="6"/>
        <v>1.3</v>
      </c>
      <c r="N22" s="227"/>
      <c r="O22" s="253">
        <f t="shared" si="7"/>
        <v>0</v>
      </c>
      <c r="P22" s="224" t="s">
        <v>2241</v>
      </c>
      <c r="Q22" s="255">
        <f>IFERROR(VLOOKUP(P22,主食定价,COLUMNS(主食成本核算!$A$3:$X$3),0),0)</f>
        <v>0.3</v>
      </c>
      <c r="R22" s="228"/>
      <c r="S22" s="255">
        <f t="shared" si="8"/>
        <v>0</v>
      </c>
      <c r="T22" s="228"/>
      <c r="U22" s="255">
        <f t="shared" si="9"/>
        <v>0</v>
      </c>
      <c r="V22" s="225"/>
      <c r="W22" s="256">
        <f t="shared" si="10"/>
        <v>0</v>
      </c>
    </row>
    <row r="23" spans="1:23" ht="19.5" customHeight="1" thickBot="1">
      <c r="A23" s="283"/>
      <c r="B23" s="218" t="s">
        <v>2414</v>
      </c>
      <c r="C23" s="209">
        <f>IFERROR(VLOOKUP(B23,主食定价,COLUMNS(主食成本核算!$A$3:$X$3),0),0)</f>
        <v>0.4</v>
      </c>
      <c r="D23" s="229"/>
      <c r="E23" s="252">
        <f>IFERROR(VLOOKUP(D23,主食定价,COLUMNS(主食成本核算!$A$3:$X$3),0),0)</f>
        <v>0</v>
      </c>
      <c r="F23" s="226"/>
      <c r="G23" s="252">
        <f t="shared" si="5"/>
        <v>0</v>
      </c>
      <c r="H23" s="221" t="s">
        <v>2425</v>
      </c>
      <c r="I23" s="253">
        <f>IFERROR(VLOOKUP(H23,主食定价,COLUMNS(主食成本核算!$A$3:$X$3),0),0)</f>
        <v>0.3</v>
      </c>
      <c r="J23" s="222"/>
      <c r="K23" s="253">
        <f t="shared" si="1"/>
        <v>0</v>
      </c>
      <c r="L23" s="222"/>
      <c r="M23" s="254">
        <f t="shared" si="6"/>
        <v>0</v>
      </c>
      <c r="N23" s="227"/>
      <c r="O23" s="253">
        <f t="shared" si="7"/>
        <v>0</v>
      </c>
      <c r="P23" s="224"/>
      <c r="Q23" s="255">
        <f>IFERROR(VLOOKUP(P23,主食定价,COLUMNS(主食成本核算!$A$3:$X$3),0),0)</f>
        <v>0</v>
      </c>
      <c r="R23" s="228"/>
      <c r="S23" s="255">
        <f t="shared" si="8"/>
        <v>0</v>
      </c>
      <c r="T23" s="228"/>
      <c r="U23" s="255">
        <f t="shared" si="9"/>
        <v>0</v>
      </c>
      <c r="V23" s="225"/>
      <c r="W23" s="256">
        <f t="shared" si="10"/>
        <v>0</v>
      </c>
    </row>
    <row r="24" spans="1:23" ht="19.5" customHeight="1" thickBot="1">
      <c r="A24" s="283"/>
      <c r="B24" s="218" t="s">
        <v>2419</v>
      </c>
      <c r="C24" s="209">
        <f>IFERROR(VLOOKUP(B24,主食定价,COLUMNS(主食成本核算!$A$3:$X$3),0),0)</f>
        <v>0.4</v>
      </c>
      <c r="D24" s="229"/>
      <c r="E24" s="252">
        <f>IFERROR(VLOOKUP(D24,主食定价,COLUMNS(主食成本核算!$A$3:$X$3),0),0)</f>
        <v>0</v>
      </c>
      <c r="F24" s="226"/>
      <c r="G24" s="252">
        <f t="shared" si="5"/>
        <v>0</v>
      </c>
      <c r="H24" s="222"/>
      <c r="I24" s="253">
        <f>IFERROR(VLOOKUP(H24,主食定价,COLUMNS(主食成本核算!$A$3:$X$3),0),0)</f>
        <v>0</v>
      </c>
      <c r="J24" s="222"/>
      <c r="K24" s="253">
        <f t="shared" si="1"/>
        <v>0</v>
      </c>
      <c r="L24" s="222"/>
      <c r="M24" s="254">
        <f t="shared" si="6"/>
        <v>0</v>
      </c>
      <c r="N24" s="227"/>
      <c r="O24" s="253">
        <f t="shared" si="7"/>
        <v>0</v>
      </c>
      <c r="P24" s="223"/>
      <c r="Q24" s="255">
        <f>IFERROR(VLOOKUP(P24,主食定价,COLUMNS(主食成本核算!$A$3:$X$3),0),0)</f>
        <v>0</v>
      </c>
      <c r="R24" s="228"/>
      <c r="S24" s="255">
        <f t="shared" si="8"/>
        <v>0</v>
      </c>
      <c r="T24" s="228"/>
      <c r="U24" s="255">
        <f t="shared" si="9"/>
        <v>0</v>
      </c>
      <c r="V24" s="225"/>
      <c r="W24" s="256">
        <f t="shared" si="10"/>
        <v>0</v>
      </c>
    </row>
    <row r="25" spans="1:23" ht="19.5" customHeight="1" thickBot="1">
      <c r="A25" s="283"/>
      <c r="B25" s="218" t="s">
        <v>2743</v>
      </c>
      <c r="C25" s="209">
        <f>IFERROR(VLOOKUP(B25,主食定价,COLUMNS(主食成本核算!$A$3:$X$3),0),0)</f>
        <v>0.3</v>
      </c>
      <c r="D25" s="229"/>
      <c r="E25" s="252">
        <f>IFERROR(VLOOKUP(D25,主食定价,COLUMNS(主食成本核算!$A$3:$X$3),0),0)</f>
        <v>0</v>
      </c>
      <c r="F25" s="226"/>
      <c r="G25" s="252">
        <f t="shared" si="5"/>
        <v>0</v>
      </c>
      <c r="H25" s="222"/>
      <c r="I25" s="253">
        <f>IFERROR(VLOOKUP(H25,主食定价,COLUMNS(主食成本核算!$A$3:$X$3),0),0)</f>
        <v>0</v>
      </c>
      <c r="J25" s="222"/>
      <c r="K25" s="253">
        <f t="shared" si="1"/>
        <v>0</v>
      </c>
      <c r="L25" s="222"/>
      <c r="M25" s="254">
        <f t="shared" si="6"/>
        <v>0</v>
      </c>
      <c r="N25" s="227"/>
      <c r="O25" s="253">
        <f t="shared" si="7"/>
        <v>0</v>
      </c>
      <c r="P25" s="224"/>
      <c r="Q25" s="255">
        <f>IFERROR(VLOOKUP(P25,主食定价,COLUMNS(主食成本核算!$A$3:$X$3),0),0)</f>
        <v>0</v>
      </c>
      <c r="R25" s="228"/>
      <c r="S25" s="255">
        <f t="shared" si="8"/>
        <v>0</v>
      </c>
      <c r="T25" s="228"/>
      <c r="U25" s="255">
        <f t="shared" si="9"/>
        <v>0</v>
      </c>
      <c r="V25" s="225"/>
      <c r="W25" s="256">
        <f t="shared" si="10"/>
        <v>0</v>
      </c>
    </row>
    <row r="26" spans="1:23" ht="19.5" customHeight="1" thickBot="1">
      <c r="A26" s="284"/>
      <c r="B26" s="230" t="s">
        <v>2764</v>
      </c>
      <c r="C26" s="209">
        <f>IFERROR(VLOOKUP(B26,主食定价,COLUMNS(主食成本核算!$A$3:$X$3),0),0)</f>
        <v>1.1000000000000001</v>
      </c>
      <c r="D26" s="232"/>
      <c r="E26" s="231">
        <f>IFERROR(VLOOKUP(D26,主食定价,COLUMNS(主食成本核算!$A$3:$X$3),0),0)</f>
        <v>0</v>
      </c>
      <c r="F26" s="233"/>
      <c r="G26" s="231">
        <f t="shared" si="5"/>
        <v>0</v>
      </c>
      <c r="H26" s="234"/>
      <c r="I26" s="257">
        <f>IFERROR(VLOOKUP(H26,主食定价,COLUMNS(主食成本核算!$A$3:$X$3),0),0)</f>
        <v>0</v>
      </c>
      <c r="J26" s="234"/>
      <c r="K26" s="257">
        <f t="shared" si="1"/>
        <v>0</v>
      </c>
      <c r="L26" s="234"/>
      <c r="M26" s="258">
        <f t="shared" si="6"/>
        <v>0</v>
      </c>
      <c r="N26" s="235"/>
      <c r="O26" s="257">
        <f t="shared" si="7"/>
        <v>0</v>
      </c>
      <c r="P26" s="236"/>
      <c r="Q26" s="259">
        <f>IFERROR(VLOOKUP(P26,主食定价,COLUMNS(主食成本核算!$A$3:$X$3),0),0)</f>
        <v>0</v>
      </c>
      <c r="R26" s="236"/>
      <c r="S26" s="259">
        <f t="shared" si="8"/>
        <v>0</v>
      </c>
      <c r="T26" s="236"/>
      <c r="U26" s="259">
        <f t="shared" si="9"/>
        <v>0</v>
      </c>
      <c r="V26" s="237"/>
      <c r="W26" s="260">
        <f t="shared" si="10"/>
        <v>0</v>
      </c>
    </row>
    <row r="27" spans="1:23" ht="19.5" customHeight="1" thickBot="1">
      <c r="A27" s="282" t="s">
        <v>2810</v>
      </c>
      <c r="B27" s="208" t="s">
        <v>2748</v>
      </c>
      <c r="C27" s="209">
        <f>IFERROR(VLOOKUP(B27,主食定价,COLUMNS(主食成本核算!$A$3:$X$3),0),0)</f>
        <v>3.3</v>
      </c>
      <c r="D27" s="210" t="s">
        <v>1474</v>
      </c>
      <c r="E27" s="209">
        <f>IFERROR(VLOOKUP(D27,主食定价,COLUMNS(主食成本核算!$A$3:$X$3),0),0)</f>
        <v>2</v>
      </c>
      <c r="F27" s="208" t="s">
        <v>2445</v>
      </c>
      <c r="G27" s="209">
        <f t="shared" si="5"/>
        <v>0.6</v>
      </c>
      <c r="H27" s="250" t="s">
        <v>2428</v>
      </c>
      <c r="I27" s="211">
        <f>IFERROR(VLOOKUP(H27,主食定价,COLUMNS(主食成本核算!$A$3:$X$3),0),0)</f>
        <v>2.1</v>
      </c>
      <c r="J27" s="206" t="s">
        <v>2429</v>
      </c>
      <c r="K27" s="211">
        <f t="shared" si="1"/>
        <v>4.3</v>
      </c>
      <c r="L27" s="212" t="s">
        <v>2581</v>
      </c>
      <c r="M27" s="213">
        <f t="shared" ref="M27:M58" si="11">IFERROR(VLOOKUP(L27,热菜核算,24,0),0)</f>
        <v>6.6</v>
      </c>
      <c r="N27" s="206" t="s">
        <v>2677</v>
      </c>
      <c r="O27" s="211">
        <f t="shared" ref="O27:O58" si="12">IFERROR(VLOOKUP(N27,小吃定价,24,0),0)</f>
        <v>9.9</v>
      </c>
      <c r="P27" s="251" t="s">
        <v>869</v>
      </c>
      <c r="Q27" s="215">
        <f>IFERROR(VLOOKUP(P27,主食定价,COLUMNS(主食成本核算!$A$3:$X$3),0),0)</f>
        <v>2.1</v>
      </c>
      <c r="R27" s="214" t="s">
        <v>2430</v>
      </c>
      <c r="S27" s="215">
        <f t="shared" si="8"/>
        <v>7.3999999999999995</v>
      </c>
      <c r="T27" s="214" t="s">
        <v>2327</v>
      </c>
      <c r="U27" s="215">
        <f t="shared" ref="U27:U58" si="13">IFERROR(VLOOKUP(T27,小吃定价,24,0),0)</f>
        <v>7.3</v>
      </c>
      <c r="V27" s="216" t="s">
        <v>2598</v>
      </c>
      <c r="W27" s="217">
        <f t="shared" ref="W27:W58" si="14">IFERROR(VLOOKUP(V27,热菜核算,24,0),0)</f>
        <v>6.9</v>
      </c>
    </row>
    <row r="28" spans="1:23" ht="19.5" customHeight="1" thickBot="1">
      <c r="A28" s="283"/>
      <c r="B28" s="218" t="s">
        <v>2753</v>
      </c>
      <c r="C28" s="209">
        <f>IFERROR(VLOOKUP(B28,主食定价,COLUMNS(主食成本核算!$A$3:$X$3),0),0)</f>
        <v>2.5</v>
      </c>
      <c r="D28" s="219" t="s">
        <v>1472</v>
      </c>
      <c r="E28" s="252">
        <f>IFERROR(VLOOKUP(D28,主食定价,COLUMNS(主食成本核算!$A$3:$X$3),0),0)</f>
        <v>1.65</v>
      </c>
      <c r="F28" s="220" t="s">
        <v>2394</v>
      </c>
      <c r="G28" s="252">
        <f t="shared" si="5"/>
        <v>0.5</v>
      </c>
      <c r="H28" s="221" t="s">
        <v>2778</v>
      </c>
      <c r="I28" s="253">
        <f>IFERROR(VLOOKUP(H28,主食定价,COLUMNS(主食成本核算!$A$3:$X$3),0),0)</f>
        <v>0.4</v>
      </c>
      <c r="J28" s="207" t="s">
        <v>2398</v>
      </c>
      <c r="K28" s="253">
        <f t="shared" si="1"/>
        <v>13.1</v>
      </c>
      <c r="L28" s="222" t="s">
        <v>2584</v>
      </c>
      <c r="M28" s="254">
        <f t="shared" si="11"/>
        <v>6.6</v>
      </c>
      <c r="N28" s="207" t="s">
        <v>2674</v>
      </c>
      <c r="O28" s="253">
        <f t="shared" si="12"/>
        <v>7.1</v>
      </c>
      <c r="P28" s="228" t="s">
        <v>1350</v>
      </c>
      <c r="Q28" s="255">
        <f>IFERROR(VLOOKUP(P28,主食定价,COLUMNS(主食成本核算!$A$3:$X$3),0),0)</f>
        <v>0.3</v>
      </c>
      <c r="R28" s="228" t="s">
        <v>2432</v>
      </c>
      <c r="S28" s="255">
        <f t="shared" si="8"/>
        <v>5</v>
      </c>
      <c r="T28" s="224" t="s">
        <v>2679</v>
      </c>
      <c r="U28" s="255">
        <f t="shared" si="13"/>
        <v>8.5</v>
      </c>
      <c r="V28" s="225" t="s">
        <v>2179</v>
      </c>
      <c r="W28" s="256">
        <f t="shared" si="14"/>
        <v>6.6</v>
      </c>
    </row>
    <row r="29" spans="1:23" ht="19.5" customHeight="1" thickBot="1">
      <c r="A29" s="283"/>
      <c r="B29" s="218" t="s">
        <v>2772</v>
      </c>
      <c r="C29" s="209">
        <f>IFERROR(VLOOKUP(B29,主食定价,COLUMNS(主食成本核算!$A$3:$X$3),0),0)</f>
        <v>1.6</v>
      </c>
      <c r="D29" s="219" t="s">
        <v>1473</v>
      </c>
      <c r="E29" s="252">
        <f>IFERROR(VLOOKUP(D29,主食定价,COLUMNS(主食成本核算!$A$3:$X$3),0),0)</f>
        <v>1.6</v>
      </c>
      <c r="F29" s="220" t="s">
        <v>2433</v>
      </c>
      <c r="G29" s="252">
        <f t="shared" si="5"/>
        <v>0.7</v>
      </c>
      <c r="H29" s="221" t="s">
        <v>2395</v>
      </c>
      <c r="I29" s="253">
        <f>IFERROR(VLOOKUP(H29,主食定价,COLUMNS(主食成本核算!$A$3:$X$3),0),0)</f>
        <v>0.5</v>
      </c>
      <c r="J29" s="207" t="s">
        <v>2434</v>
      </c>
      <c r="K29" s="253">
        <f t="shared" si="1"/>
        <v>4.3</v>
      </c>
      <c r="L29" s="222" t="s">
        <v>2582</v>
      </c>
      <c r="M29" s="254">
        <f t="shared" si="11"/>
        <v>6.5</v>
      </c>
      <c r="N29" s="207" t="s">
        <v>2675</v>
      </c>
      <c r="O29" s="253">
        <f t="shared" si="12"/>
        <v>5.3999999999999995</v>
      </c>
      <c r="P29" s="228" t="s">
        <v>2235</v>
      </c>
      <c r="Q29" s="255">
        <f>IFERROR(VLOOKUP(P29,主食定价,COLUMNS(主食成本核算!$A$3:$X$3),0),0)</f>
        <v>0.4</v>
      </c>
      <c r="R29" s="224" t="s">
        <v>2435</v>
      </c>
      <c r="S29" s="255">
        <f t="shared" si="8"/>
        <v>1.4000000000000001</v>
      </c>
      <c r="T29" s="224" t="s">
        <v>2678</v>
      </c>
      <c r="U29" s="255">
        <f t="shared" si="13"/>
        <v>3.9</v>
      </c>
      <c r="V29" s="225" t="s">
        <v>2593</v>
      </c>
      <c r="W29" s="256">
        <f t="shared" si="14"/>
        <v>5.3</v>
      </c>
    </row>
    <row r="30" spans="1:23" ht="19.5" customHeight="1" thickBot="1">
      <c r="A30" s="283"/>
      <c r="B30" s="218" t="s">
        <v>2440</v>
      </c>
      <c r="C30" s="209">
        <f>IFERROR(VLOOKUP(B30,主食定价,COLUMNS(主食成本核算!$A$3:$X$3),0),0)</f>
        <v>0.8</v>
      </c>
      <c r="D30" s="219" t="s">
        <v>2405</v>
      </c>
      <c r="E30" s="252">
        <f>IFERROR(VLOOKUP(D30,主食定价,COLUMNS(主食成本核算!$A$3:$X$3),0),0)</f>
        <v>1</v>
      </c>
      <c r="F30" s="220" t="s">
        <v>2443</v>
      </c>
      <c r="G30" s="252">
        <f t="shared" si="5"/>
        <v>0.4</v>
      </c>
      <c r="H30" s="221" t="s">
        <v>2401</v>
      </c>
      <c r="I30" s="253">
        <f>IFERROR(VLOOKUP(H30,主食定价,COLUMNS(主食成本核算!$A$3:$X$3),0),0)</f>
        <v>0.4</v>
      </c>
      <c r="J30" s="207" t="s">
        <v>2436</v>
      </c>
      <c r="K30" s="253">
        <f t="shared" si="1"/>
        <v>1.8</v>
      </c>
      <c r="L30" s="222" t="s">
        <v>2803</v>
      </c>
      <c r="M30" s="254">
        <f t="shared" si="11"/>
        <v>5.9</v>
      </c>
      <c r="N30" s="207" t="s">
        <v>2676</v>
      </c>
      <c r="O30" s="253">
        <f t="shared" si="12"/>
        <v>4.6999999999999993</v>
      </c>
      <c r="P30" s="228" t="s">
        <v>2233</v>
      </c>
      <c r="Q30" s="255">
        <f>IFERROR(VLOOKUP(P30,主食定价,COLUMNS(主食成本核算!$A$3:$X$3),0),0)</f>
        <v>0.4</v>
      </c>
      <c r="R30" s="224" t="s">
        <v>1672</v>
      </c>
      <c r="S30" s="255">
        <f t="shared" si="8"/>
        <v>2.4</v>
      </c>
      <c r="T30" s="224"/>
      <c r="U30" s="255">
        <f t="shared" si="13"/>
        <v>0</v>
      </c>
      <c r="V30" s="225" t="s">
        <v>2602</v>
      </c>
      <c r="W30" s="256">
        <f t="shared" si="14"/>
        <v>3.4</v>
      </c>
    </row>
    <row r="31" spans="1:23" ht="19.5" customHeight="1" thickBot="1">
      <c r="A31" s="283"/>
      <c r="B31" s="218" t="s">
        <v>2444</v>
      </c>
      <c r="C31" s="209">
        <f>IFERROR(VLOOKUP(B31,主食定价,COLUMNS(主食成本核算!$A$3:$X$3),0),0)</f>
        <v>0.8</v>
      </c>
      <c r="D31" s="219" t="s">
        <v>2410</v>
      </c>
      <c r="E31" s="252">
        <f>IFERROR(VLOOKUP(D31,主食定价,COLUMNS(主食成本核算!$A$3:$X$3),0),0)</f>
        <v>0.5</v>
      </c>
      <c r="F31" s="220" t="s">
        <v>2208</v>
      </c>
      <c r="G31" s="252">
        <f t="shared" si="5"/>
        <v>0.4</v>
      </c>
      <c r="H31" s="207" t="s">
        <v>2399</v>
      </c>
      <c r="I31" s="253">
        <f>IFERROR(VLOOKUP(H31,主食定价,COLUMNS(主食成本核算!$A$3:$X$3),0),0)</f>
        <v>0.4</v>
      </c>
      <c r="J31" s="207" t="s">
        <v>2439</v>
      </c>
      <c r="K31" s="253">
        <f t="shared" si="1"/>
        <v>2.6</v>
      </c>
      <c r="L31" s="222" t="s">
        <v>2561</v>
      </c>
      <c r="M31" s="254">
        <f t="shared" si="11"/>
        <v>3.5077058823529419</v>
      </c>
      <c r="N31" s="227"/>
      <c r="O31" s="253">
        <f t="shared" si="12"/>
        <v>0</v>
      </c>
      <c r="P31" s="223" t="s">
        <v>2245</v>
      </c>
      <c r="Q31" s="255">
        <f>IFERROR(VLOOKUP(P31,主食定价,COLUMNS(主食成本核算!$A$3:$X$3),0),0)</f>
        <v>0.4</v>
      </c>
      <c r="R31" s="224" t="s">
        <v>2210</v>
      </c>
      <c r="S31" s="255">
        <f t="shared" si="8"/>
        <v>2.1</v>
      </c>
      <c r="T31" s="225"/>
      <c r="U31" s="255">
        <f t="shared" si="13"/>
        <v>0</v>
      </c>
      <c r="V31" s="225" t="s">
        <v>2624</v>
      </c>
      <c r="W31" s="256">
        <f t="shared" si="14"/>
        <v>5.9</v>
      </c>
    </row>
    <row r="32" spans="1:23" ht="19.5" customHeight="1" thickBot="1">
      <c r="A32" s="283"/>
      <c r="B32" s="218" t="s">
        <v>2431</v>
      </c>
      <c r="C32" s="209">
        <f>IFERROR(VLOOKUP(B32,主食定价,COLUMNS(主食成本核算!$A$3:$X$3),0),0)</f>
        <v>0.7</v>
      </c>
      <c r="D32" s="219" t="s">
        <v>2415</v>
      </c>
      <c r="E32" s="252">
        <f>IFERROR(VLOOKUP(D32,主食定价,COLUMNS(主食成本核算!$A$3:$X$3),0),0)</f>
        <v>0.5</v>
      </c>
      <c r="F32" s="220" t="s">
        <v>2442</v>
      </c>
      <c r="G32" s="252">
        <f t="shared" si="5"/>
        <v>0.3</v>
      </c>
      <c r="H32" s="207" t="s">
        <v>2419</v>
      </c>
      <c r="I32" s="253">
        <f>IFERROR(VLOOKUP(H32,主食定价,COLUMNS(主食成本核算!$A$3:$X$3),0),0)</f>
        <v>0.4</v>
      </c>
      <c r="J32" s="207" t="s">
        <v>2412</v>
      </c>
      <c r="K32" s="253">
        <f t="shared" si="1"/>
        <v>2.5</v>
      </c>
      <c r="L32" s="222" t="s">
        <v>2585</v>
      </c>
      <c r="M32" s="254">
        <f t="shared" si="11"/>
        <v>3.6</v>
      </c>
      <c r="N32" s="227"/>
      <c r="O32" s="253">
        <f t="shared" si="12"/>
        <v>0</v>
      </c>
      <c r="P32" s="223" t="s">
        <v>2249</v>
      </c>
      <c r="Q32" s="255">
        <f>IFERROR(VLOOKUP(P32,主食定价,COLUMNS(主食成本核算!$A$3:$X$3),0),0)</f>
        <v>0.4</v>
      </c>
      <c r="R32" s="224" t="s">
        <v>2408</v>
      </c>
      <c r="S32" s="255">
        <f t="shared" si="8"/>
        <v>2</v>
      </c>
      <c r="T32" s="225"/>
      <c r="U32" s="255">
        <f t="shared" si="13"/>
        <v>0</v>
      </c>
      <c r="V32" s="225" t="s">
        <v>2181</v>
      </c>
      <c r="W32" s="256">
        <f t="shared" si="14"/>
        <v>1.8</v>
      </c>
    </row>
    <row r="33" spans="1:23" ht="19.5" customHeight="1" thickBot="1">
      <c r="A33" s="283"/>
      <c r="B33" s="220" t="s">
        <v>2438</v>
      </c>
      <c r="C33" s="209">
        <f>IFERROR(VLOOKUP(B33,主食定价,COLUMNS(主食成本核算!$A$3:$X$3),0),0)</f>
        <v>0.7</v>
      </c>
      <c r="D33" s="219" t="s">
        <v>2441</v>
      </c>
      <c r="E33" s="252">
        <f>IFERROR(VLOOKUP(D33,主食定价,COLUMNS(主食成本核算!$A$3:$X$3),0),0)</f>
        <v>0.4</v>
      </c>
      <c r="F33" s="220" t="s">
        <v>2213</v>
      </c>
      <c r="G33" s="252">
        <f t="shared" si="5"/>
        <v>0.30000000000000004</v>
      </c>
      <c r="H33" s="221" t="s">
        <v>2422</v>
      </c>
      <c r="I33" s="253">
        <f>IFERROR(VLOOKUP(H33,主食定价,COLUMNS(主食成本核算!$A$3:$X$3),0),0)</f>
        <v>0.35</v>
      </c>
      <c r="J33" s="222"/>
      <c r="K33" s="253">
        <f t="shared" si="1"/>
        <v>0</v>
      </c>
      <c r="L33" s="222" t="s">
        <v>2586</v>
      </c>
      <c r="M33" s="254">
        <f t="shared" si="11"/>
        <v>2.5</v>
      </c>
      <c r="N33" s="227"/>
      <c r="O33" s="253">
        <f t="shared" si="12"/>
        <v>0</v>
      </c>
      <c r="P33" s="224" t="s">
        <v>2243</v>
      </c>
      <c r="Q33" s="255">
        <f>IFERROR(VLOOKUP(P33,主食定价,COLUMNS(主食成本核算!$A$3:$X$3),0),0)</f>
        <v>0.35</v>
      </c>
      <c r="R33" s="228" t="s">
        <v>2212</v>
      </c>
      <c r="S33" s="255">
        <f t="shared" si="8"/>
        <v>1.7000000000000002</v>
      </c>
      <c r="T33" s="228"/>
      <c r="U33" s="255">
        <f t="shared" si="13"/>
        <v>0</v>
      </c>
      <c r="V33" s="225" t="s">
        <v>2622</v>
      </c>
      <c r="W33" s="256">
        <f t="shared" si="14"/>
        <v>2.1</v>
      </c>
    </row>
    <row r="34" spans="1:23" ht="19.5" customHeight="1" thickBot="1">
      <c r="A34" s="283"/>
      <c r="B34" s="218" t="s">
        <v>2744</v>
      </c>
      <c r="C34" s="209">
        <f>IFERROR(VLOOKUP(B34,主食定价,COLUMNS(主食成本核算!$A$3:$X$3),0),0)</f>
        <v>0.3</v>
      </c>
      <c r="D34" s="219" t="s">
        <v>2754</v>
      </c>
      <c r="E34" s="252">
        <f>IFERROR(VLOOKUP(D34,主食定价,COLUMNS(主食成本核算!$A$3:$X$3),0),0)</f>
        <v>1.2</v>
      </c>
      <c r="F34" s="220" t="s">
        <v>2207</v>
      </c>
      <c r="G34" s="252">
        <f t="shared" si="5"/>
        <v>0.30000000000000004</v>
      </c>
      <c r="H34" s="221" t="s">
        <v>2425</v>
      </c>
      <c r="I34" s="253">
        <f>IFERROR(VLOOKUP(H34,主食定价,COLUMNS(主食成本核算!$A$3:$X$3),0),0)</f>
        <v>0.3</v>
      </c>
      <c r="J34" s="222"/>
      <c r="K34" s="253">
        <f t="shared" si="1"/>
        <v>0</v>
      </c>
      <c r="L34" s="222" t="s">
        <v>2587</v>
      </c>
      <c r="M34" s="254">
        <f t="shared" si="11"/>
        <v>3.3</v>
      </c>
      <c r="N34" s="227"/>
      <c r="O34" s="253">
        <f t="shared" si="12"/>
        <v>0</v>
      </c>
      <c r="P34" s="224" t="s">
        <v>2241</v>
      </c>
      <c r="Q34" s="255">
        <f>IFERROR(VLOOKUP(P34,主食定价,COLUMNS(主食成本核算!$A$3:$X$3),0),0)</f>
        <v>0.3</v>
      </c>
      <c r="R34" s="228" t="s">
        <v>265</v>
      </c>
      <c r="S34" s="255">
        <f t="shared" si="8"/>
        <v>1.8</v>
      </c>
      <c r="T34" s="228"/>
      <c r="U34" s="255">
        <f t="shared" si="13"/>
        <v>0</v>
      </c>
      <c r="V34" s="225" t="s">
        <v>2603</v>
      </c>
      <c r="W34" s="256">
        <f t="shared" si="14"/>
        <v>1.7</v>
      </c>
    </row>
    <row r="35" spans="1:23" ht="19.5" customHeight="1" thickBot="1">
      <c r="A35" s="283"/>
      <c r="B35" s="220" t="s">
        <v>2399</v>
      </c>
      <c r="C35" s="209">
        <f>IFERROR(VLOOKUP(B35,主食定价,COLUMNS(主食成本核算!$A$3:$X$3),0),0)</f>
        <v>0.4</v>
      </c>
      <c r="D35" s="229"/>
      <c r="E35" s="252">
        <f>IFERROR(VLOOKUP(D35,主食定价,COLUMNS(主食成本核算!$A$3:$X$3),0),0)</f>
        <v>0</v>
      </c>
      <c r="F35" s="226"/>
      <c r="G35" s="252">
        <f t="shared" si="5"/>
        <v>0</v>
      </c>
      <c r="H35" s="222"/>
      <c r="I35" s="253"/>
      <c r="J35" s="222"/>
      <c r="K35" s="253">
        <f t="shared" ref="K35:K62" si="15">IFERROR(VLOOKUP(J35,凉菜定价,24,0),0)</f>
        <v>0</v>
      </c>
      <c r="L35" s="222" t="s">
        <v>2588</v>
      </c>
      <c r="M35" s="254">
        <f t="shared" si="11"/>
        <v>1.8</v>
      </c>
      <c r="N35" s="227"/>
      <c r="O35" s="253">
        <f t="shared" si="12"/>
        <v>0</v>
      </c>
      <c r="P35" s="224"/>
      <c r="Q35" s="255">
        <f>IFERROR(VLOOKUP(P35,主食定价,COLUMNS(主食成本核算!$A$3:$X$3),0),0)</f>
        <v>0</v>
      </c>
      <c r="R35" s="224" t="s">
        <v>2437</v>
      </c>
      <c r="S35" s="255">
        <f t="shared" ref="S35:S66" si="16">IFERROR(VLOOKUP(R35,凉菜定价,24,0),0)</f>
        <v>0.1</v>
      </c>
      <c r="T35" s="228"/>
      <c r="U35" s="255">
        <f t="shared" si="13"/>
        <v>0</v>
      </c>
      <c r="V35" s="225"/>
      <c r="W35" s="256">
        <f t="shared" si="14"/>
        <v>0</v>
      </c>
    </row>
    <row r="36" spans="1:23" ht="19.5" customHeight="1" thickBot="1">
      <c r="A36" s="283"/>
      <c r="B36" s="226" t="s">
        <v>2401</v>
      </c>
      <c r="C36" s="209">
        <f>IFERROR(VLOOKUP(B36,主食定价,COLUMNS(主食成本核算!$A$3:$X$3),0),0)</f>
        <v>0.4</v>
      </c>
      <c r="D36" s="229"/>
      <c r="E36" s="252">
        <f>IFERROR(VLOOKUP(D36,主食定价,COLUMNS(主食成本核算!$A$3:$X$3),0),0)</f>
        <v>0</v>
      </c>
      <c r="F36" s="226"/>
      <c r="G36" s="252">
        <f t="shared" si="5"/>
        <v>0</v>
      </c>
      <c r="H36" s="222"/>
      <c r="I36" s="253">
        <f>IFERROR(VLOOKUP(H36,主食定价,COLUMNS(主食成本核算!$A$3:$X$3),0),0)</f>
        <v>0</v>
      </c>
      <c r="J36" s="222"/>
      <c r="K36" s="253">
        <f t="shared" si="15"/>
        <v>0</v>
      </c>
      <c r="L36" s="222" t="s">
        <v>2589</v>
      </c>
      <c r="M36" s="254">
        <f t="shared" si="11"/>
        <v>1.5</v>
      </c>
      <c r="N36" s="227"/>
      <c r="O36" s="253">
        <f t="shared" si="12"/>
        <v>0</v>
      </c>
      <c r="P36" s="223"/>
      <c r="Q36" s="255">
        <f>IFERROR(VLOOKUP(P36,主食定价,COLUMNS(主食成本核算!$A$3:$X$3),0),0)</f>
        <v>0</v>
      </c>
      <c r="R36" s="228"/>
      <c r="S36" s="255">
        <f t="shared" si="16"/>
        <v>0</v>
      </c>
      <c r="T36" s="228"/>
      <c r="U36" s="255">
        <f t="shared" si="13"/>
        <v>0</v>
      </c>
      <c r="V36" s="225"/>
      <c r="W36" s="256">
        <f t="shared" si="14"/>
        <v>0</v>
      </c>
    </row>
    <row r="37" spans="1:23" ht="19.5" customHeight="1" thickBot="1">
      <c r="A37" s="283"/>
      <c r="B37" s="218" t="s">
        <v>2414</v>
      </c>
      <c r="C37" s="209">
        <f>IFERROR(VLOOKUP(B37,主食定价,COLUMNS(主食成本核算!$A$3:$X$3),0),0)</f>
        <v>0.4</v>
      </c>
      <c r="D37" s="229"/>
      <c r="E37" s="252">
        <f>IFERROR(VLOOKUP(D37,主食定价,COLUMNS(主食成本核算!$A$3:$X$3),0),0)</f>
        <v>0</v>
      </c>
      <c r="F37" s="226"/>
      <c r="G37" s="252">
        <f t="shared" si="5"/>
        <v>0</v>
      </c>
      <c r="H37" s="222"/>
      <c r="I37" s="253">
        <f>IFERROR(VLOOKUP(H37,主食定价,COLUMNS(主食成本核算!$A$3:$X$3),0),0)</f>
        <v>0</v>
      </c>
      <c r="J37" s="222"/>
      <c r="K37" s="253">
        <f t="shared" si="15"/>
        <v>0</v>
      </c>
      <c r="L37" s="222"/>
      <c r="M37" s="254">
        <f t="shared" si="11"/>
        <v>0</v>
      </c>
      <c r="N37" s="227"/>
      <c r="O37" s="253">
        <f t="shared" si="12"/>
        <v>0</v>
      </c>
      <c r="P37" s="224"/>
      <c r="Q37" s="255">
        <f>IFERROR(VLOOKUP(P37,主食定价,COLUMNS(主食成本核算!$A$3:$X$3),0),0)</f>
        <v>0</v>
      </c>
      <c r="R37" s="228"/>
      <c r="S37" s="255">
        <f t="shared" si="16"/>
        <v>0</v>
      </c>
      <c r="T37" s="228"/>
      <c r="U37" s="255">
        <f t="shared" si="13"/>
        <v>0</v>
      </c>
      <c r="V37" s="225"/>
      <c r="W37" s="256">
        <f t="shared" si="14"/>
        <v>0</v>
      </c>
    </row>
    <row r="38" spans="1:23" ht="19.5" customHeight="1" thickBot="1">
      <c r="A38" s="284"/>
      <c r="B38" s="230" t="s">
        <v>2409</v>
      </c>
      <c r="C38" s="209">
        <f>IFERROR(VLOOKUP(B38,主食定价,COLUMNS(主食成本核算!$A$3:$X$3),0),0)</f>
        <v>0.4</v>
      </c>
      <c r="D38" s="232"/>
      <c r="E38" s="231">
        <f>IFERROR(VLOOKUP(D38,主食定价,COLUMNS(主食成本核算!$A$3:$X$3),0),0)</f>
        <v>0</v>
      </c>
      <c r="F38" s="233"/>
      <c r="G38" s="231">
        <f t="shared" si="5"/>
        <v>0</v>
      </c>
      <c r="H38" s="234"/>
      <c r="I38" s="257">
        <f>IFERROR(VLOOKUP(H38,主食定价,COLUMNS(主食成本核算!$A$3:$X$3),0),0)</f>
        <v>0</v>
      </c>
      <c r="J38" s="234"/>
      <c r="K38" s="257">
        <f t="shared" si="15"/>
        <v>0</v>
      </c>
      <c r="L38" s="234"/>
      <c r="M38" s="258">
        <f t="shared" si="11"/>
        <v>0</v>
      </c>
      <c r="N38" s="235"/>
      <c r="O38" s="257">
        <f t="shared" si="12"/>
        <v>0</v>
      </c>
      <c r="P38" s="236"/>
      <c r="Q38" s="259">
        <f>IFERROR(VLOOKUP(P38,主食定价,COLUMNS(主食成本核算!$A$3:$X$3),0),0)</f>
        <v>0</v>
      </c>
      <c r="R38" s="236"/>
      <c r="S38" s="259">
        <f t="shared" si="16"/>
        <v>0</v>
      </c>
      <c r="T38" s="236"/>
      <c r="U38" s="259">
        <f t="shared" si="13"/>
        <v>0</v>
      </c>
      <c r="V38" s="237"/>
      <c r="W38" s="260">
        <f t="shared" si="14"/>
        <v>0</v>
      </c>
    </row>
    <row r="39" spans="1:23" ht="19.5" customHeight="1" thickBot="1">
      <c r="A39" s="282" t="s">
        <v>2811</v>
      </c>
      <c r="B39" s="274" t="s">
        <v>2465</v>
      </c>
      <c r="C39" s="209">
        <f>IFERROR(VLOOKUP(B39,主食定价,COLUMNS(主食成本核算!$A$3:$X$3),0),0)</f>
        <v>2.4</v>
      </c>
      <c r="D39" s="210" t="s">
        <v>1474</v>
      </c>
      <c r="E39" s="209">
        <f>IFERROR(VLOOKUP(D39,主食定价,COLUMNS(主食成本核算!$A$3:$X$3),0),0)</f>
        <v>2</v>
      </c>
      <c r="F39" s="208" t="s">
        <v>2464</v>
      </c>
      <c r="G39" s="209">
        <f t="shared" ref="G39:G66" si="17">IFERROR(VLOOKUP(F39,凉菜定价,24,0),0)</f>
        <v>0.4</v>
      </c>
      <c r="H39" s="250" t="s">
        <v>2447</v>
      </c>
      <c r="I39" s="211">
        <f>IFERROR(VLOOKUP(H39,主食定价,COLUMNS(主食成本核算!$A$3:$X$3),0),0)</f>
        <v>2.1</v>
      </c>
      <c r="J39" s="206" t="s">
        <v>2396</v>
      </c>
      <c r="K39" s="211">
        <f t="shared" si="15"/>
        <v>4.3</v>
      </c>
      <c r="L39" s="212" t="s">
        <v>2804</v>
      </c>
      <c r="M39" s="213">
        <f t="shared" si="11"/>
        <v>1.7338588235294121</v>
      </c>
      <c r="N39" s="206" t="s">
        <v>2682</v>
      </c>
      <c r="O39" s="211">
        <f t="shared" si="12"/>
        <v>11.299999999999999</v>
      </c>
      <c r="P39" s="214" t="s">
        <v>2750</v>
      </c>
      <c r="Q39" s="215">
        <f>IFERROR(VLOOKUP(P39,主食定价,COLUMNS(主食成本核算!$A$3:$X$3),0),0)</f>
        <v>1.1000000000000001</v>
      </c>
      <c r="R39" s="214" t="s">
        <v>2430</v>
      </c>
      <c r="S39" s="215">
        <f t="shared" si="16"/>
        <v>7.3999999999999995</v>
      </c>
      <c r="T39" s="214" t="s">
        <v>2685</v>
      </c>
      <c r="U39" s="215">
        <f t="shared" si="13"/>
        <v>4.5</v>
      </c>
      <c r="V39" s="216" t="s">
        <v>3160</v>
      </c>
      <c r="W39" s="217">
        <f t="shared" si="14"/>
        <v>6.2835882352941184</v>
      </c>
    </row>
    <row r="40" spans="1:23" ht="19.5" customHeight="1" thickBot="1">
      <c r="A40" s="283"/>
      <c r="B40" s="220" t="s">
        <v>2446</v>
      </c>
      <c r="C40" s="209">
        <f>IFERROR(VLOOKUP(B40,主食定价,COLUMNS(主食成本核算!$A$3:$X$3),0),0)</f>
        <v>2.5</v>
      </c>
      <c r="D40" s="219" t="s">
        <v>1472</v>
      </c>
      <c r="E40" s="252">
        <f>IFERROR(VLOOKUP(D40,主食定价,COLUMNS(主食成本核算!$A$3:$X$3),0),0)</f>
        <v>1.65</v>
      </c>
      <c r="F40" s="220" t="s">
        <v>2394</v>
      </c>
      <c r="G40" s="252">
        <f t="shared" si="17"/>
        <v>0.5</v>
      </c>
      <c r="H40" s="221" t="s">
        <v>2780</v>
      </c>
      <c r="I40" s="253">
        <f>IFERROR(VLOOKUP(H40,主食定价,COLUMNS(主食成本核算!$A$3:$X$3),0),0)</f>
        <v>1.1000000000000001</v>
      </c>
      <c r="J40" s="207" t="s">
        <v>2449</v>
      </c>
      <c r="K40" s="253">
        <f t="shared" si="15"/>
        <v>3.6</v>
      </c>
      <c r="L40" s="222" t="s">
        <v>2605</v>
      </c>
      <c r="M40" s="254">
        <f t="shared" si="11"/>
        <v>6.9</v>
      </c>
      <c r="N40" s="207" t="s">
        <v>2683</v>
      </c>
      <c r="O40" s="253">
        <f t="shared" si="12"/>
        <v>6.3999999999999995</v>
      </c>
      <c r="P40" s="223" t="s">
        <v>2235</v>
      </c>
      <c r="Q40" s="255">
        <f>IFERROR(VLOOKUP(P40,主食定价,COLUMNS(主食成本核算!$A$3:$X$3),0),0)</f>
        <v>0.4</v>
      </c>
      <c r="R40" s="228" t="s">
        <v>2450</v>
      </c>
      <c r="S40" s="255">
        <f t="shared" si="16"/>
        <v>5.8</v>
      </c>
      <c r="T40" s="224" t="s">
        <v>2684</v>
      </c>
      <c r="U40" s="255">
        <f t="shared" si="13"/>
        <v>5.6</v>
      </c>
      <c r="V40" s="225" t="s">
        <v>2183</v>
      </c>
      <c r="W40" s="256">
        <f t="shared" si="14"/>
        <v>6.4</v>
      </c>
    </row>
    <row r="41" spans="1:23" ht="19.5" customHeight="1" thickBot="1">
      <c r="A41" s="283"/>
      <c r="B41" s="220" t="s">
        <v>2455</v>
      </c>
      <c r="C41" s="209">
        <f>IFERROR(VLOOKUP(B41,主食定价,COLUMNS(主食成本核算!$A$3:$X$3),0),0)</f>
        <v>0.8</v>
      </c>
      <c r="D41" s="219" t="s">
        <v>1473</v>
      </c>
      <c r="E41" s="252">
        <f>IFERROR(VLOOKUP(D41,主食定价,COLUMNS(主食成本核算!$A$3:$X$3),0),0)</f>
        <v>1.6</v>
      </c>
      <c r="F41" s="220" t="s">
        <v>2461</v>
      </c>
      <c r="G41" s="252">
        <f t="shared" si="17"/>
        <v>0.5</v>
      </c>
      <c r="H41" s="221" t="s">
        <v>2401</v>
      </c>
      <c r="I41" s="253">
        <f>IFERROR(VLOOKUP(H41,主食定价,COLUMNS(主食成本核算!$A$3:$X$3),0),0)</f>
        <v>0.4</v>
      </c>
      <c r="J41" s="207" t="s">
        <v>2406</v>
      </c>
      <c r="K41" s="253">
        <f t="shared" si="15"/>
        <v>2.8000000000000003</v>
      </c>
      <c r="L41" s="222" t="s">
        <v>2452</v>
      </c>
      <c r="M41" s="254">
        <f t="shared" si="11"/>
        <v>6.7</v>
      </c>
      <c r="N41" s="207" t="s">
        <v>2681</v>
      </c>
      <c r="O41" s="253">
        <f t="shared" si="12"/>
        <v>6</v>
      </c>
      <c r="P41" s="228" t="s">
        <v>2233</v>
      </c>
      <c r="Q41" s="255">
        <f>IFERROR(VLOOKUP(P41,主食定价,COLUMNS(主食成本核算!$A$3:$X$3),0),0)</f>
        <v>0.4</v>
      </c>
      <c r="R41" s="224" t="s">
        <v>2453</v>
      </c>
      <c r="S41" s="255">
        <f t="shared" si="16"/>
        <v>2.6</v>
      </c>
      <c r="T41" s="224" t="s">
        <v>2686</v>
      </c>
      <c r="U41" s="255">
        <f t="shared" si="13"/>
        <v>5</v>
      </c>
      <c r="V41" s="225" t="s">
        <v>2620</v>
      </c>
      <c r="W41" s="256">
        <f t="shared" si="14"/>
        <v>6.3</v>
      </c>
    </row>
    <row r="42" spans="1:23" ht="19.5" customHeight="1" thickBot="1">
      <c r="A42" s="283"/>
      <c r="B42" s="218" t="s">
        <v>2466</v>
      </c>
      <c r="C42" s="209">
        <f>IFERROR(VLOOKUP(B42,主食定价,COLUMNS(主食成本核算!$A$3:$X$3),0),0)</f>
        <v>0.7</v>
      </c>
      <c r="D42" s="219" t="s">
        <v>2405</v>
      </c>
      <c r="E42" s="252">
        <f>IFERROR(VLOOKUP(D42,主食定价,COLUMNS(主食成本核算!$A$3:$X$3),0),0)</f>
        <v>1</v>
      </c>
      <c r="F42" s="220" t="s">
        <v>2451</v>
      </c>
      <c r="G42" s="252">
        <f t="shared" si="17"/>
        <v>0.30000000000000004</v>
      </c>
      <c r="H42" s="221" t="s">
        <v>2399</v>
      </c>
      <c r="I42" s="253">
        <f>IFERROR(VLOOKUP(H42,主食定价,COLUMNS(主食成本核算!$A$3:$X$3),0),0)</f>
        <v>0.4</v>
      </c>
      <c r="J42" s="207" t="s">
        <v>2454</v>
      </c>
      <c r="K42" s="253">
        <f t="shared" si="15"/>
        <v>1.7000000000000002</v>
      </c>
      <c r="L42" s="222" t="s">
        <v>2609</v>
      </c>
      <c r="M42" s="254">
        <f t="shared" si="11"/>
        <v>5.7</v>
      </c>
      <c r="N42" s="207" t="s">
        <v>2680</v>
      </c>
      <c r="O42" s="253">
        <f t="shared" si="12"/>
        <v>6.1</v>
      </c>
      <c r="P42" s="228" t="s">
        <v>2245</v>
      </c>
      <c r="Q42" s="255">
        <f>IFERROR(VLOOKUP(P42,主食定价,COLUMNS(主食成本核算!$A$3:$X$3),0),0)</f>
        <v>0.4</v>
      </c>
      <c r="R42" s="224" t="s">
        <v>2432</v>
      </c>
      <c r="S42" s="255">
        <f t="shared" si="16"/>
        <v>5</v>
      </c>
      <c r="T42" s="224"/>
      <c r="U42" s="255">
        <f t="shared" si="13"/>
        <v>0</v>
      </c>
      <c r="V42" s="225" t="s">
        <v>2184</v>
      </c>
      <c r="W42" s="256">
        <f t="shared" si="14"/>
        <v>5.2</v>
      </c>
    </row>
    <row r="43" spans="1:23" ht="19.5" customHeight="1" thickBot="1">
      <c r="A43" s="283"/>
      <c r="B43" s="218" t="s">
        <v>2448</v>
      </c>
      <c r="C43" s="209">
        <f>IFERROR(VLOOKUP(B43,主食定价,COLUMNS(主食成本核算!$A$3:$X$3),0),0)</f>
        <v>0.7</v>
      </c>
      <c r="D43" s="219" t="s">
        <v>2456</v>
      </c>
      <c r="E43" s="252">
        <f>IFERROR(VLOOKUP(D43,主食定价,COLUMNS(主食成本核算!$A$3:$X$3),0),0)</f>
        <v>0.7</v>
      </c>
      <c r="F43" s="220" t="s">
        <v>2214</v>
      </c>
      <c r="G43" s="252">
        <f t="shared" si="17"/>
        <v>0.4</v>
      </c>
      <c r="H43" s="207" t="s">
        <v>2411</v>
      </c>
      <c r="I43" s="253">
        <f>IFERROR(VLOOKUP(H43,主食定价,COLUMNS(主食成本核算!$A$3:$X$3),0),0)</f>
        <v>0.4</v>
      </c>
      <c r="J43" s="207" t="s">
        <v>2457</v>
      </c>
      <c r="K43" s="253">
        <f t="shared" si="15"/>
        <v>0.9</v>
      </c>
      <c r="L43" s="222" t="s">
        <v>2607</v>
      </c>
      <c r="M43" s="254">
        <f t="shared" si="11"/>
        <v>5.4</v>
      </c>
      <c r="N43" s="227"/>
      <c r="O43" s="253">
        <f t="shared" si="12"/>
        <v>0</v>
      </c>
      <c r="P43" s="228" t="s">
        <v>1700</v>
      </c>
      <c r="Q43" s="255">
        <f>IFERROR(VLOOKUP(P43,主食定价,COLUMNS(主食成本核算!$A$3:$X$3),0),0)</f>
        <v>0.3</v>
      </c>
      <c r="R43" s="224" t="s">
        <v>2219</v>
      </c>
      <c r="S43" s="255">
        <f t="shared" si="16"/>
        <v>3.5</v>
      </c>
      <c r="T43" s="225"/>
      <c r="U43" s="255">
        <f t="shared" si="13"/>
        <v>0</v>
      </c>
      <c r="V43" s="225" t="s">
        <v>2626</v>
      </c>
      <c r="W43" s="256">
        <f t="shared" si="14"/>
        <v>1.8</v>
      </c>
    </row>
    <row r="44" spans="1:23" ht="19.5" customHeight="1" thickBot="1">
      <c r="A44" s="283"/>
      <c r="B44" s="218" t="s">
        <v>2773</v>
      </c>
      <c r="C44" s="209">
        <f>IFERROR(VLOOKUP(B44,主食定价,COLUMNS(主食成本核算!$A$3:$X$3),0),0)</f>
        <v>0.8</v>
      </c>
      <c r="D44" s="219" t="s">
        <v>2415</v>
      </c>
      <c r="E44" s="252">
        <f>IFERROR(VLOOKUP(D44,主食定价,COLUMNS(主食成本核算!$A$3:$X$3),0),0)</f>
        <v>0.5</v>
      </c>
      <c r="F44" s="220" t="s">
        <v>2459</v>
      </c>
      <c r="G44" s="252">
        <f t="shared" si="17"/>
        <v>0.30000000000000004</v>
      </c>
      <c r="H44" s="207" t="s">
        <v>2730</v>
      </c>
      <c r="I44" s="253">
        <f>IFERROR(VLOOKUP(H44,主食定价,COLUMNS(主食成本核算!$A$3:$X$3),0),0)</f>
        <v>0.4</v>
      </c>
      <c r="J44" s="207"/>
      <c r="K44" s="253">
        <f t="shared" si="15"/>
        <v>0</v>
      </c>
      <c r="L44" s="222" t="s">
        <v>2610</v>
      </c>
      <c r="M44" s="254">
        <f t="shared" si="11"/>
        <v>4.7</v>
      </c>
      <c r="N44" s="227"/>
      <c r="O44" s="253">
        <f t="shared" si="12"/>
        <v>0</v>
      </c>
      <c r="P44" s="223" t="s">
        <v>2729</v>
      </c>
      <c r="Q44" s="255">
        <f>IFERROR(VLOOKUP(P44,主食定价,COLUMNS(主食成本核算!$A$3:$X$3),0),0)</f>
        <v>0.4</v>
      </c>
      <c r="R44" s="224" t="s">
        <v>2220</v>
      </c>
      <c r="S44" s="255">
        <f t="shared" si="16"/>
        <v>1.6</v>
      </c>
      <c r="T44" s="225"/>
      <c r="U44" s="255">
        <f t="shared" si="13"/>
        <v>0</v>
      </c>
      <c r="V44" s="225" t="s">
        <v>2539</v>
      </c>
      <c r="W44" s="256">
        <f t="shared" si="14"/>
        <v>2.8</v>
      </c>
    </row>
    <row r="45" spans="1:23" ht="19.5" customHeight="1" thickBot="1">
      <c r="A45" s="283"/>
      <c r="B45" s="220" t="s">
        <v>2399</v>
      </c>
      <c r="C45" s="209">
        <f>IFERROR(VLOOKUP(B45,主食定价,COLUMNS(主食成本核算!$A$3:$X$3),0),0)</f>
        <v>0.4</v>
      </c>
      <c r="D45" s="219" t="s">
        <v>2749</v>
      </c>
      <c r="E45" s="252">
        <f>IFERROR(VLOOKUP(D45,主食定价,COLUMNS(主食成本核算!$A$3:$X$3),0),0)</f>
        <v>0.5</v>
      </c>
      <c r="F45" s="220" t="s">
        <v>2213</v>
      </c>
      <c r="G45" s="252">
        <f t="shared" si="17"/>
        <v>0.30000000000000004</v>
      </c>
      <c r="H45" s="221" t="s">
        <v>2422</v>
      </c>
      <c r="I45" s="253">
        <f>IFERROR(VLOOKUP(H45,主食定价,COLUMNS(主食成本核算!$A$3:$X$3),0),0)</f>
        <v>0.35</v>
      </c>
      <c r="J45" s="222"/>
      <c r="K45" s="253">
        <f t="shared" si="15"/>
        <v>0</v>
      </c>
      <c r="L45" s="222" t="s">
        <v>2615</v>
      </c>
      <c r="M45" s="254">
        <f t="shared" si="11"/>
        <v>1.4</v>
      </c>
      <c r="N45" s="227"/>
      <c r="O45" s="253">
        <f t="shared" si="12"/>
        <v>0</v>
      </c>
      <c r="P45" s="223" t="s">
        <v>2243</v>
      </c>
      <c r="Q45" s="255">
        <f>IFERROR(VLOOKUP(P45,主食定价,COLUMNS(主食成本核算!$A$3:$X$3),0),0)</f>
        <v>0.35</v>
      </c>
      <c r="R45" s="224" t="s">
        <v>2462</v>
      </c>
      <c r="S45" s="255">
        <f t="shared" si="16"/>
        <v>1.9000000000000001</v>
      </c>
      <c r="T45" s="228"/>
      <c r="U45" s="255">
        <f t="shared" si="13"/>
        <v>0</v>
      </c>
      <c r="V45" s="225" t="s">
        <v>2185</v>
      </c>
      <c r="W45" s="256">
        <f t="shared" si="14"/>
        <v>1.8</v>
      </c>
    </row>
    <row r="46" spans="1:23" ht="19.5" customHeight="1" thickBot="1">
      <c r="A46" s="283"/>
      <c r="B46" s="226" t="s">
        <v>2401</v>
      </c>
      <c r="C46" s="209">
        <f>IFERROR(VLOOKUP(B46,主食定价,COLUMNS(主食成本核算!$A$3:$X$3),0),0)</f>
        <v>0.4</v>
      </c>
      <c r="D46" s="219" t="s">
        <v>2754</v>
      </c>
      <c r="E46" s="252">
        <f>IFERROR(VLOOKUP(D46,主食定价,COLUMNS(主食成本核算!$A$3:$X$3),0),0)</f>
        <v>1.2</v>
      </c>
      <c r="F46" s="220" t="s">
        <v>2207</v>
      </c>
      <c r="G46" s="252">
        <f t="shared" si="17"/>
        <v>0.30000000000000004</v>
      </c>
      <c r="H46" s="221" t="s">
        <v>2425</v>
      </c>
      <c r="I46" s="253">
        <f>IFERROR(VLOOKUP(H46,主食定价,COLUMNS(主食成本核算!$A$3:$X$3),0),0)</f>
        <v>0.3</v>
      </c>
      <c r="J46" s="222"/>
      <c r="K46" s="253">
        <f t="shared" si="15"/>
        <v>0</v>
      </c>
      <c r="L46" s="222" t="s">
        <v>2611</v>
      </c>
      <c r="M46" s="254">
        <f t="shared" si="11"/>
        <v>1.9</v>
      </c>
      <c r="N46" s="227"/>
      <c r="O46" s="253">
        <f t="shared" si="12"/>
        <v>0</v>
      </c>
      <c r="P46" s="224" t="s">
        <v>2241</v>
      </c>
      <c r="Q46" s="255">
        <f>IFERROR(VLOOKUP(P46,主食定价,COLUMNS(主食成本核算!$A$3:$X$3),0),0)</f>
        <v>0.3</v>
      </c>
      <c r="R46" s="228" t="s">
        <v>1672</v>
      </c>
      <c r="S46" s="255">
        <f t="shared" si="16"/>
        <v>2.4</v>
      </c>
      <c r="T46" s="228"/>
      <c r="U46" s="255">
        <f t="shared" si="13"/>
        <v>0</v>
      </c>
      <c r="V46" s="225" t="s">
        <v>2186</v>
      </c>
      <c r="W46" s="256">
        <f t="shared" si="14"/>
        <v>1</v>
      </c>
    </row>
    <row r="47" spans="1:23" ht="19.5" customHeight="1" thickBot="1">
      <c r="A47" s="283"/>
      <c r="B47" s="218" t="s">
        <v>2458</v>
      </c>
      <c r="C47" s="209">
        <f>IFERROR(VLOOKUP(B47,主食定价,COLUMNS(主食成本核算!$A$3:$X$3),0),0)</f>
        <v>0.3</v>
      </c>
      <c r="D47" s="229"/>
      <c r="E47" s="252">
        <f>IFERROR(VLOOKUP(D47,主食定价,COLUMNS(主食成本核算!$A$3:$X$3),0),0)</f>
        <v>0</v>
      </c>
      <c r="F47" s="226"/>
      <c r="G47" s="252">
        <f t="shared" si="17"/>
        <v>0</v>
      </c>
      <c r="H47" s="222"/>
      <c r="I47" s="253"/>
      <c r="J47" s="222"/>
      <c r="K47" s="253">
        <f t="shared" si="15"/>
        <v>0</v>
      </c>
      <c r="L47" s="222" t="s">
        <v>2613</v>
      </c>
      <c r="M47" s="254">
        <f t="shared" si="11"/>
        <v>2.6</v>
      </c>
      <c r="N47" s="227"/>
      <c r="O47" s="253">
        <f t="shared" si="12"/>
        <v>0</v>
      </c>
      <c r="P47" s="224"/>
      <c r="Q47" s="255">
        <f>IFERROR(VLOOKUP(P47,主食定价,COLUMNS(主食成本核算!$A$3:$X$3),0),0)</f>
        <v>0</v>
      </c>
      <c r="R47" s="228" t="s">
        <v>265</v>
      </c>
      <c r="S47" s="255">
        <f t="shared" si="16"/>
        <v>1.8</v>
      </c>
      <c r="T47" s="228"/>
      <c r="U47" s="255">
        <f t="shared" si="13"/>
        <v>0</v>
      </c>
      <c r="V47" s="225"/>
      <c r="W47" s="256">
        <f t="shared" si="14"/>
        <v>0</v>
      </c>
    </row>
    <row r="48" spans="1:23" ht="19.5" customHeight="1" thickBot="1">
      <c r="A48" s="283"/>
      <c r="B48" s="218" t="s">
        <v>2460</v>
      </c>
      <c r="C48" s="209">
        <f>IFERROR(VLOOKUP(B48,主食定价,COLUMNS(主食成本核算!$A$3:$X$3),0),0)</f>
        <v>0.4</v>
      </c>
      <c r="D48" s="229"/>
      <c r="E48" s="252">
        <f>IFERROR(VLOOKUP(D48,主食定价,COLUMNS(主食成本核算!$A$3:$X$3),0),0)</f>
        <v>0</v>
      </c>
      <c r="F48" s="226"/>
      <c r="G48" s="252">
        <f t="shared" si="17"/>
        <v>0</v>
      </c>
      <c r="H48" s="222"/>
      <c r="I48" s="253">
        <f>IFERROR(VLOOKUP(H48,主食定价,COLUMNS(主食成本核算!$A$3:$X$3),0),0)</f>
        <v>0</v>
      </c>
      <c r="J48" s="222"/>
      <c r="K48" s="253">
        <f t="shared" si="15"/>
        <v>0</v>
      </c>
      <c r="L48" s="222" t="s">
        <v>2612</v>
      </c>
      <c r="M48" s="254">
        <f t="shared" si="11"/>
        <v>1.5</v>
      </c>
      <c r="N48" s="227"/>
      <c r="O48" s="253">
        <f t="shared" si="12"/>
        <v>0</v>
      </c>
      <c r="P48" s="223"/>
      <c r="Q48" s="255">
        <f>IFERROR(VLOOKUP(P48,主食定价,COLUMNS(主食成本核算!$A$3:$X$3),0),0)</f>
        <v>0</v>
      </c>
      <c r="R48" s="228"/>
      <c r="S48" s="255">
        <f t="shared" si="16"/>
        <v>0</v>
      </c>
      <c r="T48" s="228"/>
      <c r="U48" s="255">
        <f t="shared" si="13"/>
        <v>0</v>
      </c>
      <c r="V48" s="225"/>
      <c r="W48" s="256">
        <f t="shared" si="14"/>
        <v>0</v>
      </c>
    </row>
    <row r="49" spans="1:23" ht="19.5" customHeight="1" thickBot="1">
      <c r="A49" s="283"/>
      <c r="B49" s="218" t="s">
        <v>2463</v>
      </c>
      <c r="C49" s="209">
        <f>IFERROR(VLOOKUP(B49,主食定价,COLUMNS(主食成本核算!$A$3:$X$3),0),0)</f>
        <v>0.4</v>
      </c>
      <c r="D49" s="229"/>
      <c r="E49" s="252">
        <f>IFERROR(VLOOKUP(D49,主食定价,COLUMNS(主食成本核算!$A$3:$X$3),0),0)</f>
        <v>0</v>
      </c>
      <c r="F49" s="226"/>
      <c r="G49" s="252">
        <f t="shared" si="17"/>
        <v>0</v>
      </c>
      <c r="H49" s="222"/>
      <c r="I49" s="253">
        <f>IFERROR(VLOOKUP(H49,主食定价,COLUMNS(主食成本核算!$A$3:$X$3),0),0)</f>
        <v>0</v>
      </c>
      <c r="J49" s="222"/>
      <c r="K49" s="253">
        <f t="shared" si="15"/>
        <v>0</v>
      </c>
      <c r="L49" s="222"/>
      <c r="M49" s="254">
        <f t="shared" si="11"/>
        <v>0</v>
      </c>
      <c r="N49" s="227"/>
      <c r="O49" s="253">
        <f t="shared" si="12"/>
        <v>0</v>
      </c>
      <c r="P49" s="224"/>
      <c r="Q49" s="255">
        <f>IFERROR(VLOOKUP(P49,主食定价,COLUMNS(主食成本核算!$A$3:$X$3),0),0)</f>
        <v>0</v>
      </c>
      <c r="R49" s="228"/>
      <c r="S49" s="255">
        <f t="shared" si="16"/>
        <v>0</v>
      </c>
      <c r="T49" s="228"/>
      <c r="U49" s="255">
        <f t="shared" si="13"/>
        <v>0</v>
      </c>
      <c r="V49" s="225"/>
      <c r="W49" s="256">
        <f t="shared" si="14"/>
        <v>0</v>
      </c>
    </row>
    <row r="50" spans="1:23" ht="19.5" customHeight="1" thickBot="1">
      <c r="A50" s="284"/>
      <c r="B50" s="230" t="s">
        <v>2763</v>
      </c>
      <c r="C50" s="209">
        <f>IFERROR(VLOOKUP(B50,主食定价,COLUMNS(主食成本核算!$A$3:$X$3),0),0)</f>
        <v>1.1000000000000001</v>
      </c>
      <c r="D50" s="232"/>
      <c r="E50" s="231">
        <f>IFERROR(VLOOKUP(D50,主食定价,COLUMNS(主食成本核算!$A$3:$X$3),0),0)</f>
        <v>0</v>
      </c>
      <c r="F50" s="233"/>
      <c r="G50" s="231">
        <f t="shared" si="17"/>
        <v>0</v>
      </c>
      <c r="H50" s="234"/>
      <c r="I50" s="257">
        <f>IFERROR(VLOOKUP(H50,主食定价,COLUMNS(主食成本核算!$A$3:$X$3),0),0)</f>
        <v>0</v>
      </c>
      <c r="J50" s="234"/>
      <c r="K50" s="257">
        <f t="shared" si="15"/>
        <v>0</v>
      </c>
      <c r="L50" s="234"/>
      <c r="M50" s="258">
        <f t="shared" si="11"/>
        <v>0</v>
      </c>
      <c r="N50" s="235"/>
      <c r="O50" s="257">
        <f t="shared" si="12"/>
        <v>0</v>
      </c>
      <c r="P50" s="236"/>
      <c r="Q50" s="259">
        <f>IFERROR(VLOOKUP(P50,主食定价,COLUMNS(主食成本核算!$A$3:$X$3),0),0)</f>
        <v>0</v>
      </c>
      <c r="R50" s="236"/>
      <c r="S50" s="259">
        <f t="shared" si="16"/>
        <v>0</v>
      </c>
      <c r="T50" s="236"/>
      <c r="U50" s="259">
        <f t="shared" si="13"/>
        <v>0</v>
      </c>
      <c r="V50" s="237"/>
      <c r="W50" s="260">
        <f t="shared" si="14"/>
        <v>0</v>
      </c>
    </row>
    <row r="51" spans="1:23" ht="19.5" customHeight="1" thickBot="1">
      <c r="A51" s="282" t="s">
        <v>2812</v>
      </c>
      <c r="B51" s="208" t="s">
        <v>2748</v>
      </c>
      <c r="C51" s="209">
        <f>IFERROR(VLOOKUP(B51,主食定价,COLUMNS(主食成本核算!$A$3:$X$3),0),0)</f>
        <v>3.3</v>
      </c>
      <c r="D51" s="210" t="s">
        <v>1474</v>
      </c>
      <c r="E51" s="209">
        <f>IFERROR(VLOOKUP(D51,主食定价,COLUMNS(主食成本核算!$A$3:$X$3),0),0)</f>
        <v>2</v>
      </c>
      <c r="F51" s="208" t="s">
        <v>2394</v>
      </c>
      <c r="G51" s="209">
        <f t="shared" ref="G51:G62" si="18">IFERROR(VLOOKUP(F51,凉菜定价,24,0),0)</f>
        <v>0.5</v>
      </c>
      <c r="H51" s="206" t="s">
        <v>2779</v>
      </c>
      <c r="I51" s="211">
        <f>IFERROR(VLOOKUP(H51,主食定价,COLUMNS(主食成本核算!$A$3:$X$3),0),0)</f>
        <v>2.1</v>
      </c>
      <c r="J51" s="206" t="s">
        <v>2467</v>
      </c>
      <c r="K51" s="211">
        <f t="shared" si="15"/>
        <v>4.3</v>
      </c>
      <c r="L51" s="212" t="s">
        <v>2468</v>
      </c>
      <c r="M51" s="213">
        <f t="shared" si="11"/>
        <v>6.9</v>
      </c>
      <c r="N51" s="206" t="s">
        <v>1336</v>
      </c>
      <c r="O51" s="211">
        <f t="shared" si="12"/>
        <v>7.8</v>
      </c>
      <c r="P51" s="251" t="s">
        <v>2236</v>
      </c>
      <c r="Q51" s="215">
        <f>IFERROR(VLOOKUP(P51,主食定价,COLUMNS(主食成本核算!$A$3:$X$3),0),0)</f>
        <v>0.5</v>
      </c>
      <c r="R51" s="214" t="s">
        <v>2430</v>
      </c>
      <c r="S51" s="215">
        <f t="shared" si="16"/>
        <v>7.3999999999999995</v>
      </c>
      <c r="T51" s="214" t="s">
        <v>1924</v>
      </c>
      <c r="U51" s="215">
        <f t="shared" si="13"/>
        <v>5.3999999999999995</v>
      </c>
      <c r="V51" s="216" t="s">
        <v>2637</v>
      </c>
      <c r="W51" s="217">
        <f t="shared" si="14"/>
        <v>7.5</v>
      </c>
    </row>
    <row r="52" spans="1:23" ht="19.5" customHeight="1" thickBot="1">
      <c r="A52" s="283"/>
      <c r="B52" s="218" t="s">
        <v>2753</v>
      </c>
      <c r="C52" s="209">
        <f>IFERROR(VLOOKUP(B52,主食定价,COLUMNS(主食成本核算!$A$3:$X$3),0),0)</f>
        <v>2.5</v>
      </c>
      <c r="D52" s="219" t="s">
        <v>1472</v>
      </c>
      <c r="E52" s="252">
        <f>IFERROR(VLOOKUP(D52,主食定价,COLUMNS(主食成本核算!$A$3:$X$3),0),0)</f>
        <v>1.65</v>
      </c>
      <c r="F52" s="220" t="s">
        <v>2206</v>
      </c>
      <c r="G52" s="252">
        <f t="shared" si="18"/>
        <v>0.7</v>
      </c>
      <c r="H52" s="221" t="s">
        <v>2395</v>
      </c>
      <c r="I52" s="253">
        <f>IFERROR(VLOOKUP(H52,主食定价,COLUMNS(主食成本核算!$A$3:$X$3),0),0)</f>
        <v>0.5</v>
      </c>
      <c r="J52" s="207" t="s">
        <v>2470</v>
      </c>
      <c r="K52" s="253">
        <f t="shared" si="15"/>
        <v>3.9</v>
      </c>
      <c r="L52" s="222" t="s">
        <v>2471</v>
      </c>
      <c r="M52" s="254">
        <f t="shared" si="11"/>
        <v>6.9</v>
      </c>
      <c r="N52" s="207" t="s">
        <v>2691</v>
      </c>
      <c r="O52" s="253">
        <f t="shared" si="12"/>
        <v>7.3</v>
      </c>
      <c r="P52" s="228" t="s">
        <v>2235</v>
      </c>
      <c r="Q52" s="255">
        <f>IFERROR(VLOOKUP(P52,主食定价,COLUMNS(主食成本核算!$A$3:$X$3),0),0)</f>
        <v>0.4</v>
      </c>
      <c r="R52" s="228" t="s">
        <v>2432</v>
      </c>
      <c r="S52" s="255">
        <f t="shared" si="16"/>
        <v>5</v>
      </c>
      <c r="T52" s="224" t="s">
        <v>2071</v>
      </c>
      <c r="U52" s="255">
        <f t="shared" si="13"/>
        <v>6</v>
      </c>
      <c r="V52" s="225" t="s">
        <v>2180</v>
      </c>
      <c r="W52" s="256">
        <f t="shared" si="14"/>
        <v>4.8</v>
      </c>
    </row>
    <row r="53" spans="1:23" ht="19.5" customHeight="1" thickBot="1">
      <c r="A53" s="283"/>
      <c r="B53" s="218" t="s">
        <v>1393</v>
      </c>
      <c r="C53" s="209">
        <f>IFERROR(VLOOKUP(B53,主食定价,COLUMNS(主食成本核算!$A$3:$X$3),0),0)</f>
        <v>1</v>
      </c>
      <c r="D53" s="219" t="s">
        <v>1473</v>
      </c>
      <c r="E53" s="252">
        <f>IFERROR(VLOOKUP(D53,主食定价,COLUMNS(主食成本核算!$A$3:$X$3),0),0)</f>
        <v>1.6</v>
      </c>
      <c r="F53" s="220" t="s">
        <v>2481</v>
      </c>
      <c r="G53" s="252">
        <f t="shared" si="18"/>
        <v>0.6</v>
      </c>
      <c r="H53" s="221" t="s">
        <v>2401</v>
      </c>
      <c r="I53" s="253">
        <f>IFERROR(VLOOKUP(H53,主食定价,COLUMNS(主食成本核算!$A$3:$X$3),0),0)</f>
        <v>0.4</v>
      </c>
      <c r="J53" s="207" t="s">
        <v>2472</v>
      </c>
      <c r="K53" s="253">
        <f t="shared" si="15"/>
        <v>2.6</v>
      </c>
      <c r="L53" s="222" t="s">
        <v>2629</v>
      </c>
      <c r="M53" s="254">
        <f t="shared" si="11"/>
        <v>5.9</v>
      </c>
      <c r="N53" s="207" t="s">
        <v>2694</v>
      </c>
      <c r="O53" s="253">
        <f t="shared" si="12"/>
        <v>7.3</v>
      </c>
      <c r="P53" s="228" t="s">
        <v>2233</v>
      </c>
      <c r="Q53" s="255">
        <f>IFERROR(VLOOKUP(P53,主食定价,COLUMNS(主食成本核算!$A$3:$X$3),0),0)</f>
        <v>0.4</v>
      </c>
      <c r="R53" s="224" t="s">
        <v>2473</v>
      </c>
      <c r="S53" s="255">
        <f t="shared" si="16"/>
        <v>2.9</v>
      </c>
      <c r="T53" s="224" t="s">
        <v>1913</v>
      </c>
      <c r="U53" s="255">
        <f t="shared" si="13"/>
        <v>4.5</v>
      </c>
      <c r="V53" s="225" t="s">
        <v>2664</v>
      </c>
      <c r="W53" s="256">
        <f t="shared" si="14"/>
        <v>4.7</v>
      </c>
    </row>
    <row r="54" spans="1:23" ht="19.5" customHeight="1" thickBot="1">
      <c r="A54" s="283"/>
      <c r="B54" s="218" t="s">
        <v>2431</v>
      </c>
      <c r="C54" s="209">
        <f>IFERROR(VLOOKUP(B54,主食定价,COLUMNS(主食成本核算!$A$3:$X$3),0),0)</f>
        <v>0.7</v>
      </c>
      <c r="D54" s="219" t="s">
        <v>2405</v>
      </c>
      <c r="E54" s="252">
        <f>IFERROR(VLOOKUP(D54,主食定价,COLUMNS(主食成本核算!$A$3:$X$3),0),0)</f>
        <v>1</v>
      </c>
      <c r="F54" s="220" t="s">
        <v>2483</v>
      </c>
      <c r="G54" s="252">
        <f t="shared" si="18"/>
        <v>0.4</v>
      </c>
      <c r="H54" s="221" t="s">
        <v>2399</v>
      </c>
      <c r="I54" s="253">
        <f>IFERROR(VLOOKUP(H54,主食定价,COLUMNS(主食成本核算!$A$3:$X$3),0),0)</f>
        <v>0.4</v>
      </c>
      <c r="J54" s="207" t="s">
        <v>2474</v>
      </c>
      <c r="K54" s="253">
        <f t="shared" si="15"/>
        <v>2.6</v>
      </c>
      <c r="L54" s="222" t="s">
        <v>2627</v>
      </c>
      <c r="M54" s="254">
        <f t="shared" si="11"/>
        <v>5.2</v>
      </c>
      <c r="N54" s="207" t="s">
        <v>2693</v>
      </c>
      <c r="O54" s="253">
        <f t="shared" si="12"/>
        <v>4.5</v>
      </c>
      <c r="P54" s="228" t="s">
        <v>2245</v>
      </c>
      <c r="Q54" s="255">
        <f>IFERROR(VLOOKUP(P54,主食定价,COLUMNS(主食成本核算!$A$3:$X$3),0),0)</f>
        <v>0.4</v>
      </c>
      <c r="R54" s="224" t="s">
        <v>2436</v>
      </c>
      <c r="S54" s="255">
        <f t="shared" si="16"/>
        <v>1.8</v>
      </c>
      <c r="T54" s="224"/>
      <c r="U54" s="255">
        <f t="shared" si="13"/>
        <v>0</v>
      </c>
      <c r="V54" s="225" t="s">
        <v>2638</v>
      </c>
      <c r="W54" s="256">
        <f t="shared" si="14"/>
        <v>3.8</v>
      </c>
    </row>
    <row r="55" spans="1:23" ht="19.5" customHeight="1" thickBot="1">
      <c r="A55" s="283"/>
      <c r="B55" s="218" t="s">
        <v>2777</v>
      </c>
      <c r="C55" s="209">
        <f>IFERROR(VLOOKUP(B55,主食定价,COLUMNS(主食成本核算!$A$3:$X$3),0),0)</f>
        <v>0.7</v>
      </c>
      <c r="D55" s="219" t="s">
        <v>2476</v>
      </c>
      <c r="E55" s="252">
        <f>IFERROR(VLOOKUP(D55,主食定价,COLUMNS(主食成本核算!$A$3:$X$3),0),0)</f>
        <v>0.5</v>
      </c>
      <c r="F55" s="220" t="s">
        <v>2323</v>
      </c>
      <c r="G55" s="252">
        <f t="shared" si="18"/>
        <v>0.4</v>
      </c>
      <c r="H55" s="207" t="s">
        <v>2411</v>
      </c>
      <c r="I55" s="253">
        <f>IFERROR(VLOOKUP(H55,主食定价,COLUMNS(主食成本核算!$A$3:$X$3),0),0)</f>
        <v>0.4</v>
      </c>
      <c r="J55" s="207" t="s">
        <v>2477</v>
      </c>
      <c r="K55" s="253">
        <f t="shared" si="15"/>
        <v>1</v>
      </c>
      <c r="L55" s="222" t="s">
        <v>2633</v>
      </c>
      <c r="M55" s="254">
        <f t="shared" si="11"/>
        <v>4.8</v>
      </c>
      <c r="N55" s="227"/>
      <c r="O55" s="253">
        <f t="shared" si="12"/>
        <v>0</v>
      </c>
      <c r="P55" s="223" t="s">
        <v>2732</v>
      </c>
      <c r="Q55" s="255">
        <f>IFERROR(VLOOKUP(P55,主食定价,COLUMNS(主食成本核算!$A$3:$X$3),0),0)</f>
        <v>0.4</v>
      </c>
      <c r="R55" s="224" t="s">
        <v>2222</v>
      </c>
      <c r="S55" s="255">
        <f t="shared" si="16"/>
        <v>1.9000000000000001</v>
      </c>
      <c r="T55" s="225"/>
      <c r="U55" s="255">
        <f t="shared" si="13"/>
        <v>0</v>
      </c>
      <c r="V55" s="225" t="s">
        <v>2639</v>
      </c>
      <c r="W55" s="256">
        <f t="shared" si="14"/>
        <v>2.8</v>
      </c>
    </row>
    <row r="56" spans="1:23" ht="19.5" customHeight="1" thickBot="1">
      <c r="A56" s="283"/>
      <c r="B56" s="220" t="s">
        <v>2475</v>
      </c>
      <c r="C56" s="209">
        <f>IFERROR(VLOOKUP(B56,主食定价,COLUMNS(主食成本核算!$A$3:$X$3),0),0)</f>
        <v>0.6</v>
      </c>
      <c r="D56" s="219" t="s">
        <v>2415</v>
      </c>
      <c r="E56" s="252">
        <f>IFERROR(VLOOKUP(D56,主食定价,COLUMNS(主食成本核算!$A$3:$X$3),0),0)</f>
        <v>0.5</v>
      </c>
      <c r="F56" s="220" t="s">
        <v>2478</v>
      </c>
      <c r="G56" s="252">
        <f t="shared" si="18"/>
        <v>0.4</v>
      </c>
      <c r="H56" s="221" t="s">
        <v>2731</v>
      </c>
      <c r="I56" s="253">
        <f>IFERROR(VLOOKUP(H56,主食定价,COLUMNS(主食成本核算!$A$3:$X$3),0),0)</f>
        <v>0.4</v>
      </c>
      <c r="J56" s="207" t="s">
        <v>2479</v>
      </c>
      <c r="K56" s="253">
        <f t="shared" si="15"/>
        <v>1.6</v>
      </c>
      <c r="L56" s="222" t="s">
        <v>2789</v>
      </c>
      <c r="M56" s="254">
        <f t="shared" si="11"/>
        <v>2.2999999999999998</v>
      </c>
      <c r="N56" s="227"/>
      <c r="O56" s="253">
        <f t="shared" si="12"/>
        <v>0</v>
      </c>
      <c r="P56" s="223" t="s">
        <v>1596</v>
      </c>
      <c r="Q56" s="255">
        <f>IFERROR(VLOOKUP(P56,主食定价,COLUMNS(主食成本核算!$A$3:$X$3),0),0)</f>
        <v>0.4</v>
      </c>
      <c r="R56" s="224" t="s">
        <v>2223</v>
      </c>
      <c r="S56" s="255">
        <f t="shared" si="16"/>
        <v>2.6</v>
      </c>
      <c r="T56" s="225"/>
      <c r="U56" s="255">
        <f t="shared" si="13"/>
        <v>0</v>
      </c>
      <c r="V56" s="225" t="s">
        <v>2751</v>
      </c>
      <c r="W56" s="256">
        <f t="shared" si="14"/>
        <v>2.9758235294117652</v>
      </c>
    </row>
    <row r="57" spans="1:23" ht="19.5" customHeight="1" thickBot="1">
      <c r="A57" s="283"/>
      <c r="B57" s="220" t="s">
        <v>2399</v>
      </c>
      <c r="C57" s="209">
        <f>IFERROR(VLOOKUP(B57,主食定价,COLUMNS(主食成本核算!$A$3:$X$3),0),0)</f>
        <v>0.4</v>
      </c>
      <c r="D57" s="219" t="s">
        <v>2480</v>
      </c>
      <c r="E57" s="252">
        <f>IFERROR(VLOOKUP(D57,主食定价,COLUMNS(主食成本核算!$A$3:$X$3),0),0)</f>
        <v>0.5</v>
      </c>
      <c r="F57" s="220" t="s">
        <v>2213</v>
      </c>
      <c r="G57" s="252">
        <f t="shared" si="18"/>
        <v>0.30000000000000004</v>
      </c>
      <c r="H57" s="221" t="s">
        <v>2422</v>
      </c>
      <c r="I57" s="253">
        <f>IFERROR(VLOOKUP(H57,主食定价,COLUMNS(主食成本核算!$A$3:$X$3),0),0)</f>
        <v>0.35</v>
      </c>
      <c r="J57" s="222"/>
      <c r="K57" s="253">
        <f t="shared" si="15"/>
        <v>0</v>
      </c>
      <c r="L57" s="222" t="s">
        <v>2634</v>
      </c>
      <c r="M57" s="254">
        <f t="shared" si="11"/>
        <v>4.8937058823529433</v>
      </c>
      <c r="N57" s="227"/>
      <c r="O57" s="253">
        <f t="shared" si="12"/>
        <v>0</v>
      </c>
      <c r="P57" s="224" t="s">
        <v>2243</v>
      </c>
      <c r="Q57" s="255">
        <f>IFERROR(VLOOKUP(P57,主食定价,COLUMNS(主食成本核算!$A$3:$X$3),0),0)</f>
        <v>0.35</v>
      </c>
      <c r="R57" s="224" t="s">
        <v>2482</v>
      </c>
      <c r="S57" s="255">
        <f t="shared" si="16"/>
        <v>2.4</v>
      </c>
      <c r="T57" s="228"/>
      <c r="U57" s="255">
        <f t="shared" si="13"/>
        <v>0</v>
      </c>
      <c r="V57" s="225" t="s">
        <v>2188</v>
      </c>
      <c r="W57" s="256">
        <f t="shared" si="14"/>
        <v>1.6</v>
      </c>
    </row>
    <row r="58" spans="1:23" ht="19.5" customHeight="1" thickBot="1">
      <c r="A58" s="283"/>
      <c r="B58" s="226" t="s">
        <v>2401</v>
      </c>
      <c r="C58" s="209">
        <f>IFERROR(VLOOKUP(B58,主食定价,COLUMNS(主食成本核算!$A$3:$X$3),0),0)</f>
        <v>0.4</v>
      </c>
      <c r="D58" s="219" t="s">
        <v>2754</v>
      </c>
      <c r="E58" s="252">
        <f>IFERROR(VLOOKUP(D58,主食定价,COLUMNS(主食成本核算!$A$3:$X$3),0),0)</f>
        <v>1.2</v>
      </c>
      <c r="F58" s="220" t="s">
        <v>2469</v>
      </c>
      <c r="G58" s="252">
        <f t="shared" si="18"/>
        <v>0.30000000000000004</v>
      </c>
      <c r="H58" s="221" t="s">
        <v>2425</v>
      </c>
      <c r="I58" s="253">
        <f>IFERROR(VLOOKUP(H58,主食定价,COLUMNS(主食成本核算!$A$3:$X$3),0),0)</f>
        <v>0.3</v>
      </c>
      <c r="J58" s="222"/>
      <c r="K58" s="253">
        <f t="shared" si="15"/>
        <v>0</v>
      </c>
      <c r="L58" s="222" t="s">
        <v>2539</v>
      </c>
      <c r="M58" s="254">
        <f t="shared" si="11"/>
        <v>2.8</v>
      </c>
      <c r="N58" s="227"/>
      <c r="O58" s="253">
        <f t="shared" si="12"/>
        <v>0</v>
      </c>
      <c r="P58" s="224" t="s">
        <v>2241</v>
      </c>
      <c r="Q58" s="255">
        <f>IFERROR(VLOOKUP(P58,主食定价,COLUMNS(主食成本核算!$A$3:$X$3),0),0)</f>
        <v>0.3</v>
      </c>
      <c r="R58" s="228" t="s">
        <v>2216</v>
      </c>
      <c r="S58" s="255">
        <f t="shared" si="16"/>
        <v>1.7000000000000002</v>
      </c>
      <c r="T58" s="228"/>
      <c r="U58" s="255">
        <f t="shared" si="13"/>
        <v>0</v>
      </c>
      <c r="V58" s="225" t="s">
        <v>2189</v>
      </c>
      <c r="W58" s="256">
        <f t="shared" si="14"/>
        <v>1.2</v>
      </c>
    </row>
    <row r="59" spans="1:23" ht="19.5" customHeight="1" thickBot="1">
      <c r="A59" s="283"/>
      <c r="B59" s="218" t="s">
        <v>2745</v>
      </c>
      <c r="C59" s="209">
        <f>IFERROR(VLOOKUP(B59,主食定价,COLUMNS(主食成本核算!$A$3:$X$3),0),0)</f>
        <v>0.4</v>
      </c>
      <c r="D59" s="229"/>
      <c r="E59" s="252">
        <f>IFERROR(VLOOKUP(D59,主食定价,COLUMNS(主食成本核算!$A$3:$X$3),0),0)</f>
        <v>0</v>
      </c>
      <c r="F59" s="226"/>
      <c r="G59" s="252">
        <f t="shared" si="18"/>
        <v>0</v>
      </c>
      <c r="H59" s="222"/>
      <c r="I59" s="253"/>
      <c r="J59" s="222"/>
      <c r="K59" s="253">
        <f t="shared" si="15"/>
        <v>0</v>
      </c>
      <c r="L59" s="222" t="s">
        <v>2632</v>
      </c>
      <c r="M59" s="254">
        <f t="shared" ref="M59:M86" si="19">IFERROR(VLOOKUP(L59,热菜核算,24,0),0)</f>
        <v>2.1</v>
      </c>
      <c r="N59" s="227"/>
      <c r="O59" s="253">
        <f t="shared" ref="O59:O86" si="20">IFERROR(VLOOKUP(N59,小吃定价,24,0),0)</f>
        <v>0</v>
      </c>
      <c r="P59" s="224"/>
      <c r="Q59" s="255">
        <f>IFERROR(VLOOKUP(P59,主食定价,COLUMNS(主食成本核算!$A$3:$X$3),0),0)</f>
        <v>0</v>
      </c>
      <c r="R59" s="228" t="s">
        <v>265</v>
      </c>
      <c r="S59" s="255">
        <f t="shared" si="16"/>
        <v>1.8</v>
      </c>
      <c r="T59" s="228"/>
      <c r="U59" s="255">
        <f t="shared" ref="U59:U86" si="21">IFERROR(VLOOKUP(T59,小吃定价,24,0),0)</f>
        <v>0</v>
      </c>
      <c r="V59" s="225"/>
      <c r="W59" s="256">
        <f t="shared" ref="W59:W86" si="22">IFERROR(VLOOKUP(V59,热菜核算,24,0),0)</f>
        <v>0</v>
      </c>
    </row>
    <row r="60" spans="1:23" ht="19.5" customHeight="1" thickBot="1">
      <c r="A60" s="283"/>
      <c r="B60" s="218" t="s">
        <v>2414</v>
      </c>
      <c r="C60" s="209">
        <f>IFERROR(VLOOKUP(B60,主食定价,COLUMNS(主食成本核算!$A$3:$X$3),0),0)</f>
        <v>0.4</v>
      </c>
      <c r="D60" s="229"/>
      <c r="E60" s="252">
        <f>IFERROR(VLOOKUP(D60,主食定价,COLUMNS(主食成本核算!$A$3:$X$3),0),0)</f>
        <v>0</v>
      </c>
      <c r="F60" s="226"/>
      <c r="G60" s="252">
        <f t="shared" si="18"/>
        <v>0</v>
      </c>
      <c r="H60" s="222"/>
      <c r="I60" s="253">
        <f>IFERROR(VLOOKUP(H60,主食定价,COLUMNS(主食成本核算!$A$3:$X$3),0),0)</f>
        <v>0</v>
      </c>
      <c r="J60" s="222"/>
      <c r="K60" s="253">
        <f t="shared" si="15"/>
        <v>0</v>
      </c>
      <c r="L60" s="222" t="s">
        <v>2187</v>
      </c>
      <c r="M60" s="254">
        <f t="shared" si="19"/>
        <v>0.8</v>
      </c>
      <c r="N60" s="227"/>
      <c r="O60" s="253">
        <f t="shared" si="20"/>
        <v>0</v>
      </c>
      <c r="P60" s="223"/>
      <c r="Q60" s="255">
        <f>IFERROR(VLOOKUP(P60,主食定价,COLUMNS(主食成本核算!$A$3:$X$3),0),0)</f>
        <v>0</v>
      </c>
      <c r="R60" s="228"/>
      <c r="S60" s="255">
        <f t="shared" si="16"/>
        <v>0</v>
      </c>
      <c r="T60" s="228"/>
      <c r="U60" s="255">
        <f t="shared" si="21"/>
        <v>0</v>
      </c>
      <c r="V60" s="225"/>
      <c r="W60" s="256">
        <f t="shared" si="22"/>
        <v>0</v>
      </c>
    </row>
    <row r="61" spans="1:23" ht="19.5" customHeight="1" thickBot="1">
      <c r="A61" s="283"/>
      <c r="B61" s="218" t="s">
        <v>2409</v>
      </c>
      <c r="C61" s="209">
        <f>IFERROR(VLOOKUP(B61,主食定价,COLUMNS(主食成本核算!$A$3:$X$3),0),0)</f>
        <v>0.4</v>
      </c>
      <c r="D61" s="229"/>
      <c r="E61" s="252">
        <f>IFERROR(VLOOKUP(D61,主食定价,COLUMNS(主食成本核算!$A$3:$X$3),0),0)</f>
        <v>0</v>
      </c>
      <c r="F61" s="226"/>
      <c r="G61" s="252">
        <f t="shared" si="18"/>
        <v>0</v>
      </c>
      <c r="H61" s="222"/>
      <c r="I61" s="253">
        <f>IFERROR(VLOOKUP(H61,主食定价,COLUMNS(主食成本核算!$A$3:$X$3),0),0)</f>
        <v>0</v>
      </c>
      <c r="J61" s="222"/>
      <c r="K61" s="253">
        <f t="shared" si="15"/>
        <v>0</v>
      </c>
      <c r="L61" s="222"/>
      <c r="M61" s="254">
        <f t="shared" si="19"/>
        <v>0</v>
      </c>
      <c r="N61" s="227"/>
      <c r="O61" s="253">
        <f t="shared" si="20"/>
        <v>0</v>
      </c>
      <c r="P61" s="224"/>
      <c r="Q61" s="255">
        <f>IFERROR(VLOOKUP(P61,主食定价,COLUMNS(主食成本核算!$A$3:$X$3),0),0)</f>
        <v>0</v>
      </c>
      <c r="R61" s="228"/>
      <c r="S61" s="255">
        <f t="shared" si="16"/>
        <v>0</v>
      </c>
      <c r="T61" s="228"/>
      <c r="U61" s="255">
        <f t="shared" si="21"/>
        <v>0</v>
      </c>
      <c r="V61" s="225"/>
      <c r="W61" s="256">
        <f t="shared" si="22"/>
        <v>0</v>
      </c>
    </row>
    <row r="62" spans="1:23" ht="19.5" customHeight="1" thickBot="1">
      <c r="A62" s="284"/>
      <c r="B62" s="230" t="s">
        <v>2254</v>
      </c>
      <c r="C62" s="209">
        <f>IFERROR(VLOOKUP(B62,主食定价,COLUMNS(主食成本核算!$A$3:$X$3),0),0)</f>
        <v>0.4</v>
      </c>
      <c r="D62" s="232"/>
      <c r="E62" s="231">
        <f>IFERROR(VLOOKUP(D62,主食定价,COLUMNS(主食成本核算!$A$3:$X$3),0),0)</f>
        <v>0</v>
      </c>
      <c r="F62" s="233"/>
      <c r="G62" s="231">
        <f t="shared" si="18"/>
        <v>0</v>
      </c>
      <c r="H62" s="234"/>
      <c r="I62" s="257">
        <f>IFERROR(VLOOKUP(H62,主食定价,COLUMNS(主食成本核算!$A$3:$X$3),0),0)</f>
        <v>0</v>
      </c>
      <c r="J62" s="234"/>
      <c r="K62" s="257">
        <f t="shared" si="15"/>
        <v>0</v>
      </c>
      <c r="L62" s="234"/>
      <c r="M62" s="258">
        <f t="shared" si="19"/>
        <v>0</v>
      </c>
      <c r="N62" s="235"/>
      <c r="O62" s="257">
        <f t="shared" si="20"/>
        <v>0</v>
      </c>
      <c r="P62" s="236"/>
      <c r="Q62" s="259">
        <f>IFERROR(VLOOKUP(P62,主食定价,COLUMNS(主食成本核算!$A$3:$X$3),0),0)</f>
        <v>0</v>
      </c>
      <c r="R62" s="236"/>
      <c r="S62" s="259">
        <f t="shared" si="16"/>
        <v>0</v>
      </c>
      <c r="T62" s="236"/>
      <c r="U62" s="259">
        <f t="shared" si="21"/>
        <v>0</v>
      </c>
      <c r="V62" s="237"/>
      <c r="W62" s="260">
        <f t="shared" si="22"/>
        <v>0</v>
      </c>
    </row>
    <row r="63" spans="1:23" ht="19.5" customHeight="1" thickBot="1">
      <c r="A63" s="282" t="s">
        <v>2813</v>
      </c>
      <c r="B63" s="274" t="s">
        <v>2733</v>
      </c>
      <c r="C63" s="209">
        <f>IFERROR(VLOOKUP(B63,主食定价,COLUMNS(主食成本核算!$A$3:$X$3),0),0)</f>
        <v>3.3</v>
      </c>
      <c r="D63" s="210" t="s">
        <v>1474</v>
      </c>
      <c r="E63" s="209">
        <f>IFERROR(VLOOKUP(D63,主食定价,COLUMNS(主食成本核算!$A$3:$X$3),0),0)</f>
        <v>2</v>
      </c>
      <c r="F63" s="208" t="s">
        <v>2752</v>
      </c>
      <c r="G63" s="209">
        <f t="shared" si="17"/>
        <v>0.79999999999999993</v>
      </c>
      <c r="H63" s="250" t="s">
        <v>2447</v>
      </c>
      <c r="I63" s="211">
        <f>IFERROR(VLOOKUP(H63,主食定价,COLUMNS(主食成本核算!$A$3:$X$3),0),0)</f>
        <v>2.1</v>
      </c>
      <c r="J63" s="206" t="s">
        <v>2450</v>
      </c>
      <c r="K63" s="211">
        <f t="shared" ref="K63:K66" si="23">IFERROR(VLOOKUP(J63,凉菜定价,24,0),0)</f>
        <v>5.8</v>
      </c>
      <c r="L63" s="212" t="s">
        <v>2791</v>
      </c>
      <c r="M63" s="213">
        <f t="shared" si="19"/>
        <v>6.7</v>
      </c>
      <c r="N63" s="206" t="s">
        <v>2697</v>
      </c>
      <c r="O63" s="211">
        <f t="shared" si="20"/>
        <v>11.9</v>
      </c>
      <c r="P63" s="251" t="s">
        <v>2260</v>
      </c>
      <c r="Q63" s="215">
        <f>IFERROR(VLOOKUP(P63,主食定价,COLUMNS(主食成本核算!$A$3:$X$3),0),0)</f>
        <v>1.1000000000000001</v>
      </c>
      <c r="R63" s="214" t="s">
        <v>2484</v>
      </c>
      <c r="S63" s="215">
        <f t="shared" si="16"/>
        <v>7.3999999999999995</v>
      </c>
      <c r="T63" s="214" t="s">
        <v>2699</v>
      </c>
      <c r="U63" s="215">
        <f t="shared" si="21"/>
        <v>5.0999999999999996</v>
      </c>
      <c r="V63" s="216" t="s">
        <v>2646</v>
      </c>
      <c r="W63" s="217">
        <f t="shared" si="22"/>
        <v>6.8</v>
      </c>
    </row>
    <row r="64" spans="1:23" ht="19.5" customHeight="1" thickBot="1">
      <c r="A64" s="283"/>
      <c r="B64" s="220" t="s">
        <v>863</v>
      </c>
      <c r="C64" s="209">
        <f>IFERROR(VLOOKUP(B64,主食定价,COLUMNS(主食成本核算!$A$3:$X$3),0),0)</f>
        <v>1</v>
      </c>
      <c r="D64" s="219" t="s">
        <v>1472</v>
      </c>
      <c r="E64" s="252">
        <f>IFERROR(VLOOKUP(D64,主食定价,COLUMNS(主食成本核算!$A$3:$X$3),0),0)</f>
        <v>1.65</v>
      </c>
      <c r="F64" s="220" t="s">
        <v>2394</v>
      </c>
      <c r="G64" s="252">
        <f t="shared" si="17"/>
        <v>0.5</v>
      </c>
      <c r="H64" s="221" t="s">
        <v>2740</v>
      </c>
      <c r="I64" s="253">
        <f>IFERROR(VLOOKUP(H64,主食定价,COLUMNS(主食成本核算!$A$3:$X$3),0),0)</f>
        <v>1.7</v>
      </c>
      <c r="J64" s="207" t="s">
        <v>2396</v>
      </c>
      <c r="K64" s="253">
        <f t="shared" si="23"/>
        <v>4.3</v>
      </c>
      <c r="L64" s="222" t="s">
        <v>2640</v>
      </c>
      <c r="M64" s="254">
        <f t="shared" si="19"/>
        <v>6.9</v>
      </c>
      <c r="N64" s="207" t="s">
        <v>2695</v>
      </c>
      <c r="O64" s="253">
        <f t="shared" si="20"/>
        <v>10.5</v>
      </c>
      <c r="P64" s="228" t="s">
        <v>2113</v>
      </c>
      <c r="Q64" s="255">
        <f>IFERROR(VLOOKUP(P64,主食定价,COLUMNS(主食成本核算!$A$3:$X$3),0),0)</f>
        <v>0.6</v>
      </c>
      <c r="R64" s="228" t="s">
        <v>2485</v>
      </c>
      <c r="S64" s="255">
        <f t="shared" si="16"/>
        <v>7.1</v>
      </c>
      <c r="T64" s="224" t="s">
        <v>2698</v>
      </c>
      <c r="U64" s="255">
        <f t="shared" si="21"/>
        <v>3.9</v>
      </c>
      <c r="V64" s="225" t="s">
        <v>2663</v>
      </c>
      <c r="W64" s="256">
        <f t="shared" si="22"/>
        <v>6.8559117647058843</v>
      </c>
    </row>
    <row r="65" spans="1:23" ht="19.5" customHeight="1" thickBot="1">
      <c r="A65" s="283"/>
      <c r="B65" s="218" t="s">
        <v>2112</v>
      </c>
      <c r="C65" s="209">
        <f>IFERROR(VLOOKUP(B65,主食定价,COLUMNS(主食成本核算!$A$3:$X$3),0),0)</f>
        <v>0.7</v>
      </c>
      <c r="D65" s="219" t="s">
        <v>1473</v>
      </c>
      <c r="E65" s="252">
        <f>IFERROR(VLOOKUP(D65,主食定价,COLUMNS(主食成本核算!$A$3:$X$3),0),0)</f>
        <v>1.6</v>
      </c>
      <c r="F65" s="220" t="s">
        <v>2508</v>
      </c>
      <c r="G65" s="252">
        <f t="shared" si="17"/>
        <v>0.7</v>
      </c>
      <c r="H65" s="221" t="s">
        <v>2488</v>
      </c>
      <c r="I65" s="253">
        <f>IFERROR(VLOOKUP(H65,主食定价,COLUMNS(主食成本核算!$A$3:$X$3),0),0)</f>
        <v>0.4</v>
      </c>
      <c r="J65" s="207" t="s">
        <v>2489</v>
      </c>
      <c r="K65" s="253">
        <f t="shared" si="23"/>
        <v>1.6</v>
      </c>
      <c r="L65" s="222" t="s">
        <v>2642</v>
      </c>
      <c r="M65" s="254">
        <f t="shared" si="19"/>
        <v>6.7</v>
      </c>
      <c r="N65" s="207" t="s">
        <v>2696</v>
      </c>
      <c r="O65" s="253">
        <f t="shared" si="20"/>
        <v>7.8</v>
      </c>
      <c r="P65" s="228" t="s">
        <v>2236</v>
      </c>
      <c r="Q65" s="255">
        <f>IFERROR(VLOOKUP(P65,主食定价,COLUMNS(主食成本核算!$A$3:$X$3),0),0)</f>
        <v>0.5</v>
      </c>
      <c r="R65" s="224" t="s">
        <v>2490</v>
      </c>
      <c r="S65" s="255">
        <f t="shared" si="16"/>
        <v>13.1</v>
      </c>
      <c r="T65" s="224" t="s">
        <v>2701</v>
      </c>
      <c r="U65" s="255">
        <f t="shared" si="21"/>
        <v>3.5</v>
      </c>
      <c r="V65" s="225" t="s">
        <v>2193</v>
      </c>
      <c r="W65" s="256">
        <f t="shared" si="22"/>
        <v>4</v>
      </c>
    </row>
    <row r="66" spans="1:23" ht="19.5" customHeight="1" thickBot="1">
      <c r="A66" s="283"/>
      <c r="B66" s="220" t="s">
        <v>2746</v>
      </c>
      <c r="C66" s="209">
        <f>IFERROR(VLOOKUP(B66,主食定价,COLUMNS(主食成本核算!$A$3:$X$3),0),0)</f>
        <v>0.7</v>
      </c>
      <c r="D66" s="219" t="s">
        <v>2491</v>
      </c>
      <c r="E66" s="252">
        <f>IFERROR(VLOOKUP(D66,主食定价,COLUMNS(主食成本核算!$A$3:$X$3),0),0)</f>
        <v>1</v>
      </c>
      <c r="F66" s="220" t="s">
        <v>2487</v>
      </c>
      <c r="G66" s="252">
        <f t="shared" si="17"/>
        <v>0.30000000000000004</v>
      </c>
      <c r="H66" s="207" t="s">
        <v>2486</v>
      </c>
      <c r="I66" s="253">
        <f>IFERROR(VLOOKUP(H66,主食定价,COLUMNS(主食成本核算!$A$3:$X$3),0),0)</f>
        <v>0.4</v>
      </c>
      <c r="J66" s="207" t="s">
        <v>2492</v>
      </c>
      <c r="K66" s="253">
        <f t="shared" si="23"/>
        <v>2.8000000000000003</v>
      </c>
      <c r="L66" s="222" t="s">
        <v>2493</v>
      </c>
      <c r="M66" s="254">
        <f t="shared" si="19"/>
        <v>6.7</v>
      </c>
      <c r="N66" s="207" t="s">
        <v>2667</v>
      </c>
      <c r="O66" s="253">
        <f t="shared" si="20"/>
        <v>3.6</v>
      </c>
      <c r="P66" s="228" t="s">
        <v>2235</v>
      </c>
      <c r="Q66" s="255">
        <f>IFERROR(VLOOKUP(P66,主食定价,COLUMNS(主食成本核算!$A$3:$X$3),0),0)</f>
        <v>0.4</v>
      </c>
      <c r="R66" s="224" t="s">
        <v>2494</v>
      </c>
      <c r="S66" s="255">
        <f t="shared" si="16"/>
        <v>5</v>
      </c>
      <c r="T66" s="224"/>
      <c r="U66" s="255">
        <f t="shared" si="21"/>
        <v>0</v>
      </c>
      <c r="V66" s="225" t="s">
        <v>2648</v>
      </c>
      <c r="W66" s="256">
        <f t="shared" si="22"/>
        <v>3.3</v>
      </c>
    </row>
    <row r="67" spans="1:23" ht="19.5" customHeight="1" thickBot="1">
      <c r="A67" s="283"/>
      <c r="B67" s="218" t="s">
        <v>2113</v>
      </c>
      <c r="C67" s="209">
        <f>IFERROR(VLOOKUP(B67,主食定价,COLUMNS(主食成本核算!$A$3:$X$3),0),0)</f>
        <v>0.6</v>
      </c>
      <c r="D67" s="219" t="s">
        <v>2495</v>
      </c>
      <c r="E67" s="252">
        <f>IFERROR(VLOOKUP(D67,主食定价,COLUMNS(主食成本核算!$A$3:$X$3),0),0)</f>
        <v>0.7</v>
      </c>
      <c r="F67" s="220" t="s">
        <v>2225</v>
      </c>
      <c r="G67" s="252">
        <f t="shared" ref="G67:G74" si="24">IFERROR(VLOOKUP(F67,凉菜定价,24,0),0)</f>
        <v>0.4</v>
      </c>
      <c r="H67" s="221" t="s">
        <v>2496</v>
      </c>
      <c r="I67" s="253">
        <f>IFERROR(VLOOKUP(H67,主食定价,COLUMNS(主食成本核算!$A$3:$X$3),0),0)</f>
        <v>0.4</v>
      </c>
      <c r="J67" s="207" t="s">
        <v>2497</v>
      </c>
      <c r="K67" s="253">
        <f t="shared" ref="K67:K86" si="25">IFERROR(VLOOKUP(J67,凉菜定价,24,0),0)</f>
        <v>2.5</v>
      </c>
      <c r="L67" s="222" t="s">
        <v>2498</v>
      </c>
      <c r="M67" s="254">
        <f t="shared" si="19"/>
        <v>2.9</v>
      </c>
      <c r="N67" s="227"/>
      <c r="O67" s="253">
        <f t="shared" si="20"/>
        <v>0</v>
      </c>
      <c r="P67" s="223" t="s">
        <v>2233</v>
      </c>
      <c r="Q67" s="255">
        <f>IFERROR(VLOOKUP(P67,主食定价,COLUMNS(主食成本核算!$A$3:$X$3),0),0)</f>
        <v>0.4</v>
      </c>
      <c r="R67" s="224" t="s">
        <v>2211</v>
      </c>
      <c r="S67" s="255">
        <f t="shared" ref="S67:S86" si="26">IFERROR(VLOOKUP(R67,凉菜定价,24,0),0)</f>
        <v>1.4000000000000001</v>
      </c>
      <c r="T67" s="225"/>
      <c r="U67" s="255">
        <f t="shared" si="21"/>
        <v>0</v>
      </c>
      <c r="V67" s="225" t="s">
        <v>2546</v>
      </c>
      <c r="W67" s="256">
        <f t="shared" si="22"/>
        <v>3.8</v>
      </c>
    </row>
    <row r="68" spans="1:23" ht="19.5" customHeight="1" thickBot="1">
      <c r="A68" s="283"/>
      <c r="B68" s="218" t="s">
        <v>2255</v>
      </c>
      <c r="C68" s="209">
        <f>IFERROR(VLOOKUP(B68,主食定价,COLUMNS(主食成本核算!$A$3:$X$3),0),0)</f>
        <v>0.4</v>
      </c>
      <c r="D68" s="219" t="s">
        <v>2499</v>
      </c>
      <c r="E68" s="252">
        <f>IFERROR(VLOOKUP(D68,主食定价,COLUMNS(主食成本核算!$A$3:$X$3),0),0)</f>
        <v>0.5</v>
      </c>
      <c r="F68" s="220" t="s">
        <v>2213</v>
      </c>
      <c r="G68" s="252">
        <f t="shared" si="24"/>
        <v>0.30000000000000004</v>
      </c>
      <c r="H68" s="207" t="s">
        <v>2501</v>
      </c>
      <c r="I68" s="253">
        <f>IFERROR(VLOOKUP(H68,主食定价,COLUMNS(主食成本核算!$A$3:$X$3),0),0)</f>
        <v>0.4</v>
      </c>
      <c r="J68" s="207" t="s">
        <v>2502</v>
      </c>
      <c r="K68" s="253">
        <f t="shared" si="25"/>
        <v>2.1</v>
      </c>
      <c r="L68" s="222" t="s">
        <v>2503</v>
      </c>
      <c r="M68" s="254">
        <f t="shared" si="19"/>
        <v>3.3</v>
      </c>
      <c r="N68" s="227"/>
      <c r="O68" s="253">
        <f t="shared" si="20"/>
        <v>0</v>
      </c>
      <c r="P68" s="223" t="s">
        <v>2245</v>
      </c>
      <c r="Q68" s="255">
        <f>IFERROR(VLOOKUP(P68,主食定价,COLUMNS(主食成本核算!$A$3:$X$3),0),0)</f>
        <v>0.4</v>
      </c>
      <c r="R68" s="224" t="s">
        <v>2228</v>
      </c>
      <c r="S68" s="255">
        <f t="shared" si="26"/>
        <v>2.4</v>
      </c>
      <c r="T68" s="225"/>
      <c r="U68" s="255">
        <f t="shared" si="21"/>
        <v>0</v>
      </c>
      <c r="V68" s="261" t="s">
        <v>2549</v>
      </c>
      <c r="W68" s="256">
        <f t="shared" si="22"/>
        <v>2.7</v>
      </c>
    </row>
    <row r="69" spans="1:23" ht="19.5" customHeight="1" thickBot="1">
      <c r="A69" s="283"/>
      <c r="B69" s="218" t="s">
        <v>2233</v>
      </c>
      <c r="C69" s="209">
        <f>IFERROR(VLOOKUP(B69,主食定价,COLUMNS(主食成本核算!$A$3:$X$3),0),0)</f>
        <v>0.4</v>
      </c>
      <c r="D69" s="219" t="s">
        <v>2504</v>
      </c>
      <c r="E69" s="252">
        <f>IFERROR(VLOOKUP(D69,主食定价,COLUMNS(主食成本核算!$A$3:$X$3),0),0)</f>
        <v>0.5</v>
      </c>
      <c r="F69" s="220" t="s">
        <v>2207</v>
      </c>
      <c r="G69" s="252">
        <f t="shared" si="24"/>
        <v>0.30000000000000004</v>
      </c>
      <c r="H69" s="221" t="s">
        <v>2505</v>
      </c>
      <c r="I69" s="253">
        <f>IFERROR(VLOOKUP(H69,主食定价,COLUMNS(主食成本核算!$A$3:$X$3),0),0)</f>
        <v>0.35</v>
      </c>
      <c r="J69" s="222"/>
      <c r="K69" s="253">
        <f t="shared" si="25"/>
        <v>0</v>
      </c>
      <c r="L69" s="222" t="s">
        <v>2506</v>
      </c>
      <c r="M69" s="254">
        <f t="shared" si="19"/>
        <v>1.8</v>
      </c>
      <c r="N69" s="227"/>
      <c r="O69" s="253">
        <f t="shared" si="20"/>
        <v>0</v>
      </c>
      <c r="P69" s="224" t="s">
        <v>2243</v>
      </c>
      <c r="Q69" s="255">
        <f>IFERROR(VLOOKUP(P69,主食定价,COLUMNS(主食成本核算!$A$3:$X$3),0),0)</f>
        <v>0.35</v>
      </c>
      <c r="R69" s="224" t="s">
        <v>2507</v>
      </c>
      <c r="S69" s="255">
        <f t="shared" si="26"/>
        <v>2</v>
      </c>
      <c r="T69" s="228"/>
      <c r="U69" s="255">
        <f t="shared" si="21"/>
        <v>0</v>
      </c>
      <c r="V69" s="225" t="s">
        <v>2194</v>
      </c>
      <c r="W69" s="256">
        <f t="shared" si="22"/>
        <v>2.2999999999999998</v>
      </c>
    </row>
    <row r="70" spans="1:23" ht="19.5" customHeight="1" thickBot="1">
      <c r="A70" s="283"/>
      <c r="B70" s="220" t="s">
        <v>2235</v>
      </c>
      <c r="C70" s="209">
        <f>IFERROR(VLOOKUP(B70,主食定价,COLUMNS(主食成本核算!$A$3:$X$3),0),0)</f>
        <v>0.4</v>
      </c>
      <c r="D70" s="219" t="s">
        <v>2754</v>
      </c>
      <c r="E70" s="252">
        <f>IFERROR(VLOOKUP(D70,主食定价,COLUMNS(主食成本核算!$A$3:$X$3),0),0)</f>
        <v>1.2</v>
      </c>
      <c r="F70" s="220" t="s">
        <v>2500</v>
      </c>
      <c r="G70" s="252">
        <f t="shared" si="24"/>
        <v>0.2</v>
      </c>
      <c r="H70" s="221" t="s">
        <v>2509</v>
      </c>
      <c r="I70" s="253">
        <f>IFERROR(VLOOKUP(H70,主食定价,COLUMNS(主食成本核算!$A$3:$X$3),0),0)</f>
        <v>0.3</v>
      </c>
      <c r="J70" s="222"/>
      <c r="K70" s="253">
        <f t="shared" si="25"/>
        <v>0</v>
      </c>
      <c r="L70" s="222" t="s">
        <v>2510</v>
      </c>
      <c r="M70" s="254">
        <f t="shared" si="19"/>
        <v>2.4</v>
      </c>
      <c r="N70" s="227"/>
      <c r="O70" s="253">
        <f t="shared" si="20"/>
        <v>0</v>
      </c>
      <c r="P70" s="224" t="s">
        <v>2241</v>
      </c>
      <c r="Q70" s="255">
        <f>IFERROR(VLOOKUP(P70,主食定价,COLUMNS(主食成本核算!$A$3:$X$3),0),0)</f>
        <v>0.3</v>
      </c>
      <c r="R70" s="228" t="s">
        <v>2226</v>
      </c>
      <c r="S70" s="255">
        <f t="shared" si="26"/>
        <v>2.2000000000000002</v>
      </c>
      <c r="T70" s="228"/>
      <c r="U70" s="255">
        <f t="shared" si="21"/>
        <v>0</v>
      </c>
      <c r="V70" s="225" t="s">
        <v>2192</v>
      </c>
      <c r="W70" s="256">
        <f t="shared" si="22"/>
        <v>1.7</v>
      </c>
    </row>
    <row r="71" spans="1:23" ht="19.5" customHeight="1" thickBot="1">
      <c r="A71" s="283"/>
      <c r="B71" s="226" t="s">
        <v>862</v>
      </c>
      <c r="C71" s="209">
        <f>IFERROR(VLOOKUP(B71,主食定价,COLUMNS(主食成本核算!$A$3:$X$3),0),0)</f>
        <v>0.4</v>
      </c>
      <c r="D71" s="229"/>
      <c r="E71" s="252">
        <f>IFERROR(VLOOKUP(D71,主食定价,COLUMNS(主食成本核算!$A$3:$X$3),0),0)</f>
        <v>0</v>
      </c>
      <c r="F71" s="226"/>
      <c r="G71" s="252">
        <f t="shared" si="24"/>
        <v>0</v>
      </c>
      <c r="H71" s="222"/>
      <c r="I71" s="253"/>
      <c r="J71" s="222"/>
      <c r="K71" s="253">
        <f t="shared" si="25"/>
        <v>0</v>
      </c>
      <c r="L71" s="222" t="s">
        <v>2190</v>
      </c>
      <c r="M71" s="254">
        <f t="shared" si="19"/>
        <v>2.7</v>
      </c>
      <c r="N71" s="227"/>
      <c r="O71" s="253">
        <f t="shared" si="20"/>
        <v>0</v>
      </c>
      <c r="P71" s="224"/>
      <c r="Q71" s="255">
        <f>IFERROR(VLOOKUP(P71,主食定价,COLUMNS(主食成本核算!$A$3:$X$3),0),0)</f>
        <v>0</v>
      </c>
      <c r="R71" s="228" t="s">
        <v>2227</v>
      </c>
      <c r="S71" s="255">
        <f t="shared" si="26"/>
        <v>1.8</v>
      </c>
      <c r="T71" s="228"/>
      <c r="U71" s="255">
        <f t="shared" si="21"/>
        <v>0</v>
      </c>
      <c r="V71" s="225"/>
      <c r="W71" s="256">
        <f t="shared" si="22"/>
        <v>0</v>
      </c>
    </row>
    <row r="72" spans="1:23" ht="19.5" customHeight="1" thickBot="1">
      <c r="A72" s="283"/>
      <c r="B72" s="218" t="s">
        <v>2115</v>
      </c>
      <c r="C72" s="209">
        <f>IFERROR(VLOOKUP(B72,主食定价,COLUMNS(主食成本核算!$A$3:$X$3),0),0)</f>
        <v>0.4</v>
      </c>
      <c r="D72" s="229"/>
      <c r="E72" s="252">
        <f>IFERROR(VLOOKUP(D72,主食定价,COLUMNS(主食成本核算!$A$3:$X$3),0),0)</f>
        <v>0</v>
      </c>
      <c r="F72" s="226"/>
      <c r="G72" s="252">
        <f t="shared" si="24"/>
        <v>0</v>
      </c>
      <c r="H72" s="222"/>
      <c r="I72" s="253">
        <f>IFERROR(VLOOKUP(H72,主食定价,COLUMNS(主食成本核算!$A$3:$X$3),0),0)</f>
        <v>0</v>
      </c>
      <c r="J72" s="222"/>
      <c r="K72" s="253">
        <f t="shared" si="25"/>
        <v>0</v>
      </c>
      <c r="L72" s="222" t="s">
        <v>2191</v>
      </c>
      <c r="M72" s="254">
        <f t="shared" si="19"/>
        <v>1.6</v>
      </c>
      <c r="N72" s="227"/>
      <c r="O72" s="253">
        <f t="shared" si="20"/>
        <v>0</v>
      </c>
      <c r="P72" s="223"/>
      <c r="Q72" s="255">
        <f>IFERROR(VLOOKUP(P72,主食定价,COLUMNS(主食成本核算!$A$3:$X$3),0),0)</f>
        <v>0</v>
      </c>
      <c r="R72" s="228" t="s">
        <v>2215</v>
      </c>
      <c r="S72" s="255">
        <f t="shared" si="26"/>
        <v>0.9</v>
      </c>
      <c r="T72" s="228"/>
      <c r="U72" s="255">
        <f t="shared" si="21"/>
        <v>0</v>
      </c>
      <c r="V72" s="225"/>
      <c r="W72" s="256">
        <f t="shared" si="22"/>
        <v>0</v>
      </c>
    </row>
    <row r="73" spans="1:23" ht="19.5" customHeight="1" thickBot="1">
      <c r="A73" s="283"/>
      <c r="B73" s="218" t="s">
        <v>2762</v>
      </c>
      <c r="C73" s="209">
        <f>IFERROR(VLOOKUP(B73,主食定价,COLUMNS(主食成本核算!$A$3:$X$3),0),0)</f>
        <v>0.4</v>
      </c>
      <c r="D73" s="229"/>
      <c r="E73" s="252">
        <f>IFERROR(VLOOKUP(D73,主食定价,COLUMNS(主食成本核算!$A$3:$X$3),0),0)</f>
        <v>0</v>
      </c>
      <c r="F73" s="226"/>
      <c r="G73" s="252">
        <f t="shared" si="24"/>
        <v>0</v>
      </c>
      <c r="H73" s="222"/>
      <c r="I73" s="253">
        <f>IFERROR(VLOOKUP(H73,主食定价,COLUMNS(主食成本核算!$A$3:$X$3),0),0)</f>
        <v>0</v>
      </c>
      <c r="J73" s="222"/>
      <c r="K73" s="253">
        <f t="shared" si="25"/>
        <v>0</v>
      </c>
      <c r="L73" s="222"/>
      <c r="M73" s="254">
        <f t="shared" si="19"/>
        <v>0</v>
      </c>
      <c r="N73" s="227"/>
      <c r="O73" s="253">
        <f t="shared" si="20"/>
        <v>0</v>
      </c>
      <c r="P73" s="224"/>
      <c r="Q73" s="255">
        <f>IFERROR(VLOOKUP(P73,主食定价,COLUMNS(主食成本核算!$A$3:$X$3),0),0)</f>
        <v>0</v>
      </c>
      <c r="R73" s="228"/>
      <c r="S73" s="255">
        <f t="shared" si="26"/>
        <v>0</v>
      </c>
      <c r="T73" s="228"/>
      <c r="U73" s="255">
        <f t="shared" si="21"/>
        <v>0</v>
      </c>
      <c r="V73" s="225"/>
      <c r="W73" s="256">
        <f t="shared" si="22"/>
        <v>0</v>
      </c>
    </row>
    <row r="74" spans="1:23" ht="19.5" customHeight="1" thickBot="1">
      <c r="A74" s="284"/>
      <c r="B74" s="230" t="s">
        <v>2765</v>
      </c>
      <c r="C74" s="209">
        <f>IFERROR(VLOOKUP(B74,主食定价,COLUMNS(主食成本核算!$A$3:$X$3),0),0)</f>
        <v>2.7</v>
      </c>
      <c r="D74" s="232"/>
      <c r="E74" s="231">
        <f>IFERROR(VLOOKUP(D74,主食定价,COLUMNS(主食成本核算!$A$3:$X$3),0),0)</f>
        <v>0</v>
      </c>
      <c r="F74" s="233"/>
      <c r="G74" s="231">
        <f t="shared" si="24"/>
        <v>0</v>
      </c>
      <c r="H74" s="234"/>
      <c r="I74" s="257">
        <f>IFERROR(VLOOKUP(H74,主食定价,COLUMNS(主食成本核算!$A$3:$X$3),0),0)</f>
        <v>0</v>
      </c>
      <c r="J74" s="234"/>
      <c r="K74" s="257">
        <f t="shared" si="25"/>
        <v>0</v>
      </c>
      <c r="L74" s="234"/>
      <c r="M74" s="254">
        <f t="shared" si="19"/>
        <v>0</v>
      </c>
      <c r="N74" s="235"/>
      <c r="O74" s="257">
        <f t="shared" si="20"/>
        <v>0</v>
      </c>
      <c r="P74" s="236"/>
      <c r="Q74" s="259">
        <f>IFERROR(VLOOKUP(P74,主食定价,COLUMNS(主食成本核算!$A$3:$X$3),0),0)</f>
        <v>0</v>
      </c>
      <c r="R74" s="236"/>
      <c r="S74" s="259">
        <f t="shared" si="26"/>
        <v>0</v>
      </c>
      <c r="T74" s="236"/>
      <c r="U74" s="259">
        <f t="shared" si="21"/>
        <v>0</v>
      </c>
      <c r="V74" s="237"/>
      <c r="W74" s="260">
        <f t="shared" si="22"/>
        <v>0</v>
      </c>
    </row>
    <row r="75" spans="1:23" ht="19.5" customHeight="1" thickBot="1">
      <c r="A75" s="282" t="s">
        <v>2814</v>
      </c>
      <c r="B75" s="274" t="s">
        <v>859</v>
      </c>
      <c r="C75" s="209">
        <f>IFERROR(VLOOKUP(B75,主食定价,COLUMNS(主食成本核算!$A$3:$X$3),0),0)</f>
        <v>3.3</v>
      </c>
      <c r="D75" s="210" t="s">
        <v>1474</v>
      </c>
      <c r="E75" s="209">
        <f>IFERROR(VLOOKUP(D75,主食定价,COLUMNS(主食成本核算!$A$3:$X$3),0),0)</f>
        <v>2</v>
      </c>
      <c r="F75" s="208" t="s">
        <v>2515</v>
      </c>
      <c r="G75" s="209">
        <f t="shared" ref="G75:G86" si="27">IFERROR(VLOOKUP(F75,凉菜定价,24,0),0)</f>
        <v>0.5</v>
      </c>
      <c r="H75" s="250" t="s">
        <v>2511</v>
      </c>
      <c r="I75" s="211">
        <f>IFERROR(VLOOKUP(H75,主食定价,COLUMNS(主食成本核算!$A$3:$X$3),0),0)</f>
        <v>2.1</v>
      </c>
      <c r="J75" s="206" t="s">
        <v>2512</v>
      </c>
      <c r="K75" s="211">
        <f t="shared" si="25"/>
        <v>5.8</v>
      </c>
      <c r="L75" s="212" t="s">
        <v>2794</v>
      </c>
      <c r="M75" s="254">
        <f t="shared" si="19"/>
        <v>1.5</v>
      </c>
      <c r="N75" s="206" t="s">
        <v>2711</v>
      </c>
      <c r="O75" s="211">
        <f t="shared" si="20"/>
        <v>9.5</v>
      </c>
      <c r="P75" s="251" t="s">
        <v>869</v>
      </c>
      <c r="Q75" s="215">
        <f>IFERROR(VLOOKUP(P75,主食定价,COLUMNS(主食成本核算!$A$3:$X$3),0),0)</f>
        <v>2.1</v>
      </c>
      <c r="R75" s="214" t="s">
        <v>2513</v>
      </c>
      <c r="S75" s="215">
        <f t="shared" si="26"/>
        <v>7.3999999999999995</v>
      </c>
      <c r="T75" s="206" t="s">
        <v>2716</v>
      </c>
      <c r="U75" s="215">
        <f t="shared" si="21"/>
        <v>5.3999999999999995</v>
      </c>
      <c r="V75" s="216" t="s">
        <v>2662</v>
      </c>
      <c r="W75" s="217">
        <f t="shared" si="22"/>
        <v>6.9</v>
      </c>
    </row>
    <row r="76" spans="1:23" ht="19.5" customHeight="1" thickBot="1">
      <c r="A76" s="283"/>
      <c r="B76" s="220" t="s">
        <v>2393</v>
      </c>
      <c r="C76" s="209">
        <f>IFERROR(VLOOKUP(B76,主食定价,COLUMNS(主食成本核算!$A$3:$X$3),0),0)</f>
        <v>2.5</v>
      </c>
      <c r="D76" s="219" t="s">
        <v>1472</v>
      </c>
      <c r="E76" s="252">
        <f>IFERROR(VLOOKUP(D76,主食定价,COLUMNS(主食成本核算!$A$3:$X$3),0),0)</f>
        <v>1.65</v>
      </c>
      <c r="F76" s="220" t="s">
        <v>2518</v>
      </c>
      <c r="G76" s="209">
        <f t="shared" si="27"/>
        <v>0.7</v>
      </c>
      <c r="H76" s="207" t="s">
        <v>2778</v>
      </c>
      <c r="I76" s="253">
        <f>IFERROR(VLOOKUP(H76,主食定价,COLUMNS(主食成本核算!$A$3:$X$3),0),0)</f>
        <v>0.4</v>
      </c>
      <c r="J76" s="207" t="s">
        <v>2517</v>
      </c>
      <c r="K76" s="253">
        <f t="shared" si="25"/>
        <v>4.5</v>
      </c>
      <c r="L76" s="222" t="s">
        <v>2649</v>
      </c>
      <c r="M76" s="254">
        <f t="shared" si="19"/>
        <v>6.7</v>
      </c>
      <c r="N76" s="207" t="s">
        <v>2705</v>
      </c>
      <c r="O76" s="253">
        <f t="shared" si="20"/>
        <v>7.5</v>
      </c>
      <c r="P76" s="228" t="s">
        <v>2238</v>
      </c>
      <c r="Q76" s="255">
        <f>IFERROR(VLOOKUP(P76,主食定价,COLUMNS(主食成本核算!$A$3:$X$3),0),0)</f>
        <v>0.8</v>
      </c>
      <c r="R76" s="228" t="s">
        <v>2494</v>
      </c>
      <c r="S76" s="255">
        <f t="shared" si="26"/>
        <v>5</v>
      </c>
      <c r="T76" s="224" t="s">
        <v>2715</v>
      </c>
      <c r="U76" s="255">
        <f t="shared" si="21"/>
        <v>5</v>
      </c>
      <c r="V76" s="225" t="s">
        <v>2659</v>
      </c>
      <c r="W76" s="256">
        <f t="shared" si="22"/>
        <v>6.7620882352941187</v>
      </c>
    </row>
    <row r="77" spans="1:23" ht="19.5" customHeight="1" thickBot="1">
      <c r="A77" s="283"/>
      <c r="B77" s="220" t="s">
        <v>2523</v>
      </c>
      <c r="C77" s="209">
        <f>IFERROR(VLOOKUP(B77,主食定价,COLUMNS(主食成本核算!$A$3:$X$3),0),0)</f>
        <v>0.9</v>
      </c>
      <c r="D77" s="219" t="s">
        <v>1473</v>
      </c>
      <c r="E77" s="252">
        <f>IFERROR(VLOOKUP(D77,主食定价,COLUMNS(主食成本核算!$A$3:$X$3),0),0)</f>
        <v>1.6</v>
      </c>
      <c r="F77" s="220" t="s">
        <v>2535</v>
      </c>
      <c r="G77" s="209">
        <f t="shared" si="27"/>
        <v>0.4</v>
      </c>
      <c r="H77" s="221" t="s">
        <v>2516</v>
      </c>
      <c r="I77" s="253">
        <f>IFERROR(VLOOKUP(H77,主食定价,COLUMNS(主食成本核算!$A$3:$X$3),0),0)</f>
        <v>0.8</v>
      </c>
      <c r="J77" s="207" t="s">
        <v>2489</v>
      </c>
      <c r="K77" s="253">
        <f t="shared" si="25"/>
        <v>1.6</v>
      </c>
      <c r="L77" s="222" t="s">
        <v>2656</v>
      </c>
      <c r="M77" s="254">
        <f t="shared" si="19"/>
        <v>6.7</v>
      </c>
      <c r="N77" s="207" t="s">
        <v>2707</v>
      </c>
      <c r="O77" s="253">
        <f t="shared" si="20"/>
        <v>4.3</v>
      </c>
      <c r="P77" s="228" t="s">
        <v>2236</v>
      </c>
      <c r="Q77" s="255">
        <f>IFERROR(VLOOKUP(P77,主食定价,COLUMNS(主食成本核算!$A$3:$X$3),0),0)</f>
        <v>0.5</v>
      </c>
      <c r="R77" s="224" t="s">
        <v>2520</v>
      </c>
      <c r="S77" s="255">
        <f t="shared" si="26"/>
        <v>3.3000000000000003</v>
      </c>
      <c r="T77" s="224" t="s">
        <v>2717</v>
      </c>
      <c r="U77" s="255">
        <f t="shared" si="21"/>
        <v>3.7</v>
      </c>
      <c r="V77" s="225" t="s">
        <v>2196</v>
      </c>
      <c r="W77" s="256">
        <f t="shared" si="22"/>
        <v>4.6574000000000018</v>
      </c>
    </row>
    <row r="78" spans="1:23" ht="19.5" customHeight="1" thickBot="1">
      <c r="A78" s="283"/>
      <c r="B78" s="218" t="s">
        <v>2238</v>
      </c>
      <c r="C78" s="209">
        <f>IFERROR(VLOOKUP(B78,主食定价,COLUMNS(主食成本核算!$A$3:$X$3),0),0)</f>
        <v>0.8</v>
      </c>
      <c r="D78" s="219" t="s">
        <v>2491</v>
      </c>
      <c r="E78" s="252">
        <f>IFERROR(VLOOKUP(D78,主食定价,COLUMNS(主食成本核算!$A$3:$X$3),0),0)</f>
        <v>1</v>
      </c>
      <c r="F78" s="220" t="s">
        <v>2527</v>
      </c>
      <c r="G78" s="209">
        <f t="shared" si="27"/>
        <v>0.30000000000000004</v>
      </c>
      <c r="H78" s="221" t="s">
        <v>2519</v>
      </c>
      <c r="I78" s="253">
        <f>IFERROR(VLOOKUP(H78,主食定价,COLUMNS(主食成本核算!$A$3:$X$3),0),0)</f>
        <v>0.5</v>
      </c>
      <c r="J78" s="207" t="s">
        <v>2497</v>
      </c>
      <c r="K78" s="253">
        <f t="shared" si="25"/>
        <v>2.5</v>
      </c>
      <c r="L78" s="222" t="s">
        <v>2658</v>
      </c>
      <c r="M78" s="254">
        <f t="shared" si="19"/>
        <v>5.9</v>
      </c>
      <c r="N78" s="207" t="s">
        <v>2232</v>
      </c>
      <c r="O78" s="253">
        <f t="shared" si="20"/>
        <v>5.8</v>
      </c>
      <c r="P78" s="228" t="s">
        <v>2235</v>
      </c>
      <c r="Q78" s="255">
        <f>IFERROR(VLOOKUP(P78,主食定价,COLUMNS(主食成本核算!$A$3:$X$3),0),0)</f>
        <v>0.4</v>
      </c>
      <c r="R78" s="224" t="s">
        <v>2522</v>
      </c>
      <c r="S78" s="255">
        <f t="shared" si="26"/>
        <v>3.3000000000000003</v>
      </c>
      <c r="T78" s="224"/>
      <c r="U78" s="255">
        <f t="shared" si="21"/>
        <v>0</v>
      </c>
      <c r="V78" s="225" t="s">
        <v>2197</v>
      </c>
      <c r="W78" s="256">
        <f t="shared" si="22"/>
        <v>4.5999999999999996</v>
      </c>
    </row>
    <row r="79" spans="1:23" ht="19.5" customHeight="1" thickBot="1">
      <c r="A79" s="283"/>
      <c r="B79" s="218" t="s">
        <v>2514</v>
      </c>
      <c r="C79" s="209">
        <f>IFERROR(VLOOKUP(B79,主食定价,COLUMNS(主食成本核算!$A$3:$X$3),0),0)</f>
        <v>0.7</v>
      </c>
      <c r="D79" s="219" t="s">
        <v>2524</v>
      </c>
      <c r="E79" s="252">
        <f>IFERROR(VLOOKUP(D79,主食定价,COLUMNS(主食成本核算!$A$3:$X$3),0),0)</f>
        <v>0.7</v>
      </c>
      <c r="F79" s="220" t="s">
        <v>2532</v>
      </c>
      <c r="G79" s="209">
        <f t="shared" si="27"/>
        <v>0.5</v>
      </c>
      <c r="H79" s="207" t="s">
        <v>2488</v>
      </c>
      <c r="I79" s="253">
        <f>IFERROR(VLOOKUP(H79,主食定价,COLUMNS(主食成本核算!$A$3:$X$3),0),0)</f>
        <v>0.4</v>
      </c>
      <c r="J79" s="207" t="s">
        <v>2525</v>
      </c>
      <c r="K79" s="253">
        <f t="shared" si="25"/>
        <v>2.2000000000000002</v>
      </c>
      <c r="L79" s="222" t="s">
        <v>2657</v>
      </c>
      <c r="M79" s="254">
        <f t="shared" si="19"/>
        <v>6.1</v>
      </c>
      <c r="N79" s="227"/>
      <c r="O79" s="253">
        <f t="shared" si="20"/>
        <v>0</v>
      </c>
      <c r="P79" s="223" t="s">
        <v>2233</v>
      </c>
      <c r="Q79" s="255">
        <f>IFERROR(VLOOKUP(P79,主食定价,COLUMNS(主食成本核算!$A$3:$X$3),0),0)</f>
        <v>0.4</v>
      </c>
      <c r="R79" s="224" t="s">
        <v>2217</v>
      </c>
      <c r="S79" s="255">
        <f t="shared" si="26"/>
        <v>2.8000000000000003</v>
      </c>
      <c r="T79" s="225"/>
      <c r="U79" s="255">
        <f t="shared" si="21"/>
        <v>0</v>
      </c>
      <c r="V79" s="225" t="s">
        <v>2661</v>
      </c>
      <c r="W79" s="256">
        <f t="shared" si="22"/>
        <v>4.8587000000000016</v>
      </c>
    </row>
    <row r="80" spans="1:23" ht="19.5" customHeight="1" thickBot="1">
      <c r="A80" s="283"/>
      <c r="B80" s="218" t="s">
        <v>2775</v>
      </c>
      <c r="C80" s="209">
        <f>IFERROR(VLOOKUP(B80,主食定价,COLUMNS(主食成本核算!$A$3:$X$3),0),0)</f>
        <v>0.6</v>
      </c>
      <c r="D80" s="219" t="s">
        <v>2504</v>
      </c>
      <c r="E80" s="252">
        <f>IFERROR(VLOOKUP(D80,主食定价,COLUMNS(主食成本核算!$A$3:$X$3),0),0)</f>
        <v>0.5</v>
      </c>
      <c r="F80" s="220" t="s">
        <v>2797</v>
      </c>
      <c r="G80" s="209">
        <f t="shared" si="27"/>
        <v>0.4</v>
      </c>
      <c r="H80" s="221" t="s">
        <v>2486</v>
      </c>
      <c r="I80" s="253">
        <f>IFERROR(VLOOKUP(H80,主食定价,COLUMNS(主食成本核算!$A$3:$X$3),0),0)</f>
        <v>0.4</v>
      </c>
      <c r="J80" s="207" t="s">
        <v>2528</v>
      </c>
      <c r="K80" s="253">
        <f t="shared" si="25"/>
        <v>2.3000000000000003</v>
      </c>
      <c r="L80" s="222" t="s">
        <v>2521</v>
      </c>
      <c r="M80" s="254">
        <f t="shared" si="19"/>
        <v>5.6</v>
      </c>
      <c r="N80" s="227"/>
      <c r="O80" s="253">
        <f t="shared" si="20"/>
        <v>0</v>
      </c>
      <c r="P80" s="223" t="s">
        <v>2259</v>
      </c>
      <c r="Q80" s="255">
        <f>IFERROR(VLOOKUP(P80,主食定价,COLUMNS(主食成本核算!$A$3:$X$3),0),0)</f>
        <v>0.4</v>
      </c>
      <c r="R80" s="224" t="s">
        <v>2209</v>
      </c>
      <c r="S80" s="255">
        <f t="shared" si="26"/>
        <v>2.6</v>
      </c>
      <c r="T80" s="225"/>
      <c r="U80" s="255">
        <f t="shared" si="21"/>
        <v>0</v>
      </c>
      <c r="V80" s="225" t="s">
        <v>2195</v>
      </c>
      <c r="W80" s="256">
        <f t="shared" si="22"/>
        <v>3.6</v>
      </c>
    </row>
    <row r="81" spans="1:23" ht="19.5" customHeight="1" thickBot="1">
      <c r="A81" s="283"/>
      <c r="B81" s="218" t="s">
        <v>2526</v>
      </c>
      <c r="C81" s="209">
        <f>IFERROR(VLOOKUP(B81,主食定价,COLUMNS(主食成本核算!$A$3:$X$3),0),0)</f>
        <v>0.5</v>
      </c>
      <c r="D81" s="219" t="s">
        <v>2531</v>
      </c>
      <c r="E81" s="252">
        <f>IFERROR(VLOOKUP(D81,主食定价,COLUMNS(主食成本核算!$A$3:$X$3),0),0)</f>
        <v>0.4</v>
      </c>
      <c r="F81" s="220" t="s">
        <v>118</v>
      </c>
      <c r="G81" s="209">
        <f t="shared" si="27"/>
        <v>0.30000000000000004</v>
      </c>
      <c r="H81" s="221" t="s">
        <v>2505</v>
      </c>
      <c r="I81" s="253">
        <f>IFERROR(VLOOKUP(H81,主食定价,COLUMNS(主食成本核算!$A$3:$X$3),0),0)</f>
        <v>0.35</v>
      </c>
      <c r="J81" s="222"/>
      <c r="K81" s="253">
        <f t="shared" si="25"/>
        <v>0</v>
      </c>
      <c r="L81" s="222" t="s">
        <v>2529</v>
      </c>
      <c r="M81" s="254">
        <f t="shared" si="19"/>
        <v>2.9758235294117652</v>
      </c>
      <c r="N81" s="227"/>
      <c r="O81" s="253">
        <f t="shared" si="20"/>
        <v>0</v>
      </c>
      <c r="P81" s="224" t="s">
        <v>2243</v>
      </c>
      <c r="Q81" s="255">
        <f>IFERROR(VLOOKUP(P81,主食定价,COLUMNS(主食成本核算!$A$3:$X$3),0),0)</f>
        <v>0.35</v>
      </c>
      <c r="R81" s="224" t="s">
        <v>2534</v>
      </c>
      <c r="S81" s="255">
        <f t="shared" si="26"/>
        <v>2.4</v>
      </c>
      <c r="T81" s="228"/>
      <c r="U81" s="255">
        <f t="shared" si="21"/>
        <v>0</v>
      </c>
      <c r="V81" s="225" t="s">
        <v>2660</v>
      </c>
      <c r="W81" s="256">
        <f t="shared" si="22"/>
        <v>1.5</v>
      </c>
    </row>
    <row r="82" spans="1:23" ht="19.5" customHeight="1" thickBot="1">
      <c r="A82" s="283"/>
      <c r="B82" s="218" t="s">
        <v>2236</v>
      </c>
      <c r="C82" s="209">
        <f>IFERROR(VLOOKUP(B82,主食定价,COLUMNS(主食成本核算!$A$3:$X$3),0),0)</f>
        <v>0.5</v>
      </c>
      <c r="D82" s="219" t="s">
        <v>2754</v>
      </c>
      <c r="E82" s="252">
        <f>IFERROR(VLOOKUP(D82,主食定价,COLUMNS(主食成本核算!$A$3:$X$3),0),0)</f>
        <v>1.2</v>
      </c>
      <c r="F82" s="220" t="s">
        <v>1324</v>
      </c>
      <c r="G82" s="252">
        <f t="shared" si="27"/>
        <v>0.30000000000000004</v>
      </c>
      <c r="H82" s="221" t="s">
        <v>2509</v>
      </c>
      <c r="I82" s="253">
        <f>IFERROR(VLOOKUP(H82,主食定价,COLUMNS(主食成本核算!$A$3:$X$3),0),0)</f>
        <v>0.3</v>
      </c>
      <c r="J82" s="222"/>
      <c r="K82" s="253">
        <f t="shared" si="25"/>
        <v>0</v>
      </c>
      <c r="L82" s="222" t="s">
        <v>2533</v>
      </c>
      <c r="M82" s="254">
        <f t="shared" si="19"/>
        <v>2.4</v>
      </c>
      <c r="N82" s="227"/>
      <c r="O82" s="253">
        <f t="shared" si="20"/>
        <v>0</v>
      </c>
      <c r="P82" s="224" t="s">
        <v>2241</v>
      </c>
      <c r="Q82" s="255">
        <f>IFERROR(VLOOKUP(P82,主食定价,COLUMNS(主食成本核算!$A$3:$X$3),0),0)</f>
        <v>0.3</v>
      </c>
      <c r="R82" s="228" t="s">
        <v>265</v>
      </c>
      <c r="S82" s="255">
        <f t="shared" si="26"/>
        <v>1.8</v>
      </c>
      <c r="T82" s="228"/>
      <c r="U82" s="255">
        <f t="shared" si="21"/>
        <v>0</v>
      </c>
      <c r="V82" s="225" t="s">
        <v>2198</v>
      </c>
      <c r="W82" s="256">
        <f t="shared" si="22"/>
        <v>1.4</v>
      </c>
    </row>
    <row r="83" spans="1:23" ht="19.5" customHeight="1" thickBot="1">
      <c r="A83" s="283"/>
      <c r="B83" s="220" t="s">
        <v>2486</v>
      </c>
      <c r="C83" s="209">
        <f>IFERROR(VLOOKUP(B83,主食定价,COLUMNS(主食成本核算!$A$3:$X$3),0),0)</f>
        <v>0.4</v>
      </c>
      <c r="D83" s="229"/>
      <c r="E83" s="252">
        <f>IFERROR(VLOOKUP(D83,主食定价,COLUMNS(主食成本核算!$A$3:$X$3),0),0)</f>
        <v>0</v>
      </c>
      <c r="F83" s="226"/>
      <c r="G83" s="252">
        <f t="shared" si="27"/>
        <v>0</v>
      </c>
      <c r="H83" s="222"/>
      <c r="I83" s="253">
        <f>IFERROR(VLOOKUP(H83,主食定价,COLUMNS(主食成本核算!$A$3:$X$3),0),0)</f>
        <v>0</v>
      </c>
      <c r="J83" s="222"/>
      <c r="K83" s="253">
        <f t="shared" si="25"/>
        <v>0</v>
      </c>
      <c r="L83" s="222" t="s">
        <v>2650</v>
      </c>
      <c r="M83" s="254">
        <f t="shared" si="19"/>
        <v>1.7</v>
      </c>
      <c r="N83" s="227"/>
      <c r="O83" s="253">
        <f t="shared" si="20"/>
        <v>0</v>
      </c>
      <c r="P83" s="224"/>
      <c r="Q83" s="255">
        <f>IFERROR(VLOOKUP(P83,主食定价,COLUMNS(主食成本核算!$A$3:$X$3),0),0)</f>
        <v>0</v>
      </c>
      <c r="R83" s="228" t="s">
        <v>2229</v>
      </c>
      <c r="S83" s="255">
        <f t="shared" si="26"/>
        <v>1.5</v>
      </c>
      <c r="T83" s="228"/>
      <c r="U83" s="255">
        <f t="shared" si="21"/>
        <v>0</v>
      </c>
      <c r="V83" s="225"/>
      <c r="W83" s="256">
        <f t="shared" si="22"/>
        <v>0</v>
      </c>
    </row>
    <row r="84" spans="1:23" ht="19.5" customHeight="1" thickBot="1">
      <c r="A84" s="283"/>
      <c r="B84" s="226" t="s">
        <v>2488</v>
      </c>
      <c r="C84" s="209">
        <f>IFERROR(VLOOKUP(B84,主食定价,COLUMNS(主食成本核算!$A$3:$X$3),0),0)</f>
        <v>0.4</v>
      </c>
      <c r="D84" s="229"/>
      <c r="E84" s="252">
        <f>IFERROR(VLOOKUP(D84,主食定价,COLUMNS(主食成本核算!$A$3:$X$3),0),0)</f>
        <v>0</v>
      </c>
      <c r="F84" s="226"/>
      <c r="G84" s="252">
        <f t="shared" si="27"/>
        <v>0</v>
      </c>
      <c r="H84" s="222"/>
      <c r="I84" s="253">
        <f>IFERROR(VLOOKUP(H84,主食定价,COLUMNS(主食成本核算!$A$3:$X$3),0),0)</f>
        <v>0</v>
      </c>
      <c r="J84" s="222"/>
      <c r="K84" s="253">
        <f t="shared" si="25"/>
        <v>0</v>
      </c>
      <c r="L84" s="222" t="s">
        <v>2652</v>
      </c>
      <c r="M84" s="254">
        <f t="shared" si="19"/>
        <v>1.4</v>
      </c>
      <c r="N84" s="227"/>
      <c r="O84" s="253">
        <f t="shared" si="20"/>
        <v>0</v>
      </c>
      <c r="P84" s="223"/>
      <c r="Q84" s="255">
        <f>IFERROR(VLOOKUP(P84,主食定价,COLUMNS(主食成本核算!$A$3:$X$3),0),0)</f>
        <v>0</v>
      </c>
      <c r="R84" s="228"/>
      <c r="S84" s="255">
        <f t="shared" si="26"/>
        <v>0</v>
      </c>
      <c r="T84" s="228"/>
      <c r="U84" s="255">
        <f t="shared" si="21"/>
        <v>0</v>
      </c>
      <c r="V84" s="225"/>
      <c r="W84" s="256">
        <f t="shared" si="22"/>
        <v>0</v>
      </c>
    </row>
    <row r="85" spans="1:23" ht="19.5" customHeight="1" thickBot="1">
      <c r="A85" s="283"/>
      <c r="B85" s="218" t="s">
        <v>2530</v>
      </c>
      <c r="C85" s="209">
        <f>IFERROR(VLOOKUP(B85,主食定价,COLUMNS(主食成本核算!$A$3:$X$3),0),0)</f>
        <v>0.4</v>
      </c>
      <c r="D85" s="229"/>
      <c r="E85" s="252">
        <f>IFERROR(VLOOKUP(D85,主食定价,COLUMNS(主食成本核算!$A$3:$X$3),0),0)</f>
        <v>0</v>
      </c>
      <c r="F85" s="226"/>
      <c r="G85" s="252">
        <f t="shared" si="27"/>
        <v>0</v>
      </c>
      <c r="H85" s="222"/>
      <c r="I85" s="253">
        <f>IFERROR(VLOOKUP(H85,主食定价,COLUMNS(主食成本核算!$A$3:$X$3),0),0)</f>
        <v>0</v>
      </c>
      <c r="J85" s="222"/>
      <c r="K85" s="253">
        <f t="shared" si="25"/>
        <v>0</v>
      </c>
      <c r="L85" s="222"/>
      <c r="M85" s="254">
        <f t="shared" si="19"/>
        <v>0</v>
      </c>
      <c r="N85" s="227"/>
      <c r="O85" s="253">
        <f t="shared" si="20"/>
        <v>0</v>
      </c>
      <c r="P85" s="224"/>
      <c r="Q85" s="255">
        <f>IFERROR(VLOOKUP(P85,主食定价,COLUMNS(主食成本核算!$A$3:$X$3),0),0)</f>
        <v>0</v>
      </c>
      <c r="R85" s="228"/>
      <c r="S85" s="255">
        <f t="shared" si="26"/>
        <v>0</v>
      </c>
      <c r="T85" s="228"/>
      <c r="U85" s="255">
        <f t="shared" si="21"/>
        <v>0</v>
      </c>
      <c r="V85" s="225"/>
      <c r="W85" s="256">
        <f t="shared" si="22"/>
        <v>0</v>
      </c>
    </row>
    <row r="86" spans="1:23" ht="19.5" customHeight="1" thickBot="1">
      <c r="A86" s="284"/>
      <c r="B86" s="230" t="s">
        <v>2763</v>
      </c>
      <c r="C86" s="209">
        <f>IFERROR(VLOOKUP(B86,主食定价,COLUMNS(主食成本核算!$A$3:$X$3),0),0)</f>
        <v>1.1000000000000001</v>
      </c>
      <c r="D86" s="232"/>
      <c r="E86" s="231">
        <f>IFERROR(VLOOKUP(D86,主食定价,COLUMNS(主食成本核算!$A$3:$X$3),0),0)</f>
        <v>0</v>
      </c>
      <c r="F86" s="233"/>
      <c r="G86" s="231">
        <f t="shared" si="27"/>
        <v>0</v>
      </c>
      <c r="H86" s="234"/>
      <c r="I86" s="257">
        <f>IFERROR(VLOOKUP(H86,主食定价,COLUMNS(主食成本核算!$A$3:$X$3),0),0)</f>
        <v>0</v>
      </c>
      <c r="J86" s="234"/>
      <c r="K86" s="257">
        <f t="shared" si="25"/>
        <v>0</v>
      </c>
      <c r="L86" s="234"/>
      <c r="M86" s="258">
        <f t="shared" si="19"/>
        <v>0</v>
      </c>
      <c r="N86" s="235"/>
      <c r="O86" s="257">
        <f t="shared" si="20"/>
        <v>0</v>
      </c>
      <c r="P86" s="236"/>
      <c r="Q86" s="259">
        <f>IFERROR(VLOOKUP(P86,主食定价,COLUMNS(主食成本核算!$A$3:$X$3),0),0)</f>
        <v>0</v>
      </c>
      <c r="R86" s="236"/>
      <c r="S86" s="259">
        <f t="shared" si="26"/>
        <v>0</v>
      </c>
      <c r="T86" s="236"/>
      <c r="U86" s="259">
        <f t="shared" si="21"/>
        <v>0</v>
      </c>
      <c r="V86" s="237"/>
      <c r="W86" s="260">
        <f t="shared" si="22"/>
        <v>0</v>
      </c>
    </row>
    <row r="87" spans="1:23" ht="19.5" customHeight="1"/>
    <row r="88" spans="1:23" ht="19.5" customHeight="1"/>
    <row r="89" spans="1:23" ht="19.5" customHeight="1"/>
    <row r="90" spans="1:23" ht="19.5" customHeight="1"/>
    <row r="91" spans="1:23" ht="19.5" customHeight="1"/>
    <row r="92" spans="1:23" ht="19.5" customHeight="1"/>
    <row r="93" spans="1:23" ht="19.5" customHeight="1"/>
  </sheetData>
  <sortState ref="B51:C62">
    <sortCondition descending="1" ref="C51:C62"/>
  </sortState>
  <customSheetViews>
    <customSheetView guid="{3AADC896-6B20-4F99-8402-796B8C297358}" hiddenRows="1">
      <selection activeCell="F26" sqref="F26"/>
      <pageMargins left="0.75" right="0.75" top="1" bottom="1" header="0.5" footer="0.5"/>
      <pageSetup paperSize="9" orientation="landscape" r:id="rId1"/>
      <headerFooter alignWithMargins="0"/>
    </customSheetView>
  </customSheetViews>
  <mergeCells count="8">
    <mergeCell ref="A51:A62"/>
    <mergeCell ref="A63:A74"/>
    <mergeCell ref="A75:A86"/>
    <mergeCell ref="P1:W1"/>
    <mergeCell ref="A3:A14"/>
    <mergeCell ref="A15:A26"/>
    <mergeCell ref="A27:A38"/>
    <mergeCell ref="A39:A50"/>
  </mergeCells>
  <phoneticPr fontId="22" type="noConversion"/>
  <printOptions horizontalCentered="1"/>
  <pageMargins left="0" right="0" top="0" bottom="0" header="0" footer="0"/>
  <pageSetup paperSize="9" scale="59" fitToHeight="0" orientation="landscape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X196"/>
  <sheetViews>
    <sheetView zoomScale="85" zoomScaleNormal="85"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J36" sqref="J36"/>
    </sheetView>
  </sheetViews>
  <sheetFormatPr defaultRowHeight="14.25"/>
  <cols>
    <col min="1" max="1" width="17.875" style="4" customWidth="1"/>
    <col min="2" max="2" width="9.75" style="2" customWidth="1"/>
    <col min="3" max="3" width="15.5" style="2" customWidth="1"/>
    <col min="4" max="4" width="7.125" style="2" customWidth="1"/>
    <col min="5" max="5" width="25.25" style="2" customWidth="1"/>
    <col min="6" max="6" width="7.875" style="2" customWidth="1"/>
    <col min="7" max="7" width="23.375" style="2" customWidth="1"/>
    <col min="8" max="8" width="6.75" style="2" customWidth="1"/>
    <col min="9" max="9" width="18.625" style="2" customWidth="1"/>
    <col min="10" max="10" width="5.125" style="2" customWidth="1"/>
    <col min="11" max="19" width="5.625" style="2" customWidth="1"/>
    <col min="20" max="20" width="10.25" style="2" customWidth="1"/>
    <col min="21" max="21" width="10.125" style="2" customWidth="1"/>
    <col min="22" max="22" width="7.75" style="2" customWidth="1"/>
    <col min="23" max="23" width="5.875" style="2" customWidth="1"/>
    <col min="24" max="24" width="8" style="64" customWidth="1"/>
    <col min="25" max="16384" width="9" style="2"/>
  </cols>
  <sheetData>
    <row r="1" spans="1:24" ht="12" customHeight="1">
      <c r="A1" s="288" t="s">
        <v>10</v>
      </c>
      <c r="B1" s="288" t="s">
        <v>53</v>
      </c>
      <c r="C1" s="82" t="s">
        <v>15</v>
      </c>
      <c r="D1" s="83" t="s">
        <v>15</v>
      </c>
      <c r="E1" s="83" t="s">
        <v>388</v>
      </c>
      <c r="F1" s="83" t="s">
        <v>388</v>
      </c>
      <c r="G1" s="83" t="s">
        <v>389</v>
      </c>
      <c r="H1" s="83" t="s">
        <v>389</v>
      </c>
      <c r="I1" s="83" t="s">
        <v>390</v>
      </c>
      <c r="J1" s="83" t="s">
        <v>390</v>
      </c>
      <c r="K1" s="83" t="s">
        <v>15</v>
      </c>
      <c r="L1" s="83" t="s">
        <v>15</v>
      </c>
      <c r="M1" s="83" t="s">
        <v>388</v>
      </c>
      <c r="N1" s="83" t="s">
        <v>388</v>
      </c>
      <c r="O1" s="83" t="s">
        <v>389</v>
      </c>
      <c r="P1" s="83" t="s">
        <v>389</v>
      </c>
      <c r="Q1" s="83" t="s">
        <v>390</v>
      </c>
      <c r="R1" s="83" t="s">
        <v>390</v>
      </c>
      <c r="S1" s="289" t="s">
        <v>16</v>
      </c>
      <c r="T1" s="290" t="s">
        <v>17</v>
      </c>
      <c r="U1" s="290" t="s">
        <v>18</v>
      </c>
      <c r="V1" s="286" t="s">
        <v>19</v>
      </c>
      <c r="W1" s="286" t="s">
        <v>20</v>
      </c>
      <c r="X1" s="287" t="s">
        <v>12</v>
      </c>
    </row>
    <row r="2" spans="1:24" ht="38.25" customHeight="1">
      <c r="A2" s="288"/>
      <c r="B2" s="288"/>
      <c r="C2" s="82" t="s">
        <v>21</v>
      </c>
      <c r="D2" s="81" t="s">
        <v>22</v>
      </c>
      <c r="E2" s="81" t="s">
        <v>391</v>
      </c>
      <c r="F2" s="81" t="s">
        <v>22</v>
      </c>
      <c r="G2" s="81" t="s">
        <v>21</v>
      </c>
      <c r="H2" s="81" t="s">
        <v>22</v>
      </c>
      <c r="I2" s="81" t="s">
        <v>21</v>
      </c>
      <c r="J2" s="81" t="s">
        <v>22</v>
      </c>
      <c r="K2" s="81" t="s">
        <v>13</v>
      </c>
      <c r="L2" s="81" t="s">
        <v>23</v>
      </c>
      <c r="M2" s="81" t="s">
        <v>13</v>
      </c>
      <c r="N2" s="81" t="s">
        <v>23</v>
      </c>
      <c r="O2" s="81" t="s">
        <v>13</v>
      </c>
      <c r="P2" s="81" t="s">
        <v>23</v>
      </c>
      <c r="Q2" s="81" t="s">
        <v>13</v>
      </c>
      <c r="R2" s="81" t="s">
        <v>23</v>
      </c>
      <c r="S2" s="289"/>
      <c r="T2" s="290"/>
      <c r="U2" s="290"/>
      <c r="V2" s="286"/>
      <c r="W2" s="286"/>
      <c r="X2" s="287"/>
    </row>
    <row r="3" spans="1:24">
      <c r="A3" s="18" t="s">
        <v>970</v>
      </c>
      <c r="B3" s="85">
        <v>100</v>
      </c>
      <c r="C3" s="40" t="s">
        <v>424</v>
      </c>
      <c r="D3" s="86">
        <v>6</v>
      </c>
      <c r="E3" s="49" t="s">
        <v>190</v>
      </c>
      <c r="F3" s="87">
        <v>3</v>
      </c>
      <c r="G3" s="48" t="s">
        <v>115</v>
      </c>
      <c r="H3" s="88">
        <v>3</v>
      </c>
      <c r="I3" s="89" t="s">
        <v>124</v>
      </c>
      <c r="J3" s="89">
        <v>3</v>
      </c>
      <c r="K3" s="83">
        <f t="shared" ref="K3:K33" si="0">IF(C3="","",VLOOKUP(C3,成本单价,8,0))</f>
        <v>1.7</v>
      </c>
      <c r="L3" s="83">
        <f t="shared" ref="L3:L33" si="1">IFERROR(D3*K3,"")</f>
        <v>10.199999999999999</v>
      </c>
      <c r="M3" s="83">
        <f t="shared" ref="M3:M33" si="2">IF(E3="","",VLOOKUP(E3,成本单价,8,0))</f>
        <v>13</v>
      </c>
      <c r="N3" s="83">
        <f t="shared" ref="N3:N33" si="3">IFERROR(F3*M3,"")</f>
        <v>39</v>
      </c>
      <c r="O3" s="83">
        <f t="shared" ref="O3:O33" si="4">IF(G3="","",VLOOKUP(G3,成本单价,8,0))</f>
        <v>4.2352941176470589</v>
      </c>
      <c r="P3" s="83">
        <f t="shared" ref="P3:P33" si="5">IFERROR(H3*O3,"")</f>
        <v>12.705882352941178</v>
      </c>
      <c r="Q3" s="83">
        <f t="shared" ref="Q3:Q33" si="6">IF(I3="","",VLOOKUP(I3,成本单价,8,0))</f>
        <v>3.4117647058823528</v>
      </c>
      <c r="R3" s="83">
        <f t="shared" ref="R3:R33" si="7">IFERROR(J3*Q3,"")</f>
        <v>10.235294117647058</v>
      </c>
      <c r="S3" s="27">
        <f>B3*0.2</f>
        <v>20</v>
      </c>
      <c r="T3" s="84">
        <f t="shared" ref="T3:T33" si="8">IFERROR(SUM(L3,N3,P3,R3,S3),"")</f>
        <v>92.141176470588235</v>
      </c>
      <c r="U3" s="84">
        <f t="shared" ref="U3:U33" si="9">T3*(1+物料比)</f>
        <v>96.748235294117649</v>
      </c>
      <c r="V3" s="36">
        <f t="shared" ref="V3:V33" si="10">U3/B3</f>
        <v>0.96748235294117646</v>
      </c>
      <c r="W3" s="36">
        <f t="shared" ref="W3:W33" si="11">D3/B3+F3/B3+H3/B3+J3/B3</f>
        <v>0.15</v>
      </c>
      <c r="X3" s="141">
        <f t="shared" ref="X3:X36" si="12">ROUND(V3*(1+大灶毛利),1)</f>
        <v>1.1000000000000001</v>
      </c>
    </row>
    <row r="4" spans="1:24">
      <c r="A4" s="18" t="s">
        <v>1025</v>
      </c>
      <c r="B4" s="85">
        <v>80</v>
      </c>
      <c r="C4" s="40" t="s">
        <v>424</v>
      </c>
      <c r="D4" s="86">
        <v>5</v>
      </c>
      <c r="E4" s="87" t="s">
        <v>319</v>
      </c>
      <c r="F4" s="87">
        <v>2</v>
      </c>
      <c r="G4" s="5" t="s">
        <v>110</v>
      </c>
      <c r="H4" s="88">
        <v>3</v>
      </c>
      <c r="I4" s="89" t="s">
        <v>38</v>
      </c>
      <c r="J4" s="89">
        <v>1</v>
      </c>
      <c r="K4" s="83">
        <f t="shared" si="0"/>
        <v>1.7</v>
      </c>
      <c r="L4" s="83">
        <f t="shared" si="1"/>
        <v>8.5</v>
      </c>
      <c r="M4" s="83">
        <f t="shared" si="2"/>
        <v>3.5714285714285716</v>
      </c>
      <c r="N4" s="83">
        <f t="shared" si="3"/>
        <v>7.1428571428571432</v>
      </c>
      <c r="O4" s="83" t="e">
        <f t="shared" si="4"/>
        <v>#N/A</v>
      </c>
      <c r="P4" s="83" t="str">
        <f t="shared" si="5"/>
        <v/>
      </c>
      <c r="Q4" s="83">
        <f t="shared" si="6"/>
        <v>1.6470588235294117</v>
      </c>
      <c r="R4" s="83">
        <f t="shared" si="7"/>
        <v>1.6470588235294117</v>
      </c>
      <c r="S4" s="27">
        <f>B4*0.2</f>
        <v>16</v>
      </c>
      <c r="T4" s="84">
        <f t="shared" si="8"/>
        <v>33.289915966386559</v>
      </c>
      <c r="U4" s="84">
        <f t="shared" si="9"/>
        <v>34.954411764705888</v>
      </c>
      <c r="V4" s="36">
        <f t="shared" si="10"/>
        <v>0.4369301470588236</v>
      </c>
      <c r="W4" s="36">
        <f t="shared" si="11"/>
        <v>0.13750000000000001</v>
      </c>
      <c r="X4" s="141">
        <f t="shared" si="12"/>
        <v>0.5</v>
      </c>
    </row>
    <row r="5" spans="1:24">
      <c r="A5" s="85" t="s">
        <v>845</v>
      </c>
      <c r="B5" s="85">
        <v>80</v>
      </c>
      <c r="C5" s="40" t="s">
        <v>424</v>
      </c>
      <c r="D5" s="86">
        <v>8</v>
      </c>
      <c r="E5" s="87" t="s">
        <v>319</v>
      </c>
      <c r="F5" s="87">
        <v>1</v>
      </c>
      <c r="G5" s="90"/>
      <c r="H5" s="88"/>
      <c r="I5" s="89"/>
      <c r="J5" s="89"/>
      <c r="K5" s="83">
        <f t="shared" si="0"/>
        <v>1.7</v>
      </c>
      <c r="L5" s="83">
        <f t="shared" si="1"/>
        <v>13.6</v>
      </c>
      <c r="M5" s="83">
        <f t="shared" si="2"/>
        <v>3.5714285714285716</v>
      </c>
      <c r="N5" s="83">
        <f t="shared" si="3"/>
        <v>3.5714285714285716</v>
      </c>
      <c r="O5" s="83" t="str">
        <f t="shared" si="4"/>
        <v/>
      </c>
      <c r="P5" s="83" t="str">
        <f t="shared" si="5"/>
        <v/>
      </c>
      <c r="Q5" s="83" t="str">
        <f t="shared" si="6"/>
        <v/>
      </c>
      <c r="R5" s="83" t="str">
        <f t="shared" si="7"/>
        <v/>
      </c>
      <c r="S5" s="27">
        <f>B5*0.1</f>
        <v>8</v>
      </c>
      <c r="T5" s="84">
        <f t="shared" si="8"/>
        <v>25.171428571428571</v>
      </c>
      <c r="U5" s="84">
        <f t="shared" si="9"/>
        <v>26.43</v>
      </c>
      <c r="V5" s="36">
        <f t="shared" si="10"/>
        <v>0.33037499999999997</v>
      </c>
      <c r="W5" s="36">
        <f t="shared" si="11"/>
        <v>0.1125</v>
      </c>
      <c r="X5" s="141">
        <f t="shared" si="12"/>
        <v>0.4</v>
      </c>
    </row>
    <row r="6" spans="1:24">
      <c r="A6" s="85" t="s">
        <v>846</v>
      </c>
      <c r="B6" s="85">
        <v>60</v>
      </c>
      <c r="C6" s="40" t="s">
        <v>424</v>
      </c>
      <c r="D6" s="86">
        <v>6</v>
      </c>
      <c r="E6" s="90" t="s">
        <v>860</v>
      </c>
      <c r="F6" s="87">
        <v>2</v>
      </c>
      <c r="G6" s="88"/>
      <c r="H6" s="88"/>
      <c r="I6" s="89"/>
      <c r="J6" s="89"/>
      <c r="K6" s="83">
        <f t="shared" si="0"/>
        <v>1.7</v>
      </c>
      <c r="L6" s="83">
        <f t="shared" si="1"/>
        <v>10.199999999999999</v>
      </c>
      <c r="M6" s="83" t="e">
        <f t="shared" si="2"/>
        <v>#N/A</v>
      </c>
      <c r="N6" s="83" t="str">
        <f t="shared" si="3"/>
        <v/>
      </c>
      <c r="O6" s="83" t="str">
        <f t="shared" si="4"/>
        <v/>
      </c>
      <c r="P6" s="83" t="str">
        <f t="shared" si="5"/>
        <v/>
      </c>
      <c r="Q6" s="83" t="str">
        <f t="shared" si="6"/>
        <v/>
      </c>
      <c r="R6" s="83" t="str">
        <f t="shared" si="7"/>
        <v/>
      </c>
      <c r="S6" s="27">
        <f>B6*0.2</f>
        <v>12</v>
      </c>
      <c r="T6" s="84">
        <f t="shared" si="8"/>
        <v>22.2</v>
      </c>
      <c r="U6" s="84">
        <f t="shared" si="9"/>
        <v>23.31</v>
      </c>
      <c r="V6" s="36">
        <f t="shared" si="10"/>
        <v>0.38849999999999996</v>
      </c>
      <c r="W6" s="36">
        <f t="shared" si="11"/>
        <v>0.13333333333333333</v>
      </c>
      <c r="X6" s="141">
        <f t="shared" si="12"/>
        <v>0.4</v>
      </c>
    </row>
    <row r="7" spans="1:24">
      <c r="A7" s="85" t="s">
        <v>1320</v>
      </c>
      <c r="B7" s="85">
        <v>40</v>
      </c>
      <c r="C7" s="40" t="s">
        <v>424</v>
      </c>
      <c r="D7" s="86">
        <v>3</v>
      </c>
      <c r="E7" s="87" t="s">
        <v>318</v>
      </c>
      <c r="F7" s="87">
        <v>1.5</v>
      </c>
      <c r="G7" s="88" t="s">
        <v>32</v>
      </c>
      <c r="H7" s="88">
        <v>3</v>
      </c>
      <c r="I7" s="89"/>
      <c r="J7" s="89"/>
      <c r="K7" s="83">
        <f t="shared" si="0"/>
        <v>1.7</v>
      </c>
      <c r="L7" s="83">
        <f t="shared" si="1"/>
        <v>5.0999999999999996</v>
      </c>
      <c r="M7" s="83">
        <f t="shared" si="2"/>
        <v>5.8571428571428568</v>
      </c>
      <c r="N7" s="83">
        <f t="shared" si="3"/>
        <v>8.7857142857142847</v>
      </c>
      <c r="O7" s="83">
        <f t="shared" si="4"/>
        <v>0.70588235294117652</v>
      </c>
      <c r="P7" s="83">
        <f t="shared" si="5"/>
        <v>2.1176470588235294</v>
      </c>
      <c r="Q7" s="83" t="str">
        <f t="shared" si="6"/>
        <v/>
      </c>
      <c r="R7" s="83" t="str">
        <f t="shared" si="7"/>
        <v/>
      </c>
      <c r="S7" s="27">
        <f>B7*0.1</f>
        <v>4</v>
      </c>
      <c r="T7" s="84">
        <f t="shared" si="8"/>
        <v>20.003361344537815</v>
      </c>
      <c r="U7" s="84">
        <f t="shared" si="9"/>
        <v>21.003529411764706</v>
      </c>
      <c r="V7" s="36">
        <f t="shared" si="10"/>
        <v>0.52508823529411763</v>
      </c>
      <c r="W7" s="36">
        <f t="shared" si="11"/>
        <v>0.1875</v>
      </c>
      <c r="X7" s="141">
        <f t="shared" si="12"/>
        <v>0.6</v>
      </c>
    </row>
    <row r="8" spans="1:24" ht="15">
      <c r="A8" s="85" t="s">
        <v>847</v>
      </c>
      <c r="B8" s="85">
        <v>20</v>
      </c>
      <c r="C8" s="40" t="s">
        <v>424</v>
      </c>
      <c r="D8" s="86">
        <v>1.6</v>
      </c>
      <c r="E8" s="87" t="s">
        <v>6</v>
      </c>
      <c r="F8" s="87">
        <v>3</v>
      </c>
      <c r="G8" s="78" t="s">
        <v>881</v>
      </c>
      <c r="H8" s="88">
        <v>0.5</v>
      </c>
      <c r="I8" s="50" t="s">
        <v>882</v>
      </c>
      <c r="J8" s="89">
        <v>0.4</v>
      </c>
      <c r="K8" s="83">
        <f t="shared" si="0"/>
        <v>1.7</v>
      </c>
      <c r="L8" s="83">
        <f t="shared" si="1"/>
        <v>2.72</v>
      </c>
      <c r="M8" s="83">
        <f t="shared" si="2"/>
        <v>1.7647058823529411</v>
      </c>
      <c r="N8" s="83">
        <f t="shared" si="3"/>
        <v>5.2941176470588234</v>
      </c>
      <c r="O8" s="83">
        <f t="shared" si="4"/>
        <v>7.8571428571428577</v>
      </c>
      <c r="P8" s="83">
        <f t="shared" si="5"/>
        <v>3.9285714285714288</v>
      </c>
      <c r="Q8" s="83">
        <f t="shared" si="6"/>
        <v>521.42857142857144</v>
      </c>
      <c r="R8" s="83">
        <f t="shared" si="7"/>
        <v>208.57142857142858</v>
      </c>
      <c r="S8" s="27">
        <f t="shared" ref="S8:S14" si="13">B8*0.1</f>
        <v>2</v>
      </c>
      <c r="T8" s="84">
        <f t="shared" si="8"/>
        <v>222.51411764705884</v>
      </c>
      <c r="U8" s="84">
        <f t="shared" si="9"/>
        <v>233.63982352941179</v>
      </c>
      <c r="V8" s="36">
        <f t="shared" si="10"/>
        <v>11.681991176470589</v>
      </c>
      <c r="W8" s="36">
        <f t="shared" si="11"/>
        <v>0.27500000000000002</v>
      </c>
      <c r="X8" s="141">
        <f t="shared" si="12"/>
        <v>12.9</v>
      </c>
    </row>
    <row r="9" spans="1:24">
      <c r="A9" s="85" t="s">
        <v>848</v>
      </c>
      <c r="B9" s="85">
        <v>40</v>
      </c>
      <c r="C9" s="40" t="s">
        <v>424</v>
      </c>
      <c r="D9" s="86">
        <v>3.2</v>
      </c>
      <c r="E9" s="87" t="s">
        <v>861</v>
      </c>
      <c r="F9" s="87">
        <v>2</v>
      </c>
      <c r="G9" s="88"/>
      <c r="H9" s="88"/>
      <c r="I9" s="89"/>
      <c r="J9" s="89"/>
      <c r="K9" s="83">
        <f t="shared" si="0"/>
        <v>1.7</v>
      </c>
      <c r="L9" s="83">
        <f t="shared" si="1"/>
        <v>5.44</v>
      </c>
      <c r="M9" s="83">
        <f t="shared" si="2"/>
        <v>4.7</v>
      </c>
      <c r="N9" s="83">
        <f t="shared" si="3"/>
        <v>9.4</v>
      </c>
      <c r="O9" s="83" t="str">
        <f t="shared" si="4"/>
        <v/>
      </c>
      <c r="P9" s="83" t="str">
        <f t="shared" si="5"/>
        <v/>
      </c>
      <c r="Q9" s="83" t="str">
        <f t="shared" si="6"/>
        <v/>
      </c>
      <c r="R9" s="83" t="str">
        <f t="shared" si="7"/>
        <v/>
      </c>
      <c r="S9" s="27">
        <f t="shared" si="13"/>
        <v>4</v>
      </c>
      <c r="T9" s="84">
        <f t="shared" si="8"/>
        <v>18.84</v>
      </c>
      <c r="U9" s="84">
        <f t="shared" si="9"/>
        <v>19.782</v>
      </c>
      <c r="V9" s="36">
        <f t="shared" si="10"/>
        <v>0.49454999999999999</v>
      </c>
      <c r="W9" s="36">
        <f t="shared" si="11"/>
        <v>0.13</v>
      </c>
      <c r="X9" s="141">
        <f t="shared" si="12"/>
        <v>0.5</v>
      </c>
    </row>
    <row r="10" spans="1:24">
      <c r="A10" s="85" t="s">
        <v>849</v>
      </c>
      <c r="B10" s="85">
        <v>40</v>
      </c>
      <c r="C10" s="40" t="s">
        <v>424</v>
      </c>
      <c r="D10" s="86">
        <v>2</v>
      </c>
      <c r="E10" s="49" t="s">
        <v>883</v>
      </c>
      <c r="F10" s="87">
        <v>1.5</v>
      </c>
      <c r="G10" s="88" t="s">
        <v>1</v>
      </c>
      <c r="H10" s="88">
        <v>1.5</v>
      </c>
      <c r="I10" s="89"/>
      <c r="J10" s="89"/>
      <c r="K10" s="83">
        <f t="shared" si="0"/>
        <v>1.7</v>
      </c>
      <c r="L10" s="83">
        <f t="shared" si="1"/>
        <v>3.4</v>
      </c>
      <c r="M10" s="83">
        <f t="shared" si="2"/>
        <v>13</v>
      </c>
      <c r="N10" s="83">
        <f t="shared" si="3"/>
        <v>19.5</v>
      </c>
      <c r="O10" s="83">
        <f t="shared" si="4"/>
        <v>2.1176470588235294</v>
      </c>
      <c r="P10" s="83">
        <f t="shared" si="5"/>
        <v>3.1764705882352944</v>
      </c>
      <c r="Q10" s="83" t="str">
        <f t="shared" si="6"/>
        <v/>
      </c>
      <c r="R10" s="83" t="str">
        <f t="shared" si="7"/>
        <v/>
      </c>
      <c r="S10" s="27">
        <f t="shared" si="13"/>
        <v>4</v>
      </c>
      <c r="T10" s="84">
        <f t="shared" si="8"/>
        <v>30.076470588235292</v>
      </c>
      <c r="U10" s="84">
        <f t="shared" si="9"/>
        <v>31.580294117647057</v>
      </c>
      <c r="V10" s="36">
        <f t="shared" si="10"/>
        <v>0.78950735294117647</v>
      </c>
      <c r="W10" s="36">
        <f t="shared" si="11"/>
        <v>0.125</v>
      </c>
      <c r="X10" s="141">
        <f t="shared" si="12"/>
        <v>0.9</v>
      </c>
    </row>
    <row r="11" spans="1:24">
      <c r="A11" s="85" t="s">
        <v>850</v>
      </c>
      <c r="B11" s="85">
        <v>30</v>
      </c>
      <c r="C11" s="86" t="s">
        <v>159</v>
      </c>
      <c r="D11" s="86">
        <v>15</v>
      </c>
      <c r="E11" s="87"/>
      <c r="F11" s="87"/>
      <c r="G11" s="88"/>
      <c r="H11" s="88"/>
      <c r="I11" s="89"/>
      <c r="J11" s="89"/>
      <c r="K11" s="83">
        <f t="shared" si="0"/>
        <v>3.0588235294117649</v>
      </c>
      <c r="L11" s="83">
        <f t="shared" si="1"/>
        <v>45.882352941176471</v>
      </c>
      <c r="M11" s="83" t="str">
        <f t="shared" si="2"/>
        <v/>
      </c>
      <c r="N11" s="83" t="str">
        <f t="shared" si="3"/>
        <v/>
      </c>
      <c r="O11" s="83" t="str">
        <f t="shared" si="4"/>
        <v/>
      </c>
      <c r="P11" s="83" t="str">
        <f t="shared" si="5"/>
        <v/>
      </c>
      <c r="Q11" s="83" t="str">
        <f t="shared" si="6"/>
        <v/>
      </c>
      <c r="R11" s="83" t="str">
        <f t="shared" si="7"/>
        <v/>
      </c>
      <c r="S11" s="27">
        <f t="shared" si="13"/>
        <v>3</v>
      </c>
      <c r="T11" s="84">
        <f t="shared" si="8"/>
        <v>48.882352941176471</v>
      </c>
      <c r="U11" s="84">
        <f t="shared" si="9"/>
        <v>51.326470588235296</v>
      </c>
      <c r="V11" s="36">
        <f t="shared" si="10"/>
        <v>1.7108823529411765</v>
      </c>
      <c r="W11" s="36">
        <f t="shared" si="11"/>
        <v>0.5</v>
      </c>
      <c r="X11" s="141">
        <f t="shared" si="12"/>
        <v>1.9</v>
      </c>
    </row>
    <row r="12" spans="1:24" ht="15">
      <c r="A12" s="85" t="s">
        <v>851</v>
      </c>
      <c r="B12" s="85">
        <v>24</v>
      </c>
      <c r="C12" s="40" t="s">
        <v>424</v>
      </c>
      <c r="D12" s="86">
        <v>2</v>
      </c>
      <c r="E12" s="78" t="s">
        <v>881</v>
      </c>
      <c r="F12" s="87">
        <v>0.9</v>
      </c>
      <c r="G12" s="88" t="s">
        <v>860</v>
      </c>
      <c r="H12" s="88">
        <v>1</v>
      </c>
      <c r="I12" s="5" t="s">
        <v>319</v>
      </c>
      <c r="J12" s="89">
        <v>2</v>
      </c>
      <c r="K12" s="83">
        <f t="shared" si="0"/>
        <v>1.7</v>
      </c>
      <c r="L12" s="83">
        <f t="shared" si="1"/>
        <v>3.4</v>
      </c>
      <c r="M12" s="83">
        <f t="shared" si="2"/>
        <v>7.8571428571428577</v>
      </c>
      <c r="N12" s="83">
        <f t="shared" si="3"/>
        <v>7.0714285714285721</v>
      </c>
      <c r="O12" s="83" t="e">
        <f t="shared" si="4"/>
        <v>#N/A</v>
      </c>
      <c r="P12" s="83" t="str">
        <f t="shared" si="5"/>
        <v/>
      </c>
      <c r="Q12" s="83">
        <f t="shared" si="6"/>
        <v>3.5714285714285716</v>
      </c>
      <c r="R12" s="83">
        <f t="shared" si="7"/>
        <v>7.1428571428571432</v>
      </c>
      <c r="S12" s="27">
        <f t="shared" si="13"/>
        <v>2.4000000000000004</v>
      </c>
      <c r="T12" s="84">
        <f t="shared" si="8"/>
        <v>20.014285714285712</v>
      </c>
      <c r="U12" s="84">
        <f t="shared" si="9"/>
        <v>21.015000000000001</v>
      </c>
      <c r="V12" s="36">
        <f t="shared" si="10"/>
        <v>0.87562499999999999</v>
      </c>
      <c r="W12" s="36">
        <f t="shared" si="11"/>
        <v>0.24583333333333329</v>
      </c>
      <c r="X12" s="141">
        <f t="shared" si="12"/>
        <v>1</v>
      </c>
    </row>
    <row r="13" spans="1:24" ht="15">
      <c r="A13" s="85" t="s">
        <v>852</v>
      </c>
      <c r="B13" s="85">
        <v>30</v>
      </c>
      <c r="C13" s="40" t="s">
        <v>424</v>
      </c>
      <c r="D13" s="86">
        <v>3</v>
      </c>
      <c r="E13" s="87" t="s">
        <v>860</v>
      </c>
      <c r="F13" s="87">
        <v>1</v>
      </c>
      <c r="G13" s="50" t="s">
        <v>365</v>
      </c>
      <c r="H13" s="88">
        <v>2</v>
      </c>
      <c r="I13" s="5" t="s">
        <v>319</v>
      </c>
      <c r="J13" s="89">
        <v>2</v>
      </c>
      <c r="K13" s="83">
        <f t="shared" si="0"/>
        <v>1.7</v>
      </c>
      <c r="L13" s="83">
        <f t="shared" si="1"/>
        <v>5.0999999999999996</v>
      </c>
      <c r="M13" s="83" t="e">
        <f t="shared" si="2"/>
        <v>#N/A</v>
      </c>
      <c r="N13" s="83" t="str">
        <f t="shared" si="3"/>
        <v/>
      </c>
      <c r="O13" s="83">
        <f t="shared" si="4"/>
        <v>12.857142857142858</v>
      </c>
      <c r="P13" s="83">
        <f t="shared" si="5"/>
        <v>25.714285714285715</v>
      </c>
      <c r="Q13" s="83">
        <f t="shared" si="6"/>
        <v>3.5714285714285716</v>
      </c>
      <c r="R13" s="83">
        <f t="shared" si="7"/>
        <v>7.1428571428571432</v>
      </c>
      <c r="S13" s="27">
        <f t="shared" si="13"/>
        <v>3</v>
      </c>
      <c r="T13" s="84">
        <f t="shared" si="8"/>
        <v>40.957142857142863</v>
      </c>
      <c r="U13" s="84">
        <f t="shared" si="9"/>
        <v>43.00500000000001</v>
      </c>
      <c r="V13" s="36">
        <f t="shared" si="10"/>
        <v>1.4335000000000002</v>
      </c>
      <c r="W13" s="36">
        <f t="shared" si="11"/>
        <v>0.26666666666666666</v>
      </c>
      <c r="X13" s="141">
        <f t="shared" si="12"/>
        <v>1.6</v>
      </c>
    </row>
    <row r="14" spans="1:24">
      <c r="A14" s="85" t="s">
        <v>853</v>
      </c>
      <c r="B14" s="89">
        <v>50</v>
      </c>
      <c r="C14" s="18" t="s">
        <v>946</v>
      </c>
      <c r="D14" s="89">
        <v>4</v>
      </c>
      <c r="E14" s="18" t="s">
        <v>947</v>
      </c>
      <c r="F14" s="89">
        <v>2</v>
      </c>
      <c r="G14" s="18" t="s">
        <v>949</v>
      </c>
      <c r="H14" s="89">
        <v>4</v>
      </c>
      <c r="I14" s="89"/>
      <c r="J14" s="89"/>
      <c r="K14" s="83">
        <f t="shared" si="0"/>
        <v>2.27</v>
      </c>
      <c r="L14" s="83">
        <f t="shared" si="1"/>
        <v>9.08</v>
      </c>
      <c r="M14" s="83">
        <f t="shared" si="2"/>
        <v>4</v>
      </c>
      <c r="N14" s="83">
        <f t="shared" si="3"/>
        <v>8</v>
      </c>
      <c r="O14" s="83">
        <f t="shared" si="4"/>
        <v>1.7647058823529411</v>
      </c>
      <c r="P14" s="83">
        <f t="shared" si="5"/>
        <v>7.0588235294117645</v>
      </c>
      <c r="Q14" s="83" t="str">
        <f t="shared" si="6"/>
        <v/>
      </c>
      <c r="R14" s="83" t="str">
        <f t="shared" si="7"/>
        <v/>
      </c>
      <c r="S14" s="27">
        <f t="shared" si="13"/>
        <v>5</v>
      </c>
      <c r="T14" s="84">
        <f t="shared" si="8"/>
        <v>29.138823529411763</v>
      </c>
      <c r="U14" s="84">
        <f t="shared" si="9"/>
        <v>30.595764705882353</v>
      </c>
      <c r="V14" s="36">
        <f t="shared" si="10"/>
        <v>0.611915294117647</v>
      </c>
      <c r="W14" s="36">
        <f t="shared" si="11"/>
        <v>0.2</v>
      </c>
      <c r="X14" s="141">
        <f t="shared" si="12"/>
        <v>0.7</v>
      </c>
    </row>
    <row r="15" spans="1:24">
      <c r="A15" s="85" t="s">
        <v>854</v>
      </c>
      <c r="B15" s="89">
        <v>40</v>
      </c>
      <c r="C15" s="18" t="s">
        <v>947</v>
      </c>
      <c r="D15" s="89">
        <v>3</v>
      </c>
      <c r="E15" s="18" t="s">
        <v>950</v>
      </c>
      <c r="F15" s="89">
        <v>3.2</v>
      </c>
      <c r="G15" s="89"/>
      <c r="H15" s="89"/>
      <c r="I15" s="89"/>
      <c r="J15" s="89"/>
      <c r="K15" s="83">
        <f t="shared" si="0"/>
        <v>4</v>
      </c>
      <c r="L15" s="83">
        <f t="shared" si="1"/>
        <v>12</v>
      </c>
      <c r="M15" s="83">
        <f t="shared" si="2"/>
        <v>3.84</v>
      </c>
      <c r="N15" s="83">
        <f t="shared" si="3"/>
        <v>12.288</v>
      </c>
      <c r="O15" s="83" t="str">
        <f t="shared" si="4"/>
        <v/>
      </c>
      <c r="P15" s="83" t="str">
        <f t="shared" si="5"/>
        <v/>
      </c>
      <c r="Q15" s="83" t="str">
        <f t="shared" si="6"/>
        <v/>
      </c>
      <c r="R15" s="83" t="str">
        <f t="shared" si="7"/>
        <v/>
      </c>
      <c r="S15" s="27">
        <f>B15*0.01</f>
        <v>0.4</v>
      </c>
      <c r="T15" s="84">
        <f t="shared" si="8"/>
        <v>24.687999999999999</v>
      </c>
      <c r="U15" s="84">
        <f t="shared" si="9"/>
        <v>25.9224</v>
      </c>
      <c r="V15" s="36">
        <f t="shared" si="10"/>
        <v>0.64805999999999997</v>
      </c>
      <c r="W15" s="36">
        <f t="shared" si="11"/>
        <v>0.155</v>
      </c>
      <c r="X15" s="141">
        <f t="shared" si="12"/>
        <v>0.7</v>
      </c>
    </row>
    <row r="16" spans="1:24">
      <c r="A16" s="85" t="s">
        <v>855</v>
      </c>
      <c r="B16" s="89">
        <v>40</v>
      </c>
      <c r="C16" s="18" t="s">
        <v>896</v>
      </c>
      <c r="D16" s="89">
        <v>5</v>
      </c>
      <c r="E16" s="87"/>
      <c r="F16" s="87"/>
      <c r="G16" s="88"/>
      <c r="H16" s="88"/>
      <c r="I16" s="89"/>
      <c r="J16" s="89"/>
      <c r="K16" s="83">
        <f t="shared" si="0"/>
        <v>2.5</v>
      </c>
      <c r="L16" s="83">
        <f t="shared" si="1"/>
        <v>12.5</v>
      </c>
      <c r="M16" s="83" t="str">
        <f t="shared" si="2"/>
        <v/>
      </c>
      <c r="N16" s="83" t="str">
        <f t="shared" si="3"/>
        <v/>
      </c>
      <c r="O16" s="83" t="str">
        <f t="shared" si="4"/>
        <v/>
      </c>
      <c r="P16" s="83" t="str">
        <f t="shared" si="5"/>
        <v/>
      </c>
      <c r="Q16" s="83" t="str">
        <f t="shared" si="6"/>
        <v/>
      </c>
      <c r="R16" s="83" t="str">
        <f t="shared" si="7"/>
        <v/>
      </c>
      <c r="S16" s="27">
        <f>B16*0.1</f>
        <v>4</v>
      </c>
      <c r="T16" s="84">
        <f t="shared" si="8"/>
        <v>16.5</v>
      </c>
      <c r="U16" s="84">
        <f t="shared" si="9"/>
        <v>17.324999999999999</v>
      </c>
      <c r="V16" s="36">
        <f t="shared" si="10"/>
        <v>0.43312499999999998</v>
      </c>
      <c r="W16" s="36">
        <f t="shared" si="11"/>
        <v>0.125</v>
      </c>
      <c r="X16" s="141">
        <f t="shared" si="12"/>
        <v>0.5</v>
      </c>
    </row>
    <row r="17" spans="1:24">
      <c r="A17" s="85" t="s">
        <v>856</v>
      </c>
      <c r="B17" s="89">
        <v>40</v>
      </c>
      <c r="C17" s="18" t="s">
        <v>896</v>
      </c>
      <c r="D17" s="89">
        <v>7</v>
      </c>
      <c r="E17" s="18" t="s">
        <v>972</v>
      </c>
      <c r="F17" s="89">
        <v>0.3</v>
      </c>
      <c r="G17" s="18" t="s">
        <v>1009</v>
      </c>
      <c r="H17" s="89">
        <v>0.1</v>
      </c>
      <c r="I17" s="18" t="s">
        <v>1008</v>
      </c>
      <c r="J17" s="89">
        <v>0.1</v>
      </c>
      <c r="K17" s="83">
        <f t="shared" si="0"/>
        <v>2.5</v>
      </c>
      <c r="L17" s="83">
        <f t="shared" si="1"/>
        <v>17.5</v>
      </c>
      <c r="M17" s="83">
        <f t="shared" si="2"/>
        <v>21.428571428571431</v>
      </c>
      <c r="N17" s="83">
        <f t="shared" si="3"/>
        <v>6.4285714285714288</v>
      </c>
      <c r="O17" s="83">
        <f t="shared" si="4"/>
        <v>61.428571428571431</v>
      </c>
      <c r="P17" s="83">
        <f t="shared" si="5"/>
        <v>6.1428571428571432</v>
      </c>
      <c r="Q17" s="83" t="e">
        <f t="shared" si="6"/>
        <v>#N/A</v>
      </c>
      <c r="R17" s="83" t="str">
        <f t="shared" si="7"/>
        <v/>
      </c>
      <c r="S17" s="27">
        <f>B17*0.1</f>
        <v>4</v>
      </c>
      <c r="T17" s="84">
        <f t="shared" si="8"/>
        <v>34.071428571428569</v>
      </c>
      <c r="U17" s="84">
        <f t="shared" si="9"/>
        <v>35.774999999999999</v>
      </c>
      <c r="V17" s="36">
        <f t="shared" si="10"/>
        <v>0.89437499999999992</v>
      </c>
      <c r="W17" s="36">
        <f t="shared" si="11"/>
        <v>0.1875</v>
      </c>
      <c r="X17" s="141">
        <f t="shared" si="12"/>
        <v>1</v>
      </c>
    </row>
    <row r="18" spans="1:24">
      <c r="A18" s="85" t="s">
        <v>857</v>
      </c>
      <c r="B18" s="85">
        <v>50</v>
      </c>
      <c r="C18" s="40" t="s">
        <v>424</v>
      </c>
      <c r="D18" s="86">
        <v>5</v>
      </c>
      <c r="E18" s="87" t="s">
        <v>109</v>
      </c>
      <c r="F18" s="87">
        <v>5</v>
      </c>
      <c r="G18" s="88" t="s">
        <v>130</v>
      </c>
      <c r="H18" s="88">
        <v>3</v>
      </c>
      <c r="I18" s="89"/>
      <c r="J18" s="89"/>
      <c r="K18" s="83">
        <f t="shared" si="0"/>
        <v>1.7</v>
      </c>
      <c r="L18" s="83">
        <f t="shared" si="1"/>
        <v>8.5</v>
      </c>
      <c r="M18" s="83">
        <f t="shared" si="2"/>
        <v>1.2941176470588236</v>
      </c>
      <c r="N18" s="83">
        <f t="shared" si="3"/>
        <v>6.4705882352941178</v>
      </c>
      <c r="O18" s="83">
        <f t="shared" si="4"/>
        <v>0.94117647058823539</v>
      </c>
      <c r="P18" s="83">
        <f t="shared" si="5"/>
        <v>2.8235294117647061</v>
      </c>
      <c r="Q18" s="83" t="str">
        <f t="shared" si="6"/>
        <v/>
      </c>
      <c r="R18" s="83" t="str">
        <f t="shared" si="7"/>
        <v/>
      </c>
      <c r="S18" s="27">
        <f>B18*0.1</f>
        <v>5</v>
      </c>
      <c r="T18" s="84">
        <f t="shared" si="8"/>
        <v>22.794117647058822</v>
      </c>
      <c r="U18" s="84">
        <f t="shared" si="9"/>
        <v>23.933823529411764</v>
      </c>
      <c r="V18" s="36">
        <f t="shared" si="10"/>
        <v>0.47867647058823531</v>
      </c>
      <c r="W18" s="36">
        <f t="shared" si="11"/>
        <v>0.26</v>
      </c>
      <c r="X18" s="141">
        <f t="shared" si="12"/>
        <v>0.5</v>
      </c>
    </row>
    <row r="19" spans="1:24">
      <c r="A19" s="85" t="s">
        <v>858</v>
      </c>
      <c r="B19" s="89">
        <v>20</v>
      </c>
      <c r="C19" s="18" t="s">
        <v>951</v>
      </c>
      <c r="D19" s="89">
        <v>4</v>
      </c>
      <c r="E19" s="49" t="s">
        <v>883</v>
      </c>
      <c r="F19" s="89">
        <v>1.5</v>
      </c>
      <c r="G19" s="18" t="s">
        <v>952</v>
      </c>
      <c r="H19" s="89">
        <v>1</v>
      </c>
      <c r="I19" s="18" t="s">
        <v>985</v>
      </c>
      <c r="J19" s="89">
        <v>0.5</v>
      </c>
      <c r="K19" s="83">
        <f t="shared" si="0"/>
        <v>2.2000000000000002</v>
      </c>
      <c r="L19" s="83">
        <f t="shared" si="1"/>
        <v>8.8000000000000007</v>
      </c>
      <c r="M19" s="83">
        <f t="shared" si="2"/>
        <v>13</v>
      </c>
      <c r="N19" s="83">
        <f t="shared" si="3"/>
        <v>19.5</v>
      </c>
      <c r="O19" s="83">
        <f t="shared" si="4"/>
        <v>3.4117647058823528</v>
      </c>
      <c r="P19" s="83">
        <f t="shared" si="5"/>
        <v>3.4117647058823528</v>
      </c>
      <c r="Q19" s="83">
        <f t="shared" si="6"/>
        <v>14.285714285714286</v>
      </c>
      <c r="R19" s="83">
        <f t="shared" si="7"/>
        <v>7.1428571428571432</v>
      </c>
      <c r="S19" s="27">
        <f>B19*0.25</f>
        <v>5</v>
      </c>
      <c r="T19" s="84">
        <f t="shared" si="8"/>
        <v>43.854621848739498</v>
      </c>
      <c r="U19" s="84">
        <f t="shared" si="9"/>
        <v>46.047352941176477</v>
      </c>
      <c r="V19" s="36">
        <f t="shared" si="10"/>
        <v>2.3023676470588237</v>
      </c>
      <c r="W19" s="36">
        <f t="shared" si="11"/>
        <v>0.35000000000000003</v>
      </c>
      <c r="X19" s="141">
        <f t="shared" si="12"/>
        <v>2.5</v>
      </c>
    </row>
    <row r="20" spans="1:24">
      <c r="A20" s="18" t="s">
        <v>971</v>
      </c>
      <c r="B20" s="85">
        <v>7</v>
      </c>
      <c r="C20" s="16" t="s">
        <v>319</v>
      </c>
      <c r="D20" s="86">
        <v>1</v>
      </c>
      <c r="E20" s="87"/>
      <c r="F20" s="87"/>
      <c r="G20" s="88"/>
      <c r="H20" s="88"/>
      <c r="I20" s="89"/>
      <c r="J20" s="89"/>
      <c r="K20" s="83">
        <f t="shared" si="0"/>
        <v>3.5714285714285716</v>
      </c>
      <c r="L20" s="83">
        <f t="shared" si="1"/>
        <v>3.5714285714285716</v>
      </c>
      <c r="M20" s="83" t="str">
        <f t="shared" si="2"/>
        <v/>
      </c>
      <c r="N20" s="83" t="str">
        <f t="shared" si="3"/>
        <v/>
      </c>
      <c r="O20" s="83" t="str">
        <f t="shared" si="4"/>
        <v/>
      </c>
      <c r="P20" s="83" t="str">
        <f t="shared" si="5"/>
        <v/>
      </c>
      <c r="Q20" s="83" t="str">
        <f t="shared" si="6"/>
        <v/>
      </c>
      <c r="R20" s="83" t="str">
        <f t="shared" si="7"/>
        <v/>
      </c>
      <c r="S20" s="27">
        <f>B20*0.1</f>
        <v>0.70000000000000007</v>
      </c>
      <c r="T20" s="84">
        <f t="shared" si="8"/>
        <v>4.2714285714285714</v>
      </c>
      <c r="U20" s="84">
        <f t="shared" si="9"/>
        <v>4.4850000000000003</v>
      </c>
      <c r="V20" s="36">
        <f t="shared" si="10"/>
        <v>0.64071428571428579</v>
      </c>
      <c r="W20" s="36">
        <f t="shared" si="11"/>
        <v>0.14285714285714285</v>
      </c>
      <c r="X20" s="141">
        <f t="shared" si="12"/>
        <v>0.7</v>
      </c>
    </row>
    <row r="21" spans="1:24">
      <c r="A21" s="102" t="s">
        <v>973</v>
      </c>
      <c r="B21" s="89">
        <v>40</v>
      </c>
      <c r="C21" s="40" t="s">
        <v>424</v>
      </c>
      <c r="D21" s="27">
        <v>4</v>
      </c>
      <c r="E21" s="27" t="s">
        <v>1028</v>
      </c>
      <c r="F21" s="27">
        <v>2</v>
      </c>
      <c r="G21" s="27"/>
      <c r="H21" s="27"/>
      <c r="I21" s="27"/>
      <c r="J21" s="27"/>
      <c r="K21" s="83">
        <f t="shared" si="0"/>
        <v>1.7</v>
      </c>
      <c r="L21" s="83">
        <f t="shared" si="1"/>
        <v>6.8</v>
      </c>
      <c r="M21" s="83">
        <f t="shared" si="2"/>
        <v>3.4117647058823528</v>
      </c>
      <c r="N21" s="83">
        <f t="shared" si="3"/>
        <v>6.8235294117647056</v>
      </c>
      <c r="O21" s="83" t="str">
        <f t="shared" si="4"/>
        <v/>
      </c>
      <c r="P21" s="83" t="str">
        <f t="shared" si="5"/>
        <v/>
      </c>
      <c r="Q21" s="83" t="str">
        <f t="shared" si="6"/>
        <v/>
      </c>
      <c r="R21" s="83" t="str">
        <f t="shared" si="7"/>
        <v/>
      </c>
      <c r="S21" s="27">
        <f t="shared" ref="S21:S29" si="14">B21*0.1</f>
        <v>4</v>
      </c>
      <c r="T21" s="84">
        <f t="shared" si="8"/>
        <v>17.623529411764707</v>
      </c>
      <c r="U21" s="84">
        <f t="shared" si="9"/>
        <v>18.504705882352944</v>
      </c>
      <c r="V21" s="36">
        <f t="shared" si="10"/>
        <v>0.46261764705882358</v>
      </c>
      <c r="W21" s="36">
        <f t="shared" si="11"/>
        <v>0.15000000000000002</v>
      </c>
      <c r="X21" s="141">
        <f t="shared" si="12"/>
        <v>0.5</v>
      </c>
    </row>
    <row r="22" spans="1:24">
      <c r="A22" s="91" t="s">
        <v>969</v>
      </c>
      <c r="B22" s="91">
        <v>100</v>
      </c>
      <c r="C22" s="40" t="s">
        <v>424</v>
      </c>
      <c r="D22" s="91">
        <v>6</v>
      </c>
      <c r="E22" s="49" t="s">
        <v>190</v>
      </c>
      <c r="F22" s="91">
        <v>3</v>
      </c>
      <c r="G22" s="48" t="s">
        <v>128</v>
      </c>
      <c r="H22" s="91">
        <v>5</v>
      </c>
      <c r="I22" s="91"/>
      <c r="J22" s="91"/>
      <c r="K22" s="83">
        <f t="shared" si="0"/>
        <v>1.7</v>
      </c>
      <c r="L22" s="83">
        <f t="shared" si="1"/>
        <v>10.199999999999999</v>
      </c>
      <c r="M22" s="83">
        <f t="shared" si="2"/>
        <v>13</v>
      </c>
      <c r="N22" s="83">
        <f t="shared" si="3"/>
        <v>39</v>
      </c>
      <c r="O22" s="83">
        <f t="shared" si="4"/>
        <v>0.94117647058823539</v>
      </c>
      <c r="P22" s="83">
        <f t="shared" si="5"/>
        <v>4.7058823529411766</v>
      </c>
      <c r="Q22" s="83" t="str">
        <f t="shared" si="6"/>
        <v/>
      </c>
      <c r="R22" s="83" t="str">
        <f t="shared" si="7"/>
        <v/>
      </c>
      <c r="S22" s="27">
        <f t="shared" si="14"/>
        <v>10</v>
      </c>
      <c r="T22" s="84">
        <f t="shared" si="8"/>
        <v>63.905882352941177</v>
      </c>
      <c r="U22" s="84">
        <f t="shared" si="9"/>
        <v>67.101176470588243</v>
      </c>
      <c r="V22" s="36">
        <f t="shared" si="10"/>
        <v>0.67101176470588242</v>
      </c>
      <c r="W22" s="36">
        <f t="shared" si="11"/>
        <v>0.14000000000000001</v>
      </c>
      <c r="X22" s="141">
        <f t="shared" si="12"/>
        <v>0.7</v>
      </c>
    </row>
    <row r="23" spans="1:24">
      <c r="A23" s="91" t="s">
        <v>1026</v>
      </c>
      <c r="B23" s="91">
        <v>100</v>
      </c>
      <c r="C23" s="40" t="s">
        <v>424</v>
      </c>
      <c r="D23" s="91">
        <v>5</v>
      </c>
      <c r="E23" s="16" t="s">
        <v>319</v>
      </c>
      <c r="F23" s="91">
        <v>2</v>
      </c>
      <c r="G23" s="91" t="s">
        <v>129</v>
      </c>
      <c r="H23" s="91">
        <v>4</v>
      </c>
      <c r="I23" s="91"/>
      <c r="J23" s="91"/>
      <c r="K23" s="83">
        <f t="shared" si="0"/>
        <v>1.7</v>
      </c>
      <c r="L23" s="83">
        <f t="shared" si="1"/>
        <v>8.5</v>
      </c>
      <c r="M23" s="83">
        <f t="shared" si="2"/>
        <v>3.5714285714285716</v>
      </c>
      <c r="N23" s="83">
        <f t="shared" si="3"/>
        <v>7.1428571428571432</v>
      </c>
      <c r="O23" s="83">
        <f t="shared" si="4"/>
        <v>1</v>
      </c>
      <c r="P23" s="83">
        <f t="shared" si="5"/>
        <v>4</v>
      </c>
      <c r="Q23" s="83" t="str">
        <f t="shared" si="6"/>
        <v/>
      </c>
      <c r="R23" s="83" t="str">
        <f t="shared" si="7"/>
        <v/>
      </c>
      <c r="S23" s="27">
        <f t="shared" si="14"/>
        <v>10</v>
      </c>
      <c r="T23" s="84">
        <f t="shared" si="8"/>
        <v>29.642857142857142</v>
      </c>
      <c r="U23" s="84">
        <f t="shared" si="9"/>
        <v>31.125</v>
      </c>
      <c r="V23" s="36">
        <f t="shared" si="10"/>
        <v>0.31125000000000003</v>
      </c>
      <c r="W23" s="36">
        <f t="shared" si="11"/>
        <v>0.11000000000000001</v>
      </c>
      <c r="X23" s="141">
        <f t="shared" si="12"/>
        <v>0.3</v>
      </c>
    </row>
    <row r="24" spans="1:24">
      <c r="A24" s="91" t="s">
        <v>1037</v>
      </c>
      <c r="B24" s="91">
        <v>100</v>
      </c>
      <c r="C24" s="40" t="s">
        <v>424</v>
      </c>
      <c r="D24" s="91">
        <v>5</v>
      </c>
      <c r="E24" s="14" t="s">
        <v>824</v>
      </c>
      <c r="F24" s="91">
        <v>2</v>
      </c>
      <c r="G24" s="91" t="s">
        <v>129</v>
      </c>
      <c r="H24" s="91">
        <v>4</v>
      </c>
      <c r="I24" s="91"/>
      <c r="J24" s="91"/>
      <c r="K24" s="104">
        <f t="shared" si="0"/>
        <v>1.7</v>
      </c>
      <c r="L24" s="104">
        <f t="shared" si="1"/>
        <v>8.5</v>
      </c>
      <c r="M24" s="104" t="e">
        <f t="shared" si="2"/>
        <v>#N/A</v>
      </c>
      <c r="N24" s="104" t="str">
        <f t="shared" si="3"/>
        <v/>
      </c>
      <c r="O24" s="104">
        <f t="shared" si="4"/>
        <v>1</v>
      </c>
      <c r="P24" s="104">
        <f t="shared" si="5"/>
        <v>4</v>
      </c>
      <c r="Q24" s="104" t="str">
        <f t="shared" si="6"/>
        <v/>
      </c>
      <c r="R24" s="104" t="str">
        <f t="shared" si="7"/>
        <v/>
      </c>
      <c r="S24" s="27">
        <f t="shared" si="14"/>
        <v>10</v>
      </c>
      <c r="T24" s="103">
        <f t="shared" si="8"/>
        <v>22.5</v>
      </c>
      <c r="U24" s="103">
        <f t="shared" si="9"/>
        <v>23.625</v>
      </c>
      <c r="V24" s="36">
        <f t="shared" si="10"/>
        <v>0.23624999999999999</v>
      </c>
      <c r="W24" s="36">
        <f t="shared" si="11"/>
        <v>0.11000000000000001</v>
      </c>
      <c r="X24" s="141">
        <f t="shared" si="12"/>
        <v>0.3</v>
      </c>
    </row>
    <row r="25" spans="1:24">
      <c r="A25" s="91" t="s">
        <v>862</v>
      </c>
      <c r="B25" s="91">
        <v>60</v>
      </c>
      <c r="C25" s="40" t="s">
        <v>424</v>
      </c>
      <c r="D25" s="91">
        <v>8</v>
      </c>
      <c r="E25" s="91" t="s">
        <v>860</v>
      </c>
      <c r="F25" s="91">
        <v>2.5</v>
      </c>
      <c r="G25" s="91"/>
      <c r="H25" s="91"/>
      <c r="I25" s="91"/>
      <c r="J25" s="91"/>
      <c r="K25" s="83">
        <f t="shared" si="0"/>
        <v>1.7</v>
      </c>
      <c r="L25" s="83">
        <f t="shared" si="1"/>
        <v>13.6</v>
      </c>
      <c r="M25" s="83" t="e">
        <f t="shared" si="2"/>
        <v>#N/A</v>
      </c>
      <c r="N25" s="83" t="str">
        <f t="shared" si="3"/>
        <v/>
      </c>
      <c r="O25" s="83" t="str">
        <f t="shared" si="4"/>
        <v/>
      </c>
      <c r="P25" s="83" t="str">
        <f t="shared" si="5"/>
        <v/>
      </c>
      <c r="Q25" s="83" t="str">
        <f t="shared" si="6"/>
        <v/>
      </c>
      <c r="R25" s="83" t="str">
        <f t="shared" si="7"/>
        <v/>
      </c>
      <c r="S25" s="27">
        <f t="shared" si="14"/>
        <v>6</v>
      </c>
      <c r="T25" s="84">
        <f t="shared" si="8"/>
        <v>19.600000000000001</v>
      </c>
      <c r="U25" s="84">
        <f t="shared" si="9"/>
        <v>20.580000000000002</v>
      </c>
      <c r="V25" s="36">
        <f t="shared" si="10"/>
        <v>0.34300000000000003</v>
      </c>
      <c r="W25" s="36">
        <f t="shared" si="11"/>
        <v>0.17499999999999999</v>
      </c>
      <c r="X25" s="141">
        <f t="shared" si="12"/>
        <v>0.4</v>
      </c>
    </row>
    <row r="26" spans="1:24" ht="15">
      <c r="A26" s="91" t="s">
        <v>863</v>
      </c>
      <c r="B26" s="91">
        <v>40</v>
      </c>
      <c r="C26" s="40" t="s">
        <v>424</v>
      </c>
      <c r="D26" s="91">
        <v>4</v>
      </c>
      <c r="E26" s="14" t="s">
        <v>1024</v>
      </c>
      <c r="F26" s="91">
        <v>2</v>
      </c>
      <c r="G26" s="50" t="s">
        <v>355</v>
      </c>
      <c r="H26" s="91">
        <v>0.15</v>
      </c>
      <c r="I26" s="91"/>
      <c r="J26" s="91"/>
      <c r="K26" s="83">
        <f t="shared" si="0"/>
        <v>1.7</v>
      </c>
      <c r="L26" s="83">
        <f t="shared" si="1"/>
        <v>6.8</v>
      </c>
      <c r="M26" s="83">
        <f t="shared" si="2"/>
        <v>4.5750000000000002</v>
      </c>
      <c r="N26" s="83">
        <f t="shared" si="3"/>
        <v>9.15</v>
      </c>
      <c r="O26" s="83">
        <f t="shared" si="4"/>
        <v>88.571428571428584</v>
      </c>
      <c r="P26" s="83">
        <f t="shared" si="5"/>
        <v>13.285714285714286</v>
      </c>
      <c r="Q26" s="83" t="str">
        <f t="shared" si="6"/>
        <v/>
      </c>
      <c r="R26" s="83" t="str">
        <f t="shared" si="7"/>
        <v/>
      </c>
      <c r="S26" s="27">
        <f t="shared" si="14"/>
        <v>4</v>
      </c>
      <c r="T26" s="84">
        <f t="shared" si="8"/>
        <v>33.235714285714288</v>
      </c>
      <c r="U26" s="84">
        <f t="shared" si="9"/>
        <v>34.897500000000001</v>
      </c>
      <c r="V26" s="36">
        <f t="shared" si="10"/>
        <v>0.87243749999999998</v>
      </c>
      <c r="W26" s="36">
        <f t="shared" si="11"/>
        <v>0.15375000000000003</v>
      </c>
      <c r="X26" s="141">
        <f t="shared" si="12"/>
        <v>1</v>
      </c>
    </row>
    <row r="27" spans="1:24" ht="15">
      <c r="A27" s="91" t="s">
        <v>864</v>
      </c>
      <c r="B27" s="91">
        <v>20</v>
      </c>
      <c r="C27" s="40" t="s">
        <v>424</v>
      </c>
      <c r="D27" s="91">
        <v>2</v>
      </c>
      <c r="E27" s="91" t="s">
        <v>865</v>
      </c>
      <c r="F27" s="91">
        <v>0.5</v>
      </c>
      <c r="G27" s="78" t="s">
        <v>881</v>
      </c>
      <c r="H27" s="91">
        <v>1</v>
      </c>
      <c r="I27" s="91"/>
      <c r="J27" s="91"/>
      <c r="K27" s="83">
        <f t="shared" si="0"/>
        <v>1.7</v>
      </c>
      <c r="L27" s="83">
        <f t="shared" si="1"/>
        <v>3.4</v>
      </c>
      <c r="M27" s="83">
        <f t="shared" si="2"/>
        <v>2.7142857142857144</v>
      </c>
      <c r="N27" s="83">
        <f t="shared" si="3"/>
        <v>1.3571428571428572</v>
      </c>
      <c r="O27" s="83">
        <f t="shared" si="4"/>
        <v>7.8571428571428577</v>
      </c>
      <c r="P27" s="83">
        <f t="shared" si="5"/>
        <v>7.8571428571428577</v>
      </c>
      <c r="Q27" s="83" t="str">
        <f t="shared" si="6"/>
        <v/>
      </c>
      <c r="R27" s="83" t="str">
        <f t="shared" si="7"/>
        <v/>
      </c>
      <c r="S27" s="27">
        <f t="shared" si="14"/>
        <v>2</v>
      </c>
      <c r="T27" s="84">
        <f t="shared" si="8"/>
        <v>14.614285714285714</v>
      </c>
      <c r="U27" s="84">
        <f t="shared" si="9"/>
        <v>15.345000000000001</v>
      </c>
      <c r="V27" s="36">
        <f t="shared" si="10"/>
        <v>0.76724999999999999</v>
      </c>
      <c r="W27" s="36">
        <f t="shared" si="11"/>
        <v>0.17499999999999999</v>
      </c>
      <c r="X27" s="141">
        <f t="shared" si="12"/>
        <v>0.8</v>
      </c>
    </row>
    <row r="28" spans="1:24" ht="15">
      <c r="A28" s="91" t="s">
        <v>866</v>
      </c>
      <c r="B28" s="91">
        <v>36</v>
      </c>
      <c r="C28" s="40" t="s">
        <v>424</v>
      </c>
      <c r="D28" s="91">
        <v>3</v>
      </c>
      <c r="E28" s="78" t="s">
        <v>881</v>
      </c>
      <c r="F28" s="91">
        <v>1</v>
      </c>
      <c r="G28" s="91" t="s">
        <v>867</v>
      </c>
      <c r="H28" s="91">
        <v>0.5</v>
      </c>
      <c r="I28" s="91" t="s">
        <v>860</v>
      </c>
      <c r="J28" s="91">
        <v>0.6</v>
      </c>
      <c r="K28" s="83">
        <f t="shared" si="0"/>
        <v>1.7</v>
      </c>
      <c r="L28" s="83">
        <f t="shared" si="1"/>
        <v>5.0999999999999996</v>
      </c>
      <c r="M28" s="83">
        <f t="shared" si="2"/>
        <v>7.8571428571428577</v>
      </c>
      <c r="N28" s="83">
        <f t="shared" si="3"/>
        <v>7.8571428571428577</v>
      </c>
      <c r="O28" s="83" t="e">
        <f t="shared" si="4"/>
        <v>#N/A</v>
      </c>
      <c r="P28" s="83" t="str">
        <f t="shared" si="5"/>
        <v/>
      </c>
      <c r="Q28" s="83" t="e">
        <f t="shared" si="6"/>
        <v>#N/A</v>
      </c>
      <c r="R28" s="83" t="str">
        <f t="shared" si="7"/>
        <v/>
      </c>
      <c r="S28" s="27">
        <f t="shared" si="14"/>
        <v>3.6</v>
      </c>
      <c r="T28" s="84">
        <f t="shared" si="8"/>
        <v>16.557142857142857</v>
      </c>
      <c r="U28" s="84">
        <f t="shared" si="9"/>
        <v>17.385000000000002</v>
      </c>
      <c r="V28" s="36">
        <f t="shared" si="10"/>
        <v>0.48291666666666672</v>
      </c>
      <c r="W28" s="36">
        <f t="shared" si="11"/>
        <v>0.14166666666666666</v>
      </c>
      <c r="X28" s="141">
        <f t="shared" si="12"/>
        <v>0.5</v>
      </c>
    </row>
    <row r="29" spans="1:24">
      <c r="A29" s="91" t="s">
        <v>868</v>
      </c>
      <c r="B29" s="91">
        <v>30</v>
      </c>
      <c r="C29" s="40" t="s">
        <v>424</v>
      </c>
      <c r="D29" s="91">
        <v>3</v>
      </c>
      <c r="E29" s="49" t="s">
        <v>190</v>
      </c>
      <c r="F29" s="91">
        <v>1.5</v>
      </c>
      <c r="G29" s="91"/>
      <c r="H29" s="91"/>
      <c r="I29" s="91"/>
      <c r="J29" s="91"/>
      <c r="K29" s="83">
        <f t="shared" si="0"/>
        <v>1.7</v>
      </c>
      <c r="L29" s="83">
        <f t="shared" si="1"/>
        <v>5.0999999999999996</v>
      </c>
      <c r="M29" s="83">
        <f t="shared" si="2"/>
        <v>13</v>
      </c>
      <c r="N29" s="83">
        <f t="shared" si="3"/>
        <v>19.5</v>
      </c>
      <c r="O29" s="83" t="str">
        <f t="shared" si="4"/>
        <v/>
      </c>
      <c r="P29" s="83" t="str">
        <f t="shared" si="5"/>
        <v/>
      </c>
      <c r="Q29" s="83" t="str">
        <f t="shared" si="6"/>
        <v/>
      </c>
      <c r="R29" s="83" t="str">
        <f t="shared" si="7"/>
        <v/>
      </c>
      <c r="S29" s="27">
        <f t="shared" si="14"/>
        <v>3</v>
      </c>
      <c r="T29" s="84">
        <f t="shared" si="8"/>
        <v>27.6</v>
      </c>
      <c r="U29" s="84">
        <f t="shared" si="9"/>
        <v>28.980000000000004</v>
      </c>
      <c r="V29" s="36">
        <f t="shared" si="10"/>
        <v>0.96600000000000008</v>
      </c>
      <c r="W29" s="36">
        <f t="shared" si="11"/>
        <v>0.15000000000000002</v>
      </c>
      <c r="X29" s="141">
        <f t="shared" si="12"/>
        <v>1.1000000000000001</v>
      </c>
    </row>
    <row r="30" spans="1:24">
      <c r="A30" s="91" t="s">
        <v>869</v>
      </c>
      <c r="B30" s="91">
        <v>1</v>
      </c>
      <c r="C30" s="15" t="s">
        <v>3158</v>
      </c>
      <c r="D30" s="91">
        <v>1</v>
      </c>
      <c r="E30" s="91"/>
      <c r="F30" s="91"/>
      <c r="G30" s="91"/>
      <c r="H30" s="91"/>
      <c r="I30" s="91"/>
      <c r="J30" s="91"/>
      <c r="K30" s="83">
        <f t="shared" si="0"/>
        <v>1.8</v>
      </c>
      <c r="L30" s="83">
        <f t="shared" si="1"/>
        <v>1.8</v>
      </c>
      <c r="M30" s="83" t="str">
        <f t="shared" si="2"/>
        <v/>
      </c>
      <c r="N30" s="83" t="str">
        <f t="shared" si="3"/>
        <v/>
      </c>
      <c r="O30" s="83" t="str">
        <f t="shared" si="4"/>
        <v/>
      </c>
      <c r="P30" s="83" t="str">
        <f t="shared" si="5"/>
        <v/>
      </c>
      <c r="Q30" s="83" t="str">
        <f t="shared" si="6"/>
        <v/>
      </c>
      <c r="R30" s="83" t="str">
        <f t="shared" si="7"/>
        <v/>
      </c>
      <c r="S30" s="27">
        <f>B30*0.001</f>
        <v>1E-3</v>
      </c>
      <c r="T30" s="84">
        <f t="shared" si="8"/>
        <v>1.8009999999999999</v>
      </c>
      <c r="U30" s="84">
        <f t="shared" si="9"/>
        <v>1.8910500000000001</v>
      </c>
      <c r="V30" s="36">
        <f t="shared" si="10"/>
        <v>1.8910500000000001</v>
      </c>
      <c r="W30" s="36">
        <f t="shared" si="11"/>
        <v>1</v>
      </c>
      <c r="X30" s="141">
        <f t="shared" si="12"/>
        <v>2.1</v>
      </c>
    </row>
    <row r="31" spans="1:24">
      <c r="A31" s="91" t="s">
        <v>870</v>
      </c>
      <c r="B31" s="91">
        <v>40</v>
      </c>
      <c r="C31" s="40" t="s">
        <v>424</v>
      </c>
      <c r="D31" s="91">
        <v>2</v>
      </c>
      <c r="E31" s="49" t="s">
        <v>190</v>
      </c>
      <c r="F31" s="91">
        <v>1.5</v>
      </c>
      <c r="G31" s="91" t="s">
        <v>124</v>
      </c>
      <c r="H31" s="91">
        <v>1.5</v>
      </c>
      <c r="I31" s="91"/>
      <c r="J31" s="91"/>
      <c r="K31" s="83">
        <f t="shared" si="0"/>
        <v>1.7</v>
      </c>
      <c r="L31" s="83">
        <f t="shared" si="1"/>
        <v>3.4</v>
      </c>
      <c r="M31" s="83">
        <f t="shared" si="2"/>
        <v>13</v>
      </c>
      <c r="N31" s="83">
        <f t="shared" si="3"/>
        <v>19.5</v>
      </c>
      <c r="O31" s="83">
        <f t="shared" si="4"/>
        <v>3.4117647058823528</v>
      </c>
      <c r="P31" s="83">
        <f t="shared" si="5"/>
        <v>5.117647058823529</v>
      </c>
      <c r="Q31" s="83" t="str">
        <f t="shared" si="6"/>
        <v/>
      </c>
      <c r="R31" s="83" t="str">
        <f t="shared" si="7"/>
        <v/>
      </c>
      <c r="S31" s="27">
        <f t="shared" ref="S31:S41" si="15">B31*0.1</f>
        <v>4</v>
      </c>
      <c r="T31" s="84">
        <f t="shared" si="8"/>
        <v>32.017647058823528</v>
      </c>
      <c r="U31" s="84">
        <f t="shared" si="9"/>
        <v>33.618529411764705</v>
      </c>
      <c r="V31" s="36">
        <f t="shared" si="10"/>
        <v>0.84046323529411759</v>
      </c>
      <c r="W31" s="36">
        <f t="shared" si="11"/>
        <v>0.125</v>
      </c>
      <c r="X31" s="141">
        <f t="shared" si="12"/>
        <v>0.9</v>
      </c>
    </row>
    <row r="32" spans="1:24" ht="28.5">
      <c r="A32" s="91" t="s">
        <v>871</v>
      </c>
      <c r="B32" s="91">
        <v>50</v>
      </c>
      <c r="C32" s="40" t="s">
        <v>424</v>
      </c>
      <c r="D32" s="91">
        <v>3</v>
      </c>
      <c r="E32" s="91" t="s">
        <v>872</v>
      </c>
      <c r="F32" s="91" t="s">
        <v>873</v>
      </c>
      <c r="G32" s="91" t="s">
        <v>874</v>
      </c>
      <c r="H32" s="91" t="s">
        <v>875</v>
      </c>
      <c r="I32" s="91" t="s">
        <v>876</v>
      </c>
      <c r="J32" s="91"/>
      <c r="K32" s="83">
        <f t="shared" si="0"/>
        <v>1.7</v>
      </c>
      <c r="L32" s="83">
        <f t="shared" si="1"/>
        <v>5.0999999999999996</v>
      </c>
      <c r="M32" s="83" t="e">
        <f t="shared" si="2"/>
        <v>#N/A</v>
      </c>
      <c r="N32" s="83" t="str">
        <f t="shared" si="3"/>
        <v/>
      </c>
      <c r="O32" s="83" t="e">
        <f t="shared" si="4"/>
        <v>#N/A</v>
      </c>
      <c r="P32" s="83" t="str">
        <f t="shared" si="5"/>
        <v/>
      </c>
      <c r="Q32" s="83" t="e">
        <f t="shared" si="6"/>
        <v>#N/A</v>
      </c>
      <c r="R32" s="83" t="str">
        <f t="shared" si="7"/>
        <v/>
      </c>
      <c r="S32" s="27">
        <f t="shared" si="15"/>
        <v>5</v>
      </c>
      <c r="T32" s="84">
        <f t="shared" si="8"/>
        <v>10.1</v>
      </c>
      <c r="U32" s="84">
        <f t="shared" si="9"/>
        <v>10.605</v>
      </c>
      <c r="V32" s="36">
        <f t="shared" si="10"/>
        <v>0.21210000000000001</v>
      </c>
      <c r="W32" s="36" t="e">
        <f t="shared" si="11"/>
        <v>#VALUE!</v>
      </c>
      <c r="X32" s="141">
        <f t="shared" si="12"/>
        <v>0.2</v>
      </c>
    </row>
    <row r="33" spans="1:24" ht="15">
      <c r="A33" s="91" t="s">
        <v>877</v>
      </c>
      <c r="B33" s="91">
        <v>80</v>
      </c>
      <c r="C33" s="40" t="s">
        <v>424</v>
      </c>
      <c r="D33" s="91">
        <v>1</v>
      </c>
      <c r="E33" s="78" t="s">
        <v>881</v>
      </c>
      <c r="F33" s="91">
        <v>0.2</v>
      </c>
      <c r="G33" s="50" t="s">
        <v>884</v>
      </c>
      <c r="H33" s="91">
        <v>0.03</v>
      </c>
      <c r="I33" s="91" t="s">
        <v>7</v>
      </c>
      <c r="J33" s="91">
        <v>2</v>
      </c>
      <c r="K33" s="83">
        <f t="shared" si="0"/>
        <v>1.7</v>
      </c>
      <c r="L33" s="83">
        <f t="shared" si="1"/>
        <v>1.7</v>
      </c>
      <c r="M33" s="83">
        <f t="shared" si="2"/>
        <v>7.8571428571428577</v>
      </c>
      <c r="N33" s="83">
        <f t="shared" si="3"/>
        <v>1.5714285714285716</v>
      </c>
      <c r="O33" s="83">
        <f t="shared" si="4"/>
        <v>340</v>
      </c>
      <c r="P33" s="83">
        <f t="shared" si="5"/>
        <v>10.199999999999999</v>
      </c>
      <c r="Q33" s="83" t="e">
        <f t="shared" si="6"/>
        <v>#N/A</v>
      </c>
      <c r="R33" s="83" t="str">
        <f t="shared" si="7"/>
        <v/>
      </c>
      <c r="S33" s="27">
        <f t="shared" si="15"/>
        <v>8</v>
      </c>
      <c r="T33" s="84">
        <f t="shared" si="8"/>
        <v>21.471428571428572</v>
      </c>
      <c r="U33" s="84">
        <f t="shared" si="9"/>
        <v>22.545000000000002</v>
      </c>
      <c r="V33" s="36">
        <f t="shared" si="10"/>
        <v>0.28181250000000002</v>
      </c>
      <c r="W33" s="36">
        <f t="shared" si="11"/>
        <v>4.0375000000000001E-2</v>
      </c>
      <c r="X33" s="141">
        <f t="shared" si="12"/>
        <v>0.3</v>
      </c>
    </row>
    <row r="34" spans="1:24">
      <c r="A34" s="91" t="s">
        <v>878</v>
      </c>
      <c r="B34" s="89">
        <v>40</v>
      </c>
      <c r="C34" s="18" t="s">
        <v>946</v>
      </c>
      <c r="D34" s="89">
        <v>4</v>
      </c>
      <c r="E34" s="18" t="s">
        <v>947</v>
      </c>
      <c r="F34" s="89">
        <v>2</v>
      </c>
      <c r="G34" s="18" t="s">
        <v>948</v>
      </c>
      <c r="H34" s="89">
        <v>3</v>
      </c>
      <c r="I34" s="91"/>
      <c r="J34" s="91"/>
      <c r="K34" s="83">
        <f t="shared" ref="K34:K61" si="16">IF(C34="","",VLOOKUP(C34,成本单价,8,0))</f>
        <v>2.27</v>
      </c>
      <c r="L34" s="83">
        <f t="shared" ref="L34:L61" si="17">IFERROR(D34*K34,"")</f>
        <v>9.08</v>
      </c>
      <c r="M34" s="83">
        <f t="shared" ref="M34:M61" si="18">IF(E34="","",VLOOKUP(E34,成本单价,8,0))</f>
        <v>4</v>
      </c>
      <c r="N34" s="83">
        <f t="shared" ref="N34:N61" si="19">IFERROR(F34*M34,"")</f>
        <v>8</v>
      </c>
      <c r="O34" s="83">
        <f t="shared" ref="O34:O61" si="20">IF(G34="","",VLOOKUP(G34,成本单价,8,0))</f>
        <v>3.0588235294117649</v>
      </c>
      <c r="P34" s="83">
        <f t="shared" ref="P34:P61" si="21">IFERROR(H34*O34,"")</f>
        <v>9.1764705882352953</v>
      </c>
      <c r="Q34" s="83" t="str">
        <f t="shared" ref="Q34:Q61" si="22">IF(I34="","",VLOOKUP(I34,成本单价,8,0))</f>
        <v/>
      </c>
      <c r="R34" s="83" t="str">
        <f t="shared" ref="R34:R61" si="23">IFERROR(J34*Q34,"")</f>
        <v/>
      </c>
      <c r="S34" s="27">
        <f t="shared" si="15"/>
        <v>4</v>
      </c>
      <c r="T34" s="84">
        <f t="shared" ref="T34:T61" si="24">IFERROR(SUM(L34,N34,P34,R34,S34),"")</f>
        <v>30.256470588235295</v>
      </c>
      <c r="U34" s="84">
        <f t="shared" ref="U34:U61" si="25">T34*(1+物料比)</f>
        <v>31.76929411764706</v>
      </c>
      <c r="V34" s="36">
        <f t="shared" ref="V34:V61" si="26">U34/B34</f>
        <v>0.79423235294117656</v>
      </c>
      <c r="W34" s="36">
        <f t="shared" ref="W34:W61" si="27">D34/B34+F34/B34+H34/B34+J34/B34</f>
        <v>0.22500000000000003</v>
      </c>
      <c r="X34" s="141">
        <f t="shared" si="12"/>
        <v>0.9</v>
      </c>
    </row>
    <row r="35" spans="1:24">
      <c r="A35" s="91" t="s">
        <v>879</v>
      </c>
      <c r="B35" s="89">
        <v>40</v>
      </c>
      <c r="C35" s="18" t="s">
        <v>1313</v>
      </c>
      <c r="D35" s="89">
        <v>2</v>
      </c>
      <c r="E35" s="18" t="s">
        <v>947</v>
      </c>
      <c r="F35" s="89">
        <v>1</v>
      </c>
      <c r="G35" s="18" t="s">
        <v>946</v>
      </c>
      <c r="H35" s="89">
        <v>2</v>
      </c>
      <c r="I35" s="91"/>
      <c r="J35" s="91"/>
      <c r="K35" s="83">
        <f t="shared" si="16"/>
        <v>2.27</v>
      </c>
      <c r="L35" s="83">
        <f t="shared" si="17"/>
        <v>4.54</v>
      </c>
      <c r="M35" s="83">
        <f t="shared" si="18"/>
        <v>4</v>
      </c>
      <c r="N35" s="83">
        <f t="shared" si="19"/>
        <v>4</v>
      </c>
      <c r="O35" s="83">
        <f t="shared" si="20"/>
        <v>2.27</v>
      </c>
      <c r="P35" s="83">
        <f t="shared" si="21"/>
        <v>4.54</v>
      </c>
      <c r="Q35" s="83" t="str">
        <f t="shared" si="22"/>
        <v/>
      </c>
      <c r="R35" s="83" t="str">
        <f t="shared" si="23"/>
        <v/>
      </c>
      <c r="S35" s="27">
        <f t="shared" si="15"/>
        <v>4</v>
      </c>
      <c r="T35" s="84">
        <f t="shared" si="24"/>
        <v>17.079999999999998</v>
      </c>
      <c r="U35" s="84">
        <f t="shared" si="25"/>
        <v>17.933999999999997</v>
      </c>
      <c r="V35" s="36">
        <f t="shared" si="26"/>
        <v>0.44834999999999992</v>
      </c>
      <c r="W35" s="36">
        <f t="shared" si="27"/>
        <v>0.125</v>
      </c>
      <c r="X35" s="141">
        <f t="shared" si="12"/>
        <v>0.5</v>
      </c>
    </row>
    <row r="36" spans="1:24">
      <c r="A36" s="91" t="s">
        <v>880</v>
      </c>
      <c r="B36" s="91">
        <v>50</v>
      </c>
      <c r="C36" s="40" t="s">
        <v>424</v>
      </c>
      <c r="D36" s="91">
        <v>5</v>
      </c>
      <c r="E36" s="91" t="s">
        <v>319</v>
      </c>
      <c r="F36" s="91">
        <v>3</v>
      </c>
      <c r="G36" s="91" t="s">
        <v>129</v>
      </c>
      <c r="H36" s="91">
        <v>3</v>
      </c>
      <c r="I36" s="91"/>
      <c r="J36" s="91"/>
      <c r="K36" s="83">
        <f t="shared" si="16"/>
        <v>1.7</v>
      </c>
      <c r="L36" s="83">
        <f t="shared" si="17"/>
        <v>8.5</v>
      </c>
      <c r="M36" s="83">
        <f t="shared" si="18"/>
        <v>3.5714285714285716</v>
      </c>
      <c r="N36" s="83">
        <f t="shared" si="19"/>
        <v>10.714285714285715</v>
      </c>
      <c r="O36" s="83">
        <f t="shared" si="20"/>
        <v>1</v>
      </c>
      <c r="P36" s="83">
        <f t="shared" si="21"/>
        <v>3</v>
      </c>
      <c r="Q36" s="83" t="str">
        <f t="shared" si="22"/>
        <v/>
      </c>
      <c r="R36" s="83" t="str">
        <f t="shared" si="23"/>
        <v/>
      </c>
      <c r="S36" s="27">
        <f t="shared" si="15"/>
        <v>5</v>
      </c>
      <c r="T36" s="84">
        <f t="shared" si="24"/>
        <v>27.214285714285715</v>
      </c>
      <c r="U36" s="84">
        <f t="shared" si="25"/>
        <v>28.575000000000003</v>
      </c>
      <c r="V36" s="36">
        <f t="shared" si="26"/>
        <v>0.57150000000000001</v>
      </c>
      <c r="W36" s="36">
        <f t="shared" si="27"/>
        <v>0.22</v>
      </c>
      <c r="X36" s="141">
        <f t="shared" si="12"/>
        <v>0.6</v>
      </c>
    </row>
    <row r="37" spans="1:24">
      <c r="A37" s="89" t="s">
        <v>928</v>
      </c>
      <c r="B37" s="27"/>
      <c r="C37" s="27"/>
      <c r="D37" s="27"/>
      <c r="E37" s="27"/>
      <c r="F37" s="27"/>
      <c r="G37" s="27"/>
      <c r="H37" s="27"/>
      <c r="I37" s="27"/>
      <c r="J37" s="27"/>
      <c r="K37" s="83" t="str">
        <f t="shared" si="16"/>
        <v/>
      </c>
      <c r="L37" s="83" t="str">
        <f t="shared" si="17"/>
        <v/>
      </c>
      <c r="M37" s="83" t="str">
        <f t="shared" si="18"/>
        <v/>
      </c>
      <c r="N37" s="83" t="str">
        <f t="shared" si="19"/>
        <v/>
      </c>
      <c r="O37" s="83" t="str">
        <f t="shared" si="20"/>
        <v/>
      </c>
      <c r="P37" s="83" t="str">
        <f t="shared" si="21"/>
        <v/>
      </c>
      <c r="Q37" s="83" t="str">
        <f t="shared" si="22"/>
        <v/>
      </c>
      <c r="R37" s="83" t="str">
        <f t="shared" si="23"/>
        <v/>
      </c>
      <c r="S37" s="27">
        <f t="shared" si="15"/>
        <v>0</v>
      </c>
      <c r="T37" s="84">
        <f t="shared" si="24"/>
        <v>0</v>
      </c>
      <c r="U37" s="84">
        <f t="shared" si="25"/>
        <v>0</v>
      </c>
      <c r="V37" s="36" t="e">
        <f t="shared" si="26"/>
        <v>#DIV/0!</v>
      </c>
      <c r="W37" s="36" t="e">
        <f t="shared" si="27"/>
        <v>#DIV/0!</v>
      </c>
      <c r="X37" s="141">
        <v>0.3</v>
      </c>
    </row>
    <row r="38" spans="1:24" ht="15" thickBot="1">
      <c r="A38" s="89" t="s">
        <v>929</v>
      </c>
      <c r="B38" s="27"/>
      <c r="C38" s="27"/>
      <c r="D38" s="27"/>
      <c r="E38" s="27"/>
      <c r="F38" s="27"/>
      <c r="G38" s="27"/>
      <c r="H38" s="27"/>
      <c r="I38" s="27"/>
      <c r="J38" s="27"/>
      <c r="K38" s="83" t="str">
        <f t="shared" si="16"/>
        <v/>
      </c>
      <c r="L38" s="83" t="str">
        <f t="shared" si="17"/>
        <v/>
      </c>
      <c r="M38" s="83" t="str">
        <f t="shared" si="18"/>
        <v/>
      </c>
      <c r="N38" s="83" t="str">
        <f t="shared" si="19"/>
        <v/>
      </c>
      <c r="O38" s="83" t="str">
        <f t="shared" si="20"/>
        <v/>
      </c>
      <c r="P38" s="83" t="str">
        <f t="shared" si="21"/>
        <v/>
      </c>
      <c r="Q38" s="83" t="str">
        <f t="shared" si="22"/>
        <v/>
      </c>
      <c r="R38" s="83" t="str">
        <f t="shared" si="23"/>
        <v/>
      </c>
      <c r="S38" s="27">
        <f t="shared" si="15"/>
        <v>0</v>
      </c>
      <c r="T38" s="84">
        <f t="shared" si="24"/>
        <v>0</v>
      </c>
      <c r="U38" s="84">
        <f t="shared" si="25"/>
        <v>0</v>
      </c>
      <c r="V38" s="36" t="e">
        <f t="shared" si="26"/>
        <v>#DIV/0!</v>
      </c>
      <c r="W38" s="36" t="e">
        <f t="shared" si="27"/>
        <v>#DIV/0!</v>
      </c>
      <c r="X38" s="141">
        <v>0.4</v>
      </c>
    </row>
    <row r="39" spans="1:24">
      <c r="A39" s="95" t="s">
        <v>930</v>
      </c>
      <c r="B39" s="27"/>
      <c r="C39" s="27"/>
      <c r="D39" s="27"/>
      <c r="E39" s="27"/>
      <c r="F39" s="27"/>
      <c r="G39" s="27"/>
      <c r="H39" s="27"/>
      <c r="I39" s="27"/>
      <c r="J39" s="27"/>
      <c r="K39" s="83" t="str">
        <f t="shared" si="16"/>
        <v/>
      </c>
      <c r="L39" s="83" t="str">
        <f t="shared" si="17"/>
        <v/>
      </c>
      <c r="M39" s="83" t="str">
        <f t="shared" si="18"/>
        <v/>
      </c>
      <c r="N39" s="83" t="str">
        <f t="shared" si="19"/>
        <v/>
      </c>
      <c r="O39" s="83" t="str">
        <f t="shared" si="20"/>
        <v/>
      </c>
      <c r="P39" s="83" t="str">
        <f t="shared" si="21"/>
        <v/>
      </c>
      <c r="Q39" s="83" t="str">
        <f t="shared" si="22"/>
        <v/>
      </c>
      <c r="R39" s="83" t="str">
        <f t="shared" si="23"/>
        <v/>
      </c>
      <c r="S39" s="27">
        <f t="shared" si="15"/>
        <v>0</v>
      </c>
      <c r="T39" s="84">
        <f t="shared" si="24"/>
        <v>0</v>
      </c>
      <c r="U39" s="84">
        <f t="shared" si="25"/>
        <v>0</v>
      </c>
      <c r="V39" s="36" t="e">
        <f t="shared" si="26"/>
        <v>#DIV/0!</v>
      </c>
      <c r="W39" s="36" t="e">
        <f t="shared" si="27"/>
        <v>#DIV/0!</v>
      </c>
      <c r="X39" s="141">
        <v>0.4</v>
      </c>
    </row>
    <row r="40" spans="1:24">
      <c r="A40" s="89" t="s">
        <v>931</v>
      </c>
      <c r="B40" s="27"/>
      <c r="C40" s="27"/>
      <c r="D40" s="27"/>
      <c r="E40" s="27"/>
      <c r="F40" s="27"/>
      <c r="G40" s="27"/>
      <c r="H40" s="27"/>
      <c r="I40" s="27"/>
      <c r="J40" s="27"/>
      <c r="K40" s="83" t="str">
        <f t="shared" si="16"/>
        <v/>
      </c>
      <c r="L40" s="83" t="str">
        <f t="shared" si="17"/>
        <v/>
      </c>
      <c r="M40" s="83" t="str">
        <f t="shared" si="18"/>
        <v/>
      </c>
      <c r="N40" s="83" t="str">
        <f t="shared" si="19"/>
        <v/>
      </c>
      <c r="O40" s="83" t="str">
        <f t="shared" si="20"/>
        <v/>
      </c>
      <c r="P40" s="83" t="str">
        <f t="shared" si="21"/>
        <v/>
      </c>
      <c r="Q40" s="83" t="str">
        <f t="shared" si="22"/>
        <v/>
      </c>
      <c r="R40" s="83" t="str">
        <f t="shared" si="23"/>
        <v/>
      </c>
      <c r="S40" s="27">
        <f t="shared" si="15"/>
        <v>0</v>
      </c>
      <c r="T40" s="84">
        <f t="shared" si="24"/>
        <v>0</v>
      </c>
      <c r="U40" s="84">
        <f t="shared" si="25"/>
        <v>0</v>
      </c>
      <c r="V40" s="36" t="e">
        <f t="shared" si="26"/>
        <v>#DIV/0!</v>
      </c>
      <c r="W40" s="36" t="e">
        <f t="shared" si="27"/>
        <v>#DIV/0!</v>
      </c>
      <c r="X40" s="141">
        <v>0.35</v>
      </c>
    </row>
    <row r="41" spans="1:24" ht="15">
      <c r="A41" s="92" t="s">
        <v>924</v>
      </c>
      <c r="B41" s="92">
        <v>150</v>
      </c>
      <c r="C41" s="78" t="s">
        <v>927</v>
      </c>
      <c r="D41" s="92">
        <v>2</v>
      </c>
      <c r="E41" s="92" t="s">
        <v>319</v>
      </c>
      <c r="F41" s="92">
        <v>4</v>
      </c>
      <c r="G41" s="92"/>
      <c r="H41" s="92"/>
      <c r="I41" s="92"/>
      <c r="J41" s="92"/>
      <c r="K41" s="83">
        <f t="shared" si="16"/>
        <v>5.4285714285714288</v>
      </c>
      <c r="L41" s="83">
        <f t="shared" si="17"/>
        <v>10.857142857142858</v>
      </c>
      <c r="M41" s="83">
        <f t="shared" si="18"/>
        <v>3.5714285714285716</v>
      </c>
      <c r="N41" s="83">
        <f t="shared" si="19"/>
        <v>14.285714285714286</v>
      </c>
      <c r="O41" s="83" t="str">
        <f t="shared" si="20"/>
        <v/>
      </c>
      <c r="P41" s="83" t="str">
        <f t="shared" si="21"/>
        <v/>
      </c>
      <c r="Q41" s="83" t="str">
        <f t="shared" si="22"/>
        <v/>
      </c>
      <c r="R41" s="83" t="str">
        <f t="shared" si="23"/>
        <v/>
      </c>
      <c r="S41" s="27">
        <f t="shared" si="15"/>
        <v>15</v>
      </c>
      <c r="T41" s="84">
        <f t="shared" si="24"/>
        <v>40.142857142857146</v>
      </c>
      <c r="U41" s="84">
        <f t="shared" si="25"/>
        <v>42.150000000000006</v>
      </c>
      <c r="V41" s="36">
        <f t="shared" si="26"/>
        <v>0.28100000000000003</v>
      </c>
      <c r="W41" s="36">
        <f t="shared" si="27"/>
        <v>0.04</v>
      </c>
      <c r="X41" s="141">
        <f>ROUND(V41*(1+大灶毛利),1)</f>
        <v>0.3</v>
      </c>
    </row>
    <row r="42" spans="1:24">
      <c r="A42" s="92" t="s">
        <v>925</v>
      </c>
      <c r="B42" s="92">
        <v>50</v>
      </c>
      <c r="C42" s="92" t="s">
        <v>926</v>
      </c>
      <c r="D42" s="92">
        <v>5</v>
      </c>
      <c r="E42" s="92"/>
      <c r="F42" s="92"/>
      <c r="G42" s="92"/>
      <c r="H42" s="92"/>
      <c r="I42" s="92"/>
      <c r="J42" s="92"/>
      <c r="K42" s="83">
        <f t="shared" si="16"/>
        <v>1.93</v>
      </c>
      <c r="L42" s="83">
        <f t="shared" si="17"/>
        <v>9.65</v>
      </c>
      <c r="M42" s="83" t="str">
        <f t="shared" si="18"/>
        <v/>
      </c>
      <c r="N42" s="83" t="str">
        <f t="shared" si="19"/>
        <v/>
      </c>
      <c r="O42" s="83" t="str">
        <f t="shared" si="20"/>
        <v/>
      </c>
      <c r="P42" s="83" t="str">
        <f t="shared" si="21"/>
        <v/>
      </c>
      <c r="Q42" s="83" t="str">
        <f t="shared" si="22"/>
        <v/>
      </c>
      <c r="R42" s="83" t="str">
        <f t="shared" si="23"/>
        <v/>
      </c>
      <c r="S42" s="27">
        <f>B42*0.2</f>
        <v>10</v>
      </c>
      <c r="T42" s="84">
        <f t="shared" si="24"/>
        <v>19.649999999999999</v>
      </c>
      <c r="U42" s="84">
        <f t="shared" si="25"/>
        <v>20.6325</v>
      </c>
      <c r="V42" s="36">
        <f t="shared" si="26"/>
        <v>0.41265000000000002</v>
      </c>
      <c r="W42" s="36">
        <f t="shared" si="27"/>
        <v>0.1</v>
      </c>
      <c r="X42" s="141">
        <f>ROUND(V42*(1+大灶毛利),1)</f>
        <v>0.5</v>
      </c>
    </row>
    <row r="43" spans="1:24">
      <c r="A43" s="89" t="s">
        <v>932</v>
      </c>
      <c r="B43" s="27"/>
      <c r="C43" s="27"/>
      <c r="D43" s="27"/>
      <c r="E43" s="27"/>
      <c r="F43" s="27"/>
      <c r="G43" s="27"/>
      <c r="H43" s="27"/>
      <c r="I43" s="27"/>
      <c r="J43" s="27"/>
      <c r="K43" s="83" t="str">
        <f t="shared" si="16"/>
        <v/>
      </c>
      <c r="L43" s="83" t="str">
        <f t="shared" si="17"/>
        <v/>
      </c>
      <c r="M43" s="83" t="str">
        <f t="shared" si="18"/>
        <v/>
      </c>
      <c r="N43" s="83" t="str">
        <f t="shared" si="19"/>
        <v/>
      </c>
      <c r="O43" s="83" t="str">
        <f t="shared" si="20"/>
        <v/>
      </c>
      <c r="P43" s="83" t="str">
        <f t="shared" si="21"/>
        <v/>
      </c>
      <c r="Q43" s="83" t="str">
        <f t="shared" si="22"/>
        <v/>
      </c>
      <c r="R43" s="83" t="str">
        <f t="shared" si="23"/>
        <v/>
      </c>
      <c r="S43" s="27">
        <f t="shared" ref="S43:S49" si="28">B43*0.1</f>
        <v>0</v>
      </c>
      <c r="T43" s="84">
        <f t="shared" si="24"/>
        <v>0</v>
      </c>
      <c r="U43" s="84">
        <f t="shared" si="25"/>
        <v>0</v>
      </c>
      <c r="V43" s="36" t="e">
        <f t="shared" si="26"/>
        <v>#DIV/0!</v>
      </c>
      <c r="W43" s="36" t="e">
        <f t="shared" si="27"/>
        <v>#DIV/0!</v>
      </c>
      <c r="X43" s="141">
        <v>0.4</v>
      </c>
    </row>
    <row r="44" spans="1:24">
      <c r="A44" s="89" t="s">
        <v>933</v>
      </c>
      <c r="B44" s="27">
        <v>20</v>
      </c>
      <c r="C44" s="27" t="s">
        <v>980</v>
      </c>
      <c r="D44" s="27">
        <v>1</v>
      </c>
      <c r="E44" s="27" t="s">
        <v>981</v>
      </c>
      <c r="F44" s="27">
        <v>1</v>
      </c>
      <c r="G44" s="27"/>
      <c r="H44" s="27"/>
      <c r="I44" s="27"/>
      <c r="J44" s="27"/>
      <c r="K44" s="83">
        <f t="shared" si="16"/>
        <v>3.84</v>
      </c>
      <c r="L44" s="83">
        <f t="shared" si="17"/>
        <v>3.84</v>
      </c>
      <c r="M44" s="83">
        <f t="shared" si="18"/>
        <v>1.7</v>
      </c>
      <c r="N44" s="83">
        <f t="shared" si="19"/>
        <v>1.7</v>
      </c>
      <c r="O44" s="83" t="str">
        <f t="shared" si="20"/>
        <v/>
      </c>
      <c r="P44" s="83" t="str">
        <f t="shared" si="21"/>
        <v/>
      </c>
      <c r="Q44" s="83" t="str">
        <f t="shared" si="22"/>
        <v/>
      </c>
      <c r="R44" s="83" t="str">
        <f t="shared" si="23"/>
        <v/>
      </c>
      <c r="S44" s="27">
        <f t="shared" si="28"/>
        <v>2</v>
      </c>
      <c r="T44" s="84">
        <f t="shared" si="24"/>
        <v>7.54</v>
      </c>
      <c r="U44" s="84">
        <f t="shared" si="25"/>
        <v>7.9170000000000007</v>
      </c>
      <c r="V44" s="36">
        <f t="shared" si="26"/>
        <v>0.39585000000000004</v>
      </c>
      <c r="W44" s="36">
        <f t="shared" si="27"/>
        <v>0.1</v>
      </c>
      <c r="X44" s="141">
        <f>ROUND(V44*(1+大灶毛利),1)</f>
        <v>0.4</v>
      </c>
    </row>
    <row r="45" spans="1:24">
      <c r="A45" s="102" t="s">
        <v>974</v>
      </c>
      <c r="B45" s="27">
        <v>20</v>
      </c>
      <c r="C45" s="27" t="s">
        <v>1027</v>
      </c>
      <c r="D45" s="27">
        <v>1.2</v>
      </c>
      <c r="E45" s="27" t="s">
        <v>423</v>
      </c>
      <c r="F45" s="27">
        <v>1.5</v>
      </c>
      <c r="G45" s="27"/>
      <c r="H45" s="27"/>
      <c r="I45" s="27"/>
      <c r="J45" s="27"/>
      <c r="K45" s="83">
        <f t="shared" si="16"/>
        <v>1.93</v>
      </c>
      <c r="L45" s="83">
        <f t="shared" si="17"/>
        <v>2.3159999999999998</v>
      </c>
      <c r="M45" s="83">
        <f t="shared" si="18"/>
        <v>1.7</v>
      </c>
      <c r="N45" s="83">
        <f t="shared" si="19"/>
        <v>2.5499999999999998</v>
      </c>
      <c r="O45" s="83" t="str">
        <f t="shared" si="20"/>
        <v/>
      </c>
      <c r="P45" s="83" t="str">
        <f t="shared" si="21"/>
        <v/>
      </c>
      <c r="Q45" s="83" t="str">
        <f t="shared" si="22"/>
        <v/>
      </c>
      <c r="R45" s="83" t="str">
        <f t="shared" si="23"/>
        <v/>
      </c>
      <c r="S45" s="27">
        <f t="shared" si="28"/>
        <v>2</v>
      </c>
      <c r="T45" s="84">
        <f t="shared" si="24"/>
        <v>6.8659999999999997</v>
      </c>
      <c r="U45" s="84">
        <f t="shared" si="25"/>
        <v>7.2092999999999998</v>
      </c>
      <c r="V45" s="36">
        <f t="shared" si="26"/>
        <v>0.36046499999999998</v>
      </c>
      <c r="W45" s="36">
        <f t="shared" si="27"/>
        <v>0.13500000000000001</v>
      </c>
      <c r="X45" s="141">
        <f>ROUND(V45*(1+大灶毛利),1)</f>
        <v>0.4</v>
      </c>
    </row>
    <row r="46" spans="1:24">
      <c r="A46" s="89" t="s">
        <v>934</v>
      </c>
      <c r="B46" s="27"/>
      <c r="C46" s="27"/>
      <c r="D46" s="27"/>
      <c r="E46" s="27"/>
      <c r="F46" s="27"/>
      <c r="G46" s="27"/>
      <c r="H46" s="27"/>
      <c r="I46" s="27"/>
      <c r="J46" s="27"/>
      <c r="K46" s="83" t="str">
        <f t="shared" si="16"/>
        <v/>
      </c>
      <c r="L46" s="83" t="str">
        <f t="shared" si="17"/>
        <v/>
      </c>
      <c r="M46" s="83" t="str">
        <f t="shared" si="18"/>
        <v/>
      </c>
      <c r="N46" s="83" t="str">
        <f t="shared" si="19"/>
        <v/>
      </c>
      <c r="O46" s="83" t="str">
        <f t="shared" si="20"/>
        <v/>
      </c>
      <c r="P46" s="83" t="str">
        <f t="shared" si="21"/>
        <v/>
      </c>
      <c r="Q46" s="83" t="str">
        <f t="shared" si="22"/>
        <v/>
      </c>
      <c r="R46" s="83" t="str">
        <f t="shared" si="23"/>
        <v/>
      </c>
      <c r="S46" s="27">
        <f t="shared" si="28"/>
        <v>0</v>
      </c>
      <c r="T46" s="84">
        <f t="shared" si="24"/>
        <v>0</v>
      </c>
      <c r="U46" s="84">
        <f t="shared" si="25"/>
        <v>0</v>
      </c>
      <c r="V46" s="36" t="e">
        <f t="shared" si="26"/>
        <v>#DIV/0!</v>
      </c>
      <c r="W46" s="36" t="e">
        <f t="shared" si="27"/>
        <v>#DIV/0!</v>
      </c>
      <c r="X46" s="141">
        <v>0.4</v>
      </c>
    </row>
    <row r="47" spans="1:24">
      <c r="A47" s="125" t="s">
        <v>982</v>
      </c>
      <c r="B47" s="27"/>
      <c r="C47" s="27"/>
      <c r="D47" s="27"/>
      <c r="E47" s="27"/>
      <c r="F47" s="27"/>
      <c r="G47" s="27"/>
      <c r="H47" s="27"/>
      <c r="I47" s="27"/>
      <c r="J47" s="27"/>
      <c r="K47" s="83" t="str">
        <f t="shared" si="16"/>
        <v/>
      </c>
      <c r="L47" s="83" t="str">
        <f t="shared" si="17"/>
        <v/>
      </c>
      <c r="M47" s="83" t="str">
        <f t="shared" si="18"/>
        <v/>
      </c>
      <c r="N47" s="83" t="str">
        <f t="shared" si="19"/>
        <v/>
      </c>
      <c r="O47" s="83" t="str">
        <f t="shared" si="20"/>
        <v/>
      </c>
      <c r="P47" s="83" t="str">
        <f t="shared" si="21"/>
        <v/>
      </c>
      <c r="Q47" s="83" t="str">
        <f t="shared" si="22"/>
        <v/>
      </c>
      <c r="R47" s="83" t="str">
        <f t="shared" si="23"/>
        <v/>
      </c>
      <c r="S47" s="27">
        <f t="shared" si="28"/>
        <v>0</v>
      </c>
      <c r="T47" s="84">
        <f t="shared" si="24"/>
        <v>0</v>
      </c>
      <c r="U47" s="84">
        <f t="shared" si="25"/>
        <v>0</v>
      </c>
      <c r="V47" s="36" t="e">
        <f t="shared" si="26"/>
        <v>#DIV/0!</v>
      </c>
      <c r="W47" s="36" t="e">
        <f t="shared" si="27"/>
        <v>#DIV/0!</v>
      </c>
      <c r="X47" s="141">
        <v>2</v>
      </c>
    </row>
    <row r="48" spans="1:24">
      <c r="A48" s="125" t="s">
        <v>983</v>
      </c>
      <c r="B48" s="27"/>
      <c r="C48" s="27"/>
      <c r="D48" s="27"/>
      <c r="E48" s="27"/>
      <c r="F48" s="27"/>
      <c r="G48" s="27"/>
      <c r="H48" s="27"/>
      <c r="I48" s="27"/>
      <c r="J48" s="27"/>
      <c r="K48" s="83" t="str">
        <f t="shared" si="16"/>
        <v/>
      </c>
      <c r="L48" s="83" t="str">
        <f t="shared" si="17"/>
        <v/>
      </c>
      <c r="M48" s="83" t="str">
        <f t="shared" si="18"/>
        <v/>
      </c>
      <c r="N48" s="83" t="str">
        <f t="shared" si="19"/>
        <v/>
      </c>
      <c r="O48" s="83" t="str">
        <f t="shared" si="20"/>
        <v/>
      </c>
      <c r="P48" s="83" t="str">
        <f t="shared" si="21"/>
        <v/>
      </c>
      <c r="Q48" s="83" t="str">
        <f t="shared" si="22"/>
        <v/>
      </c>
      <c r="R48" s="83" t="str">
        <f t="shared" si="23"/>
        <v/>
      </c>
      <c r="S48" s="27">
        <f t="shared" si="28"/>
        <v>0</v>
      </c>
      <c r="T48" s="84">
        <f t="shared" si="24"/>
        <v>0</v>
      </c>
      <c r="U48" s="84">
        <f t="shared" si="25"/>
        <v>0</v>
      </c>
      <c r="V48" s="36" t="e">
        <f t="shared" si="26"/>
        <v>#DIV/0!</v>
      </c>
      <c r="W48" s="36" t="e">
        <f t="shared" si="27"/>
        <v>#DIV/0!</v>
      </c>
      <c r="X48" s="141">
        <v>1.6</v>
      </c>
    </row>
    <row r="49" spans="1:24">
      <c r="A49" s="125" t="s">
        <v>984</v>
      </c>
      <c r="B49" s="27"/>
      <c r="C49" s="27"/>
      <c r="D49" s="27"/>
      <c r="E49" s="27"/>
      <c r="F49" s="27"/>
      <c r="G49" s="27"/>
      <c r="H49" s="27"/>
      <c r="I49" s="27"/>
      <c r="J49" s="27"/>
      <c r="K49" s="83" t="str">
        <f t="shared" si="16"/>
        <v/>
      </c>
      <c r="L49" s="83" t="str">
        <f t="shared" si="17"/>
        <v/>
      </c>
      <c r="M49" s="83" t="str">
        <f t="shared" si="18"/>
        <v/>
      </c>
      <c r="N49" s="83" t="str">
        <f t="shared" si="19"/>
        <v/>
      </c>
      <c r="O49" s="83" t="str">
        <f t="shared" si="20"/>
        <v/>
      </c>
      <c r="P49" s="83" t="str">
        <f t="shared" si="21"/>
        <v/>
      </c>
      <c r="Q49" s="83" t="str">
        <f t="shared" si="22"/>
        <v/>
      </c>
      <c r="R49" s="83" t="str">
        <f t="shared" si="23"/>
        <v/>
      </c>
      <c r="S49" s="27">
        <f t="shared" si="28"/>
        <v>0</v>
      </c>
      <c r="T49" s="84">
        <f t="shared" si="24"/>
        <v>0</v>
      </c>
      <c r="U49" s="84">
        <f t="shared" si="25"/>
        <v>0</v>
      </c>
      <c r="V49" s="36" t="e">
        <f t="shared" si="26"/>
        <v>#DIV/0!</v>
      </c>
      <c r="W49" s="36" t="e">
        <f t="shared" si="27"/>
        <v>#DIV/0!</v>
      </c>
      <c r="X49" s="141">
        <v>1.65</v>
      </c>
    </row>
    <row r="50" spans="1:24" ht="16.5">
      <c r="A50" s="26" t="s">
        <v>986</v>
      </c>
      <c r="B50" s="27">
        <v>10</v>
      </c>
      <c r="C50" s="40" t="s">
        <v>424</v>
      </c>
      <c r="D50" s="89">
        <v>1</v>
      </c>
      <c r="E50" s="17" t="s">
        <v>371</v>
      </c>
      <c r="F50" s="89">
        <v>1</v>
      </c>
      <c r="G50" s="18" t="s">
        <v>319</v>
      </c>
      <c r="H50" s="89">
        <v>1.5</v>
      </c>
      <c r="I50" s="27"/>
      <c r="J50" s="27"/>
      <c r="K50" s="83">
        <f t="shared" si="16"/>
        <v>1.7</v>
      </c>
      <c r="L50" s="83">
        <f t="shared" si="17"/>
        <v>1.7</v>
      </c>
      <c r="M50" s="83">
        <f t="shared" si="18"/>
        <v>11.428571428571429</v>
      </c>
      <c r="N50" s="83">
        <f t="shared" si="19"/>
        <v>11.428571428571429</v>
      </c>
      <c r="O50" s="83">
        <f t="shared" si="20"/>
        <v>3.5714285714285716</v>
      </c>
      <c r="P50" s="83">
        <f t="shared" si="21"/>
        <v>5.3571428571428577</v>
      </c>
      <c r="Q50" s="83" t="str">
        <f t="shared" si="22"/>
        <v/>
      </c>
      <c r="R50" s="83" t="str">
        <f t="shared" si="23"/>
        <v/>
      </c>
      <c r="S50" s="27">
        <f>B50*0.2</f>
        <v>2</v>
      </c>
      <c r="T50" s="84">
        <f t="shared" si="24"/>
        <v>20.485714285714288</v>
      </c>
      <c r="U50" s="84">
        <f t="shared" si="25"/>
        <v>21.51</v>
      </c>
      <c r="V50" s="36">
        <f t="shared" si="26"/>
        <v>2.1510000000000002</v>
      </c>
      <c r="W50" s="36">
        <f t="shared" si="27"/>
        <v>0.35</v>
      </c>
      <c r="X50" s="141">
        <f t="shared" ref="X50:X61" si="29">ROUND(V50*(1+大灶毛利),1)</f>
        <v>2.4</v>
      </c>
    </row>
    <row r="51" spans="1:24">
      <c r="A51" s="26" t="s">
        <v>1007</v>
      </c>
      <c r="B51" s="27">
        <v>1</v>
      </c>
      <c r="C51" s="27"/>
      <c r="D51" s="27"/>
      <c r="E51" s="27"/>
      <c r="F51" s="27"/>
      <c r="G51" s="27"/>
      <c r="H51" s="27"/>
      <c r="I51" s="27"/>
      <c r="J51" s="27"/>
      <c r="K51" s="104" t="str">
        <f t="shared" si="16"/>
        <v/>
      </c>
      <c r="L51" s="104" t="str">
        <f t="shared" si="17"/>
        <v/>
      </c>
      <c r="M51" s="104" t="str">
        <f t="shared" si="18"/>
        <v/>
      </c>
      <c r="N51" s="104" t="str">
        <f t="shared" si="19"/>
        <v/>
      </c>
      <c r="O51" s="104" t="str">
        <f t="shared" si="20"/>
        <v/>
      </c>
      <c r="P51" s="104" t="str">
        <f t="shared" si="21"/>
        <v/>
      </c>
      <c r="Q51" s="104" t="str">
        <f t="shared" si="22"/>
        <v/>
      </c>
      <c r="R51" s="104" t="str">
        <f t="shared" si="23"/>
        <v/>
      </c>
      <c r="S51" s="27">
        <f>B51*0.4</f>
        <v>0.4</v>
      </c>
      <c r="T51" s="103">
        <f t="shared" si="24"/>
        <v>0.4</v>
      </c>
      <c r="U51" s="103">
        <f t="shared" si="25"/>
        <v>0.42000000000000004</v>
      </c>
      <c r="V51" s="36">
        <f t="shared" si="26"/>
        <v>0.42000000000000004</v>
      </c>
      <c r="W51" s="36">
        <f t="shared" si="27"/>
        <v>0</v>
      </c>
      <c r="X51" s="141">
        <f t="shared" si="29"/>
        <v>0.5</v>
      </c>
    </row>
    <row r="52" spans="1:24">
      <c r="A52" s="89" t="s">
        <v>975</v>
      </c>
      <c r="B52" s="27">
        <v>1</v>
      </c>
      <c r="C52" s="27"/>
      <c r="D52" s="27"/>
      <c r="E52" s="27"/>
      <c r="F52" s="27"/>
      <c r="G52" s="27"/>
      <c r="H52" s="27"/>
      <c r="I52" s="27"/>
      <c r="J52" s="27"/>
      <c r="K52" s="83" t="str">
        <f t="shared" si="16"/>
        <v/>
      </c>
      <c r="L52" s="83" t="str">
        <f t="shared" si="17"/>
        <v/>
      </c>
      <c r="M52" s="83" t="str">
        <f t="shared" si="18"/>
        <v/>
      </c>
      <c r="N52" s="83" t="str">
        <f t="shared" si="19"/>
        <v/>
      </c>
      <c r="O52" s="83" t="str">
        <f t="shared" si="20"/>
        <v/>
      </c>
      <c r="P52" s="83" t="str">
        <f t="shared" si="21"/>
        <v/>
      </c>
      <c r="Q52" s="83" t="str">
        <f t="shared" si="22"/>
        <v/>
      </c>
      <c r="R52" s="83" t="str">
        <f t="shared" si="23"/>
        <v/>
      </c>
      <c r="S52" s="27">
        <f>B52*0.4</f>
        <v>0.4</v>
      </c>
      <c r="T52" s="84">
        <f t="shared" si="24"/>
        <v>0.4</v>
      </c>
      <c r="U52" s="84">
        <f t="shared" si="25"/>
        <v>0.42000000000000004</v>
      </c>
      <c r="V52" s="36">
        <f t="shared" si="26"/>
        <v>0.42000000000000004</v>
      </c>
      <c r="W52" s="36">
        <f t="shared" si="27"/>
        <v>0</v>
      </c>
      <c r="X52" s="141">
        <f t="shared" si="29"/>
        <v>0.5</v>
      </c>
    </row>
    <row r="53" spans="1:24">
      <c r="A53" s="89" t="s">
        <v>1016</v>
      </c>
      <c r="B53" s="27">
        <v>1</v>
      </c>
      <c r="C53" s="27"/>
      <c r="D53" s="27"/>
      <c r="E53" s="27"/>
      <c r="F53" s="27"/>
      <c r="G53" s="27"/>
      <c r="H53" s="27"/>
      <c r="I53" s="27"/>
      <c r="J53" s="27"/>
      <c r="K53" s="83" t="str">
        <f t="shared" si="16"/>
        <v/>
      </c>
      <c r="L53" s="83" t="str">
        <f t="shared" si="17"/>
        <v/>
      </c>
      <c r="M53" s="83" t="str">
        <f t="shared" si="18"/>
        <v/>
      </c>
      <c r="N53" s="83" t="str">
        <f t="shared" si="19"/>
        <v/>
      </c>
      <c r="O53" s="83" t="str">
        <f t="shared" si="20"/>
        <v/>
      </c>
      <c r="P53" s="83" t="str">
        <f t="shared" si="21"/>
        <v/>
      </c>
      <c r="Q53" s="83" t="str">
        <f t="shared" si="22"/>
        <v/>
      </c>
      <c r="R53" s="83" t="str">
        <f t="shared" si="23"/>
        <v/>
      </c>
      <c r="S53" s="27">
        <f>B53*0.35</f>
        <v>0.35</v>
      </c>
      <c r="T53" s="84">
        <f t="shared" si="24"/>
        <v>0.35</v>
      </c>
      <c r="U53" s="84">
        <f t="shared" si="25"/>
        <v>0.36749999999999999</v>
      </c>
      <c r="V53" s="36">
        <f t="shared" si="26"/>
        <v>0.36749999999999999</v>
      </c>
      <c r="W53" s="36">
        <f t="shared" si="27"/>
        <v>0</v>
      </c>
      <c r="X53" s="141">
        <f t="shared" si="29"/>
        <v>0.4</v>
      </c>
    </row>
    <row r="54" spans="1:24">
      <c r="A54" s="26" t="s">
        <v>1019</v>
      </c>
      <c r="B54" s="27">
        <v>30</v>
      </c>
      <c r="C54" s="27" t="s">
        <v>1020</v>
      </c>
      <c r="D54" s="27">
        <v>2</v>
      </c>
      <c r="E54" s="27" t="s">
        <v>1022</v>
      </c>
      <c r="F54" s="27">
        <v>0.15</v>
      </c>
      <c r="G54" s="27" t="s">
        <v>1021</v>
      </c>
      <c r="H54" s="27">
        <v>1</v>
      </c>
      <c r="I54" s="27"/>
      <c r="J54" s="27"/>
      <c r="K54" s="83">
        <f t="shared" si="16"/>
        <v>1.7</v>
      </c>
      <c r="L54" s="83">
        <f t="shared" si="17"/>
        <v>3.4</v>
      </c>
      <c r="M54" s="83">
        <f t="shared" si="18"/>
        <v>88.571428571428584</v>
      </c>
      <c r="N54" s="83">
        <f t="shared" si="19"/>
        <v>13.285714285714286</v>
      </c>
      <c r="O54" s="83">
        <f t="shared" si="20"/>
        <v>4.7</v>
      </c>
      <c r="P54" s="83">
        <f t="shared" si="21"/>
        <v>4.7</v>
      </c>
      <c r="Q54" s="83" t="str">
        <f t="shared" si="22"/>
        <v/>
      </c>
      <c r="R54" s="83" t="str">
        <f t="shared" si="23"/>
        <v/>
      </c>
      <c r="S54" s="27">
        <f>B54*0.1</f>
        <v>3</v>
      </c>
      <c r="T54" s="84">
        <f t="shared" si="24"/>
        <v>24.385714285714286</v>
      </c>
      <c r="U54" s="84">
        <f t="shared" si="25"/>
        <v>25.605</v>
      </c>
      <c r="V54" s="36">
        <f t="shared" si="26"/>
        <v>0.85350000000000004</v>
      </c>
      <c r="W54" s="36">
        <f t="shared" si="27"/>
        <v>0.10500000000000001</v>
      </c>
      <c r="X54" s="141">
        <f t="shared" si="29"/>
        <v>0.9</v>
      </c>
    </row>
    <row r="55" spans="1:24">
      <c r="A55" s="26" t="s">
        <v>1257</v>
      </c>
      <c r="B55" s="27"/>
      <c r="C55" s="27"/>
      <c r="D55" s="27"/>
      <c r="E55" s="27"/>
      <c r="F55" s="27"/>
      <c r="G55" s="27"/>
      <c r="H55" s="27"/>
      <c r="I55" s="27"/>
      <c r="J55" s="27"/>
      <c r="K55" s="83" t="str">
        <f t="shared" si="16"/>
        <v/>
      </c>
      <c r="L55" s="83" t="str">
        <f t="shared" si="17"/>
        <v/>
      </c>
      <c r="M55" s="83" t="str">
        <f t="shared" si="18"/>
        <v/>
      </c>
      <c r="N55" s="83" t="str">
        <f t="shared" si="19"/>
        <v/>
      </c>
      <c r="O55" s="83" t="str">
        <f t="shared" si="20"/>
        <v/>
      </c>
      <c r="P55" s="83" t="str">
        <f t="shared" si="21"/>
        <v/>
      </c>
      <c r="Q55" s="83" t="str">
        <f t="shared" si="22"/>
        <v/>
      </c>
      <c r="R55" s="83" t="str">
        <f t="shared" si="23"/>
        <v/>
      </c>
      <c r="S55" s="27">
        <f>B55*1</f>
        <v>0</v>
      </c>
      <c r="T55" s="84">
        <f t="shared" si="24"/>
        <v>0</v>
      </c>
      <c r="U55" s="84">
        <f t="shared" si="25"/>
        <v>0</v>
      </c>
      <c r="V55" s="36" t="e">
        <f t="shared" si="26"/>
        <v>#DIV/0!</v>
      </c>
      <c r="W55" s="36" t="e">
        <f t="shared" si="27"/>
        <v>#DIV/0!</v>
      </c>
      <c r="X55" s="141" t="e">
        <f t="shared" si="29"/>
        <v>#DIV/0!</v>
      </c>
    </row>
    <row r="56" spans="1:24">
      <c r="A56" s="26" t="s">
        <v>1175</v>
      </c>
      <c r="B56" s="27"/>
      <c r="C56" s="27" t="s">
        <v>1175</v>
      </c>
      <c r="D56" s="27">
        <v>15</v>
      </c>
      <c r="E56" s="27"/>
      <c r="F56" s="27"/>
      <c r="G56" s="27"/>
      <c r="H56" s="27"/>
      <c r="I56" s="27"/>
      <c r="J56" s="27"/>
      <c r="K56" s="83">
        <f t="shared" si="16"/>
        <v>1.4285714285714286</v>
      </c>
      <c r="L56" s="83">
        <f t="shared" si="17"/>
        <v>21.428571428571431</v>
      </c>
      <c r="M56" s="83" t="str">
        <f t="shared" si="18"/>
        <v/>
      </c>
      <c r="N56" s="83" t="str">
        <f t="shared" si="19"/>
        <v/>
      </c>
      <c r="O56" s="83" t="str">
        <f t="shared" si="20"/>
        <v/>
      </c>
      <c r="P56" s="83" t="str">
        <f t="shared" si="21"/>
        <v/>
      </c>
      <c r="Q56" s="83" t="str">
        <f t="shared" si="22"/>
        <v/>
      </c>
      <c r="R56" s="83" t="str">
        <f t="shared" si="23"/>
        <v/>
      </c>
      <c r="S56" s="27">
        <f>B56*0.1</f>
        <v>0</v>
      </c>
      <c r="T56" s="84">
        <f t="shared" si="24"/>
        <v>21.428571428571431</v>
      </c>
      <c r="U56" s="84">
        <f t="shared" si="25"/>
        <v>22.500000000000004</v>
      </c>
      <c r="V56" s="36" t="e">
        <f t="shared" si="26"/>
        <v>#DIV/0!</v>
      </c>
      <c r="W56" s="36" t="e">
        <f t="shared" si="27"/>
        <v>#DIV/0!</v>
      </c>
      <c r="X56" s="141" t="e">
        <f t="shared" si="29"/>
        <v>#DIV/0!</v>
      </c>
    </row>
    <row r="57" spans="1:24">
      <c r="A57" s="26" t="s">
        <v>1258</v>
      </c>
      <c r="B57" s="27">
        <v>10</v>
      </c>
      <c r="C57" s="27"/>
      <c r="D57" s="27">
        <v>1.5</v>
      </c>
      <c r="E57" s="27" t="s">
        <v>1259</v>
      </c>
      <c r="F57" s="27"/>
      <c r="G57" s="27"/>
      <c r="H57" s="27"/>
      <c r="I57" s="27"/>
      <c r="J57" s="27"/>
      <c r="K57" s="83" t="str">
        <f t="shared" si="16"/>
        <v/>
      </c>
      <c r="L57" s="83" t="str">
        <f t="shared" si="17"/>
        <v/>
      </c>
      <c r="M57" s="83">
        <f t="shared" si="18"/>
        <v>2.2142857142857144</v>
      </c>
      <c r="N57" s="83">
        <f t="shared" si="19"/>
        <v>0</v>
      </c>
      <c r="O57" s="83" t="str">
        <f t="shared" si="20"/>
        <v/>
      </c>
      <c r="P57" s="83" t="str">
        <f t="shared" si="21"/>
        <v/>
      </c>
      <c r="Q57" s="83" t="str">
        <f t="shared" si="22"/>
        <v/>
      </c>
      <c r="R57" s="83" t="str">
        <f t="shared" si="23"/>
        <v/>
      </c>
      <c r="S57" s="27">
        <f>B57*0.4</f>
        <v>4</v>
      </c>
      <c r="T57" s="84">
        <f t="shared" si="24"/>
        <v>4</v>
      </c>
      <c r="U57" s="84">
        <f t="shared" si="25"/>
        <v>4.2</v>
      </c>
      <c r="V57" s="36">
        <f t="shared" si="26"/>
        <v>0.42000000000000004</v>
      </c>
      <c r="W57" s="36">
        <f t="shared" si="27"/>
        <v>0.15</v>
      </c>
      <c r="X57" s="141">
        <f t="shared" si="29"/>
        <v>0.5</v>
      </c>
    </row>
    <row r="58" spans="1:24">
      <c r="A58" s="123" t="s">
        <v>1302</v>
      </c>
      <c r="B58" s="27">
        <v>10</v>
      </c>
      <c r="C58" s="14" t="s">
        <v>1303</v>
      </c>
      <c r="D58" s="27">
        <v>1</v>
      </c>
      <c r="E58" s="16" t="s">
        <v>319</v>
      </c>
      <c r="F58" s="27">
        <v>0.5</v>
      </c>
      <c r="G58" s="27" t="s">
        <v>1304</v>
      </c>
      <c r="H58" s="27">
        <v>0.02</v>
      </c>
      <c r="I58" s="27"/>
      <c r="J58" s="27"/>
      <c r="K58" s="83" t="e">
        <f t="shared" si="16"/>
        <v>#N/A</v>
      </c>
      <c r="L58" s="83" t="str">
        <f t="shared" si="17"/>
        <v/>
      </c>
      <c r="M58" s="83">
        <f t="shared" si="18"/>
        <v>3.5714285714285716</v>
      </c>
      <c r="N58" s="83">
        <f t="shared" si="19"/>
        <v>1.7857142857142858</v>
      </c>
      <c r="O58" s="83">
        <f t="shared" si="20"/>
        <v>61.428571428571431</v>
      </c>
      <c r="P58" s="83">
        <f t="shared" si="21"/>
        <v>1.2285714285714286</v>
      </c>
      <c r="Q58" s="83" t="str">
        <f t="shared" si="22"/>
        <v/>
      </c>
      <c r="R58" s="83" t="str">
        <f t="shared" si="23"/>
        <v/>
      </c>
      <c r="S58" s="27">
        <f>B58*0.1</f>
        <v>1</v>
      </c>
      <c r="T58" s="84">
        <f t="shared" si="24"/>
        <v>4.0142857142857142</v>
      </c>
      <c r="U58" s="84">
        <f t="shared" si="25"/>
        <v>4.2149999999999999</v>
      </c>
      <c r="V58" s="36">
        <f t="shared" si="26"/>
        <v>0.42149999999999999</v>
      </c>
      <c r="W58" s="36">
        <f t="shared" si="27"/>
        <v>0.15200000000000002</v>
      </c>
      <c r="X58" s="141">
        <f t="shared" si="29"/>
        <v>0.5</v>
      </c>
    </row>
    <row r="59" spans="1:24">
      <c r="A59" s="123" t="s">
        <v>1305</v>
      </c>
      <c r="B59" s="27">
        <v>10</v>
      </c>
      <c r="C59" s="27" t="s">
        <v>1306</v>
      </c>
      <c r="D59" s="27">
        <v>0.8</v>
      </c>
      <c r="E59" s="27" t="s">
        <v>1307</v>
      </c>
      <c r="F59" s="27">
        <v>0.5</v>
      </c>
      <c r="G59" s="16" t="s">
        <v>319</v>
      </c>
      <c r="H59" s="27">
        <v>0.7</v>
      </c>
      <c r="I59" s="27"/>
      <c r="J59" s="27"/>
      <c r="K59" s="83">
        <f t="shared" si="16"/>
        <v>1.7</v>
      </c>
      <c r="L59" s="83">
        <f t="shared" si="17"/>
        <v>1.36</v>
      </c>
      <c r="M59" s="83">
        <f t="shared" si="18"/>
        <v>0.70588235294117652</v>
      </c>
      <c r="N59" s="83">
        <f t="shared" si="19"/>
        <v>0.35294117647058826</v>
      </c>
      <c r="O59" s="83">
        <f t="shared" si="20"/>
        <v>3.5714285714285716</v>
      </c>
      <c r="P59" s="83">
        <f t="shared" si="21"/>
        <v>2.5</v>
      </c>
      <c r="Q59" s="83" t="str">
        <f t="shared" si="22"/>
        <v/>
      </c>
      <c r="R59" s="83" t="str">
        <f t="shared" si="23"/>
        <v/>
      </c>
      <c r="S59" s="27">
        <f>B59*0.1</f>
        <v>1</v>
      </c>
      <c r="T59" s="84">
        <f t="shared" si="24"/>
        <v>5.2129411764705882</v>
      </c>
      <c r="U59" s="84">
        <f t="shared" si="25"/>
        <v>5.4735882352941179</v>
      </c>
      <c r="V59" s="36">
        <f t="shared" si="26"/>
        <v>0.54735882352941179</v>
      </c>
      <c r="W59" s="36">
        <f t="shared" si="27"/>
        <v>0.2</v>
      </c>
      <c r="X59" s="141">
        <f t="shared" si="29"/>
        <v>0.6</v>
      </c>
    </row>
    <row r="60" spans="1:24">
      <c r="A60" s="124" t="s">
        <v>1308</v>
      </c>
      <c r="B60" s="27">
        <v>10</v>
      </c>
      <c r="C60" s="27" t="s">
        <v>1306</v>
      </c>
      <c r="D60" s="27">
        <v>1.5</v>
      </c>
      <c r="E60" s="27"/>
      <c r="F60" s="27"/>
      <c r="G60" s="27"/>
      <c r="H60" s="27"/>
      <c r="I60" s="27"/>
      <c r="J60" s="27"/>
      <c r="K60" s="83">
        <f t="shared" si="16"/>
        <v>1.7</v>
      </c>
      <c r="L60" s="83">
        <f t="shared" si="17"/>
        <v>2.5499999999999998</v>
      </c>
      <c r="M60" s="83" t="str">
        <f t="shared" si="18"/>
        <v/>
      </c>
      <c r="N60" s="83" t="str">
        <f t="shared" si="19"/>
        <v/>
      </c>
      <c r="O60" s="83" t="str">
        <f t="shared" si="20"/>
        <v/>
      </c>
      <c r="P60" s="83" t="str">
        <f t="shared" si="21"/>
        <v/>
      </c>
      <c r="Q60" s="83" t="str">
        <f t="shared" si="22"/>
        <v/>
      </c>
      <c r="R60" s="83" t="str">
        <f t="shared" si="23"/>
        <v/>
      </c>
      <c r="S60" s="27">
        <f>B60*0.1</f>
        <v>1</v>
      </c>
      <c r="T60" s="84">
        <f t="shared" si="24"/>
        <v>3.55</v>
      </c>
      <c r="U60" s="84">
        <f t="shared" si="25"/>
        <v>3.7275</v>
      </c>
      <c r="V60" s="36">
        <f t="shared" si="26"/>
        <v>0.37275000000000003</v>
      </c>
      <c r="W60" s="36">
        <f t="shared" si="27"/>
        <v>0.15</v>
      </c>
      <c r="X60" s="141">
        <f t="shared" si="29"/>
        <v>0.4</v>
      </c>
    </row>
    <row r="61" spans="1:24">
      <c r="A61" s="101" t="s">
        <v>1316</v>
      </c>
      <c r="B61" s="27">
        <v>0</v>
      </c>
      <c r="C61" s="27"/>
      <c r="D61" s="27"/>
      <c r="E61" s="27"/>
      <c r="F61" s="27"/>
      <c r="G61" s="27"/>
      <c r="H61" s="27"/>
      <c r="I61" s="27"/>
      <c r="J61" s="27"/>
      <c r="K61" s="83" t="str">
        <f t="shared" si="16"/>
        <v/>
      </c>
      <c r="L61" s="83" t="str">
        <f t="shared" si="17"/>
        <v/>
      </c>
      <c r="M61" s="83" t="str">
        <f t="shared" si="18"/>
        <v/>
      </c>
      <c r="N61" s="83" t="str">
        <f t="shared" si="19"/>
        <v/>
      </c>
      <c r="O61" s="83" t="str">
        <f t="shared" si="20"/>
        <v/>
      </c>
      <c r="P61" s="83" t="str">
        <f t="shared" si="21"/>
        <v/>
      </c>
      <c r="Q61" s="83" t="str">
        <f t="shared" si="22"/>
        <v/>
      </c>
      <c r="R61" s="83" t="str">
        <f t="shared" si="23"/>
        <v/>
      </c>
      <c r="S61" s="27">
        <f>B61*0.1</f>
        <v>0</v>
      </c>
      <c r="T61" s="84">
        <f t="shared" si="24"/>
        <v>0</v>
      </c>
      <c r="U61" s="84">
        <f t="shared" si="25"/>
        <v>0</v>
      </c>
      <c r="V61" s="36" t="e">
        <f t="shared" si="26"/>
        <v>#DIV/0!</v>
      </c>
      <c r="W61" s="36" t="e">
        <f t="shared" si="27"/>
        <v>#DIV/0!</v>
      </c>
      <c r="X61" s="141" t="e">
        <f t="shared" si="29"/>
        <v>#DIV/0!</v>
      </c>
    </row>
    <row r="62" spans="1:24">
      <c r="A62" s="26" t="s">
        <v>1321</v>
      </c>
      <c r="B62" s="27">
        <v>15</v>
      </c>
      <c r="C62" s="27" t="s">
        <v>1406</v>
      </c>
      <c r="D62" s="27">
        <v>0.8</v>
      </c>
      <c r="E62" s="27" t="s">
        <v>190</v>
      </c>
      <c r="F62" s="27">
        <v>0.3</v>
      </c>
      <c r="G62" s="27" t="s">
        <v>1407</v>
      </c>
      <c r="H62" s="27">
        <v>1</v>
      </c>
      <c r="I62" s="27"/>
      <c r="J62" s="27"/>
      <c r="K62" s="83">
        <f t="shared" ref="K62:K103" si="30">IF(C62="","",VLOOKUP(C62,成本单价,8,0))</f>
        <v>1.7</v>
      </c>
      <c r="L62" s="83">
        <f t="shared" ref="L62:L103" si="31">IFERROR(D62*K62,"")</f>
        <v>1.36</v>
      </c>
      <c r="M62" s="83">
        <f t="shared" ref="M62:M104" si="32">IF(E62="","",VLOOKUP(E62,成本单价,8,0))</f>
        <v>13</v>
      </c>
      <c r="N62" s="83">
        <f t="shared" ref="N62:N103" si="33">IFERROR(F62*M62,"")</f>
        <v>3.9</v>
      </c>
      <c r="O62" s="83">
        <f t="shared" ref="O62:O103" si="34">IF(G62="","",VLOOKUP(G62,成本单价,8,0))</f>
        <v>0.88235294117647056</v>
      </c>
      <c r="P62" s="83">
        <f t="shared" ref="P62:P103" si="35">IFERROR(H62*O62,"")</f>
        <v>0.88235294117647056</v>
      </c>
      <c r="Q62" s="83" t="str">
        <f t="shared" ref="Q62:Q103" si="36">IF(I62="","",VLOOKUP(I62,成本单价,8,0))</f>
        <v/>
      </c>
      <c r="R62" s="83" t="str">
        <f t="shared" ref="R62:R103" si="37">IFERROR(J62*Q62,"")</f>
        <v/>
      </c>
      <c r="S62" s="27">
        <f t="shared" ref="S62" si="38">B62*0.1</f>
        <v>1.5</v>
      </c>
      <c r="T62" s="84">
        <f t="shared" ref="T62:T103" si="39">IFERROR(SUM(L62,N62,P62,R62,S62),"")</f>
        <v>7.6423529411764708</v>
      </c>
      <c r="U62" s="84">
        <f t="shared" ref="U62:U103" si="40">T62*(1+物料比)</f>
        <v>8.0244705882352942</v>
      </c>
      <c r="V62" s="36">
        <f t="shared" ref="V62:V103" si="41">U62/B62</f>
        <v>0.5349647058823529</v>
      </c>
      <c r="W62" s="36">
        <f t="shared" ref="W62:W103" si="42">D62/B62+F62/B62+H62/B62+J62/B62</f>
        <v>0.14000000000000001</v>
      </c>
      <c r="X62" s="141">
        <f t="shared" ref="X62:X105" si="43">ROUND(V62*(1+大灶毛利),1)</f>
        <v>0.6</v>
      </c>
    </row>
    <row r="63" spans="1:24">
      <c r="A63" s="26" t="s">
        <v>1322</v>
      </c>
      <c r="B63" s="27">
        <v>15</v>
      </c>
      <c r="C63" s="27" t="s">
        <v>1406</v>
      </c>
      <c r="D63" s="27">
        <v>0.8</v>
      </c>
      <c r="E63" s="27" t="s">
        <v>319</v>
      </c>
      <c r="F63" s="27">
        <v>0.4</v>
      </c>
      <c r="G63" s="27" t="s">
        <v>1408</v>
      </c>
      <c r="H63" s="27">
        <v>1</v>
      </c>
      <c r="I63" s="27"/>
      <c r="J63" s="27"/>
      <c r="K63" s="83">
        <f t="shared" si="30"/>
        <v>1.7</v>
      </c>
      <c r="L63" s="83">
        <f t="shared" si="31"/>
        <v>1.36</v>
      </c>
      <c r="M63" s="83">
        <f t="shared" si="32"/>
        <v>3.5714285714285716</v>
      </c>
      <c r="N63" s="83">
        <f t="shared" si="33"/>
        <v>1.4285714285714288</v>
      </c>
      <c r="O63" s="83">
        <f t="shared" si="34"/>
        <v>2.1176470588235294</v>
      </c>
      <c r="P63" s="83">
        <f t="shared" si="35"/>
        <v>2.1176470588235294</v>
      </c>
      <c r="Q63" s="83" t="str">
        <f t="shared" si="36"/>
        <v/>
      </c>
      <c r="R63" s="83" t="str">
        <f t="shared" si="37"/>
        <v/>
      </c>
      <c r="S63" s="27">
        <f t="shared" ref="S63:S126" si="44">B63*0.1</f>
        <v>1.5</v>
      </c>
      <c r="T63" s="84">
        <f t="shared" si="39"/>
        <v>6.406218487394959</v>
      </c>
      <c r="U63" s="84">
        <f t="shared" si="40"/>
        <v>6.726529411764707</v>
      </c>
      <c r="V63" s="36">
        <f t="shared" si="41"/>
        <v>0.44843529411764715</v>
      </c>
      <c r="W63" s="36">
        <f t="shared" si="42"/>
        <v>0.14666666666666667</v>
      </c>
      <c r="X63" s="141">
        <f t="shared" si="43"/>
        <v>0.5</v>
      </c>
    </row>
    <row r="64" spans="1:24">
      <c r="A64" s="26" t="s">
        <v>1327</v>
      </c>
      <c r="B64" s="27">
        <v>50</v>
      </c>
      <c r="C64" s="27" t="s">
        <v>1415</v>
      </c>
      <c r="D64" s="27">
        <v>4</v>
      </c>
      <c r="E64" s="27" t="s">
        <v>1416</v>
      </c>
      <c r="F64" s="27">
        <v>1</v>
      </c>
      <c r="G64" s="27"/>
      <c r="H64" s="27"/>
      <c r="I64" s="27"/>
      <c r="J64" s="27"/>
      <c r="K64" s="83">
        <f t="shared" si="30"/>
        <v>2.27</v>
      </c>
      <c r="L64" s="83">
        <f t="shared" si="31"/>
        <v>9.08</v>
      </c>
      <c r="M64" s="83">
        <f t="shared" si="32"/>
        <v>2.27</v>
      </c>
      <c r="N64" s="83">
        <f t="shared" si="33"/>
        <v>2.27</v>
      </c>
      <c r="O64" s="83" t="str">
        <f t="shared" si="34"/>
        <v/>
      </c>
      <c r="P64" s="83" t="str">
        <f t="shared" si="35"/>
        <v/>
      </c>
      <c r="Q64" s="83" t="str">
        <f t="shared" si="36"/>
        <v/>
      </c>
      <c r="R64" s="83" t="str">
        <f t="shared" si="37"/>
        <v/>
      </c>
      <c r="S64" s="27">
        <f>B64*0.001</f>
        <v>0.05</v>
      </c>
      <c r="T64" s="84">
        <f t="shared" si="39"/>
        <v>11.4</v>
      </c>
      <c r="U64" s="84">
        <f t="shared" si="40"/>
        <v>11.97</v>
      </c>
      <c r="V64" s="36">
        <f t="shared" si="41"/>
        <v>0.2394</v>
      </c>
      <c r="W64" s="36">
        <f t="shared" si="42"/>
        <v>0.1</v>
      </c>
      <c r="X64" s="141">
        <f t="shared" si="43"/>
        <v>0.3</v>
      </c>
    </row>
    <row r="65" spans="1:24">
      <c r="A65" s="26" t="s">
        <v>1328</v>
      </c>
      <c r="B65" s="27">
        <v>1</v>
      </c>
      <c r="C65" s="27" t="s">
        <v>1418</v>
      </c>
      <c r="D65" s="27">
        <v>0.5</v>
      </c>
      <c r="E65" s="27"/>
      <c r="F65" s="27"/>
      <c r="G65" s="27"/>
      <c r="H65" s="27"/>
      <c r="I65" s="27"/>
      <c r="J65" s="27"/>
      <c r="K65" s="83">
        <f t="shared" si="30"/>
        <v>1.7647058823529411</v>
      </c>
      <c r="L65" s="83">
        <f t="shared" si="31"/>
        <v>0.88235294117647056</v>
      </c>
      <c r="M65" s="83" t="str">
        <f t="shared" si="32"/>
        <v/>
      </c>
      <c r="N65" s="83" t="str">
        <f t="shared" si="33"/>
        <v/>
      </c>
      <c r="O65" s="83" t="str">
        <f t="shared" si="34"/>
        <v/>
      </c>
      <c r="P65" s="83" t="str">
        <f t="shared" si="35"/>
        <v/>
      </c>
      <c r="Q65" s="83" t="str">
        <f t="shared" si="36"/>
        <v/>
      </c>
      <c r="R65" s="83" t="str">
        <f t="shared" si="37"/>
        <v/>
      </c>
      <c r="S65" s="27">
        <f t="shared" si="44"/>
        <v>0.1</v>
      </c>
      <c r="T65" s="84">
        <f t="shared" si="39"/>
        <v>0.98235294117647054</v>
      </c>
      <c r="U65" s="84">
        <f t="shared" si="40"/>
        <v>1.0314705882352941</v>
      </c>
      <c r="V65" s="36">
        <f t="shared" si="41"/>
        <v>1.0314705882352941</v>
      </c>
      <c r="W65" s="36">
        <f t="shared" si="42"/>
        <v>0.5</v>
      </c>
      <c r="X65" s="141">
        <f t="shared" si="43"/>
        <v>1.1000000000000001</v>
      </c>
    </row>
    <row r="66" spans="1:24">
      <c r="A66" s="26" t="s">
        <v>1434</v>
      </c>
      <c r="B66" s="27">
        <v>15</v>
      </c>
      <c r="C66" s="27" t="s">
        <v>1435</v>
      </c>
      <c r="D66" s="27">
        <v>0.5</v>
      </c>
      <c r="E66" s="27" t="s">
        <v>1436</v>
      </c>
      <c r="F66" s="27">
        <v>1</v>
      </c>
      <c r="G66" s="27" t="s">
        <v>1437</v>
      </c>
      <c r="H66" s="27">
        <v>0.5</v>
      </c>
      <c r="I66" s="27"/>
      <c r="J66" s="27"/>
      <c r="K66" s="83">
        <f t="shared" si="30"/>
        <v>1.7</v>
      </c>
      <c r="L66" s="83">
        <f t="shared" si="31"/>
        <v>0.85</v>
      </c>
      <c r="M66" s="83">
        <f t="shared" si="32"/>
        <v>0.70588235294117652</v>
      </c>
      <c r="N66" s="83">
        <f t="shared" si="33"/>
        <v>0.70588235294117652</v>
      </c>
      <c r="O66" s="83">
        <f t="shared" si="34"/>
        <v>13</v>
      </c>
      <c r="P66" s="83">
        <f t="shared" si="35"/>
        <v>6.5</v>
      </c>
      <c r="Q66" s="83" t="str">
        <f t="shared" si="36"/>
        <v/>
      </c>
      <c r="R66" s="83" t="str">
        <f t="shared" si="37"/>
        <v/>
      </c>
      <c r="S66" s="27">
        <f t="shared" si="44"/>
        <v>1.5</v>
      </c>
      <c r="T66" s="84">
        <f t="shared" si="39"/>
        <v>9.5558823529411772</v>
      </c>
      <c r="U66" s="84">
        <f t="shared" si="40"/>
        <v>10.033676470588237</v>
      </c>
      <c r="V66" s="36">
        <f t="shared" si="41"/>
        <v>0.66891176470588243</v>
      </c>
      <c r="W66" s="36">
        <f t="shared" si="42"/>
        <v>0.13333333333333333</v>
      </c>
      <c r="X66" s="141">
        <f t="shared" si="43"/>
        <v>0.7</v>
      </c>
    </row>
    <row r="67" spans="1:24">
      <c r="A67" s="26" t="s">
        <v>1438</v>
      </c>
      <c r="B67" s="27">
        <v>15</v>
      </c>
      <c r="C67" s="27" t="s">
        <v>1435</v>
      </c>
      <c r="D67" s="27">
        <v>0.5</v>
      </c>
      <c r="E67" s="27" t="s">
        <v>1439</v>
      </c>
      <c r="F67" s="27">
        <v>1</v>
      </c>
      <c r="G67" s="27" t="s">
        <v>1299</v>
      </c>
      <c r="H67" s="27">
        <v>0.4</v>
      </c>
      <c r="I67" s="27"/>
      <c r="J67" s="27"/>
      <c r="K67" s="133">
        <f t="shared" si="30"/>
        <v>1.7</v>
      </c>
      <c r="L67" s="83">
        <f t="shared" si="31"/>
        <v>0.85</v>
      </c>
      <c r="M67" s="83">
        <f t="shared" si="32"/>
        <v>0.88235294117647056</v>
      </c>
      <c r="N67" s="83">
        <f t="shared" si="33"/>
        <v>0.88235294117647056</v>
      </c>
      <c r="O67" s="83">
        <f t="shared" si="34"/>
        <v>6.4285714285714288</v>
      </c>
      <c r="P67" s="83">
        <f t="shared" si="35"/>
        <v>2.5714285714285716</v>
      </c>
      <c r="Q67" s="83" t="str">
        <f t="shared" si="36"/>
        <v/>
      </c>
      <c r="R67" s="83" t="str">
        <f t="shared" si="37"/>
        <v/>
      </c>
      <c r="S67" s="27">
        <f t="shared" si="44"/>
        <v>1.5</v>
      </c>
      <c r="T67" s="84">
        <f t="shared" si="39"/>
        <v>5.8037815126050418</v>
      </c>
      <c r="U67" s="84">
        <f t="shared" si="40"/>
        <v>6.0939705882352939</v>
      </c>
      <c r="V67" s="36">
        <f t="shared" si="41"/>
        <v>0.40626470588235292</v>
      </c>
      <c r="W67" s="36">
        <f t="shared" si="42"/>
        <v>0.12666666666666668</v>
      </c>
      <c r="X67" s="141">
        <f t="shared" si="43"/>
        <v>0.4</v>
      </c>
    </row>
    <row r="68" spans="1:24">
      <c r="A68" s="26" t="s">
        <v>1440</v>
      </c>
      <c r="B68" s="27">
        <v>10</v>
      </c>
      <c r="C68" s="27" t="s">
        <v>1435</v>
      </c>
      <c r="D68" s="27">
        <v>1.5</v>
      </c>
      <c r="E68" s="27"/>
      <c r="F68" s="27"/>
      <c r="G68" s="27"/>
      <c r="H68" s="27"/>
      <c r="I68" s="27"/>
      <c r="J68" s="27"/>
      <c r="K68" s="133">
        <f t="shared" si="30"/>
        <v>1.7</v>
      </c>
      <c r="L68" s="83">
        <f t="shared" si="31"/>
        <v>2.5499999999999998</v>
      </c>
      <c r="M68" s="83" t="str">
        <f t="shared" si="32"/>
        <v/>
      </c>
      <c r="N68" s="83" t="str">
        <f t="shared" si="33"/>
        <v/>
      </c>
      <c r="O68" s="83" t="str">
        <f t="shared" si="34"/>
        <v/>
      </c>
      <c r="P68" s="83" t="str">
        <f t="shared" si="35"/>
        <v/>
      </c>
      <c r="Q68" s="83" t="str">
        <f t="shared" si="36"/>
        <v/>
      </c>
      <c r="R68" s="83" t="str">
        <f t="shared" si="37"/>
        <v/>
      </c>
      <c r="S68" s="27">
        <f>B68*0.2</f>
        <v>2</v>
      </c>
      <c r="T68" s="84">
        <f t="shared" si="39"/>
        <v>4.55</v>
      </c>
      <c r="U68" s="84">
        <f t="shared" si="40"/>
        <v>4.7774999999999999</v>
      </c>
      <c r="V68" s="36">
        <f t="shared" si="41"/>
        <v>0.47775000000000001</v>
      </c>
      <c r="W68" s="36">
        <f t="shared" si="42"/>
        <v>0.15</v>
      </c>
      <c r="X68" s="141">
        <f t="shared" si="43"/>
        <v>0.5</v>
      </c>
    </row>
    <row r="69" spans="1:24">
      <c r="A69" s="26" t="s">
        <v>1441</v>
      </c>
      <c r="B69" s="27">
        <v>50</v>
      </c>
      <c r="C69" s="27" t="s">
        <v>1442</v>
      </c>
      <c r="D69" s="27">
        <v>3</v>
      </c>
      <c r="E69" s="27" t="s">
        <v>1444</v>
      </c>
      <c r="F69" s="27">
        <v>1</v>
      </c>
      <c r="G69" s="27" t="s">
        <v>1445</v>
      </c>
      <c r="H69" s="27">
        <v>1</v>
      </c>
      <c r="I69" s="27"/>
      <c r="J69" s="27"/>
      <c r="K69" s="133">
        <f t="shared" si="30"/>
        <v>2.2999999999999998</v>
      </c>
      <c r="L69" s="83">
        <f t="shared" si="31"/>
        <v>6.8999999999999995</v>
      </c>
      <c r="M69" s="83">
        <f t="shared" si="32"/>
        <v>4</v>
      </c>
      <c r="N69" s="83">
        <f t="shared" si="33"/>
        <v>4</v>
      </c>
      <c r="O69" s="83">
        <f t="shared" si="34"/>
        <v>2.27</v>
      </c>
      <c r="P69" s="83">
        <f t="shared" si="35"/>
        <v>2.27</v>
      </c>
      <c r="Q69" s="83" t="str">
        <f t="shared" si="36"/>
        <v/>
      </c>
      <c r="R69" s="83" t="str">
        <f t="shared" si="37"/>
        <v/>
      </c>
      <c r="S69" s="27">
        <f t="shared" si="44"/>
        <v>5</v>
      </c>
      <c r="T69" s="84">
        <f t="shared" si="39"/>
        <v>18.169999999999998</v>
      </c>
      <c r="U69" s="84">
        <f t="shared" si="40"/>
        <v>19.078499999999998</v>
      </c>
      <c r="V69" s="36">
        <f t="shared" si="41"/>
        <v>0.38156999999999996</v>
      </c>
      <c r="W69" s="36">
        <f t="shared" si="42"/>
        <v>0.1</v>
      </c>
      <c r="X69" s="141">
        <f t="shared" si="43"/>
        <v>0.4</v>
      </c>
    </row>
    <row r="70" spans="1:24">
      <c r="A70" s="26" t="s">
        <v>1350</v>
      </c>
      <c r="B70" s="27">
        <v>10</v>
      </c>
      <c r="C70" s="27" t="s">
        <v>1435</v>
      </c>
      <c r="D70" s="27">
        <v>0.3</v>
      </c>
      <c r="E70" s="27" t="s">
        <v>1492</v>
      </c>
      <c r="F70" s="27">
        <v>0.4</v>
      </c>
      <c r="G70" s="27" t="s">
        <v>1493</v>
      </c>
      <c r="H70" s="27">
        <v>0.5</v>
      </c>
      <c r="I70" s="27"/>
      <c r="J70" s="27"/>
      <c r="K70" s="133">
        <f t="shared" si="30"/>
        <v>1.7</v>
      </c>
      <c r="L70" s="83">
        <f t="shared" si="31"/>
        <v>0.51</v>
      </c>
      <c r="M70" s="83">
        <f t="shared" si="32"/>
        <v>1.6470588235294117</v>
      </c>
      <c r="N70" s="83">
        <f t="shared" si="33"/>
        <v>0.6588235294117647</v>
      </c>
      <c r="O70" s="83">
        <f t="shared" si="34"/>
        <v>1.1764705882352942</v>
      </c>
      <c r="P70" s="83">
        <f t="shared" si="35"/>
        <v>0.58823529411764708</v>
      </c>
      <c r="Q70" s="83" t="str">
        <f t="shared" si="36"/>
        <v/>
      </c>
      <c r="R70" s="83" t="str">
        <f t="shared" si="37"/>
        <v/>
      </c>
      <c r="S70" s="27">
        <f t="shared" si="44"/>
        <v>1</v>
      </c>
      <c r="T70" s="84">
        <f t="shared" si="39"/>
        <v>2.757058823529412</v>
      </c>
      <c r="U70" s="84">
        <f t="shared" si="40"/>
        <v>2.8949117647058826</v>
      </c>
      <c r="V70" s="36">
        <f t="shared" si="41"/>
        <v>0.28949117647058825</v>
      </c>
      <c r="W70" s="36">
        <f t="shared" si="42"/>
        <v>0.12000000000000001</v>
      </c>
      <c r="X70" s="141">
        <f t="shared" si="43"/>
        <v>0.3</v>
      </c>
    </row>
    <row r="71" spans="1:24">
      <c r="A71" s="26" t="s">
        <v>1023</v>
      </c>
      <c r="B71" s="27">
        <v>50</v>
      </c>
      <c r="C71" s="27" t="s">
        <v>1494</v>
      </c>
      <c r="D71" s="27">
        <v>5</v>
      </c>
      <c r="E71" s="27"/>
      <c r="F71" s="27"/>
      <c r="G71" s="27"/>
      <c r="H71" s="27"/>
      <c r="I71" s="27"/>
      <c r="J71" s="27"/>
      <c r="K71" s="133">
        <f t="shared" si="30"/>
        <v>2.8</v>
      </c>
      <c r="L71" s="83">
        <f t="shared" si="31"/>
        <v>14</v>
      </c>
      <c r="M71" s="83" t="str">
        <f t="shared" si="32"/>
        <v/>
      </c>
      <c r="N71" s="83" t="str">
        <f t="shared" si="33"/>
        <v/>
      </c>
      <c r="O71" s="83" t="str">
        <f t="shared" si="34"/>
        <v/>
      </c>
      <c r="P71" s="83" t="str">
        <f t="shared" si="35"/>
        <v/>
      </c>
      <c r="Q71" s="83" t="str">
        <f t="shared" si="36"/>
        <v/>
      </c>
      <c r="R71" s="83" t="str">
        <f t="shared" si="37"/>
        <v/>
      </c>
      <c r="S71" s="27">
        <f>B71*0.1</f>
        <v>5</v>
      </c>
      <c r="T71" s="84">
        <f t="shared" si="39"/>
        <v>19</v>
      </c>
      <c r="U71" s="84">
        <f t="shared" si="40"/>
        <v>19.95</v>
      </c>
      <c r="V71" s="36">
        <f t="shared" si="41"/>
        <v>0.39899999999999997</v>
      </c>
      <c r="W71" s="36">
        <f t="shared" si="42"/>
        <v>0.1</v>
      </c>
      <c r="X71" s="141">
        <f t="shared" si="43"/>
        <v>0.4</v>
      </c>
    </row>
    <row r="72" spans="1:24">
      <c r="A72" s="26" t="s">
        <v>1352</v>
      </c>
      <c r="B72" s="27">
        <v>20</v>
      </c>
      <c r="C72" s="27" t="s">
        <v>1534</v>
      </c>
      <c r="D72" s="27">
        <v>1.5</v>
      </c>
      <c r="E72" s="27" t="s">
        <v>1535</v>
      </c>
      <c r="F72" s="27">
        <v>0.5</v>
      </c>
      <c r="G72" s="27"/>
      <c r="H72" s="27"/>
      <c r="I72" s="27"/>
      <c r="J72" s="27"/>
      <c r="K72" s="133">
        <f t="shared" si="30"/>
        <v>2.27</v>
      </c>
      <c r="L72" s="83">
        <f t="shared" si="31"/>
        <v>3.4050000000000002</v>
      </c>
      <c r="M72" s="83">
        <f t="shared" si="32"/>
        <v>3.84</v>
      </c>
      <c r="N72" s="83">
        <f t="shared" si="33"/>
        <v>1.92</v>
      </c>
      <c r="O72" s="83" t="str">
        <f t="shared" si="34"/>
        <v/>
      </c>
      <c r="P72" s="83" t="str">
        <f t="shared" si="35"/>
        <v/>
      </c>
      <c r="Q72" s="83" t="str">
        <f t="shared" si="36"/>
        <v/>
      </c>
      <c r="R72" s="83" t="str">
        <f t="shared" si="37"/>
        <v/>
      </c>
      <c r="S72" s="27">
        <f>B72*0.2</f>
        <v>4</v>
      </c>
      <c r="T72" s="84">
        <f t="shared" si="39"/>
        <v>9.3249999999999993</v>
      </c>
      <c r="U72" s="84">
        <f t="shared" si="40"/>
        <v>9.7912499999999998</v>
      </c>
      <c r="V72" s="36">
        <f t="shared" si="41"/>
        <v>0.48956250000000001</v>
      </c>
      <c r="W72" s="36">
        <f t="shared" si="42"/>
        <v>0.1</v>
      </c>
      <c r="X72" s="141">
        <f t="shared" si="43"/>
        <v>0.5</v>
      </c>
    </row>
    <row r="73" spans="1:24">
      <c r="A73" s="26" t="s">
        <v>1595</v>
      </c>
      <c r="B73" s="27">
        <v>20</v>
      </c>
      <c r="C73" s="27" t="s">
        <v>1406</v>
      </c>
      <c r="D73" s="27">
        <v>0.8</v>
      </c>
      <c r="E73" s="27" t="s">
        <v>1597</v>
      </c>
      <c r="F73" s="27">
        <v>1.2</v>
      </c>
      <c r="G73" s="27" t="s">
        <v>1598</v>
      </c>
      <c r="H73" s="27">
        <v>0.5</v>
      </c>
      <c r="I73" s="27"/>
      <c r="J73" s="27"/>
      <c r="K73" s="133">
        <f t="shared" si="30"/>
        <v>1.7</v>
      </c>
      <c r="L73" s="83">
        <f t="shared" si="31"/>
        <v>1.36</v>
      </c>
      <c r="M73" s="83">
        <f t="shared" si="32"/>
        <v>2.1176470588235294</v>
      </c>
      <c r="N73" s="83">
        <f t="shared" si="33"/>
        <v>2.5411764705882351</v>
      </c>
      <c r="O73" s="83">
        <f t="shared" si="34"/>
        <v>13</v>
      </c>
      <c r="P73" s="83">
        <f t="shared" si="35"/>
        <v>6.5</v>
      </c>
      <c r="Q73" s="83" t="str">
        <f t="shared" si="36"/>
        <v/>
      </c>
      <c r="R73" s="83" t="str">
        <f t="shared" si="37"/>
        <v/>
      </c>
      <c r="S73" s="27">
        <f t="shared" si="44"/>
        <v>2</v>
      </c>
      <c r="T73" s="84">
        <f t="shared" si="39"/>
        <v>12.401176470588236</v>
      </c>
      <c r="U73" s="84">
        <f t="shared" si="40"/>
        <v>13.021235294117648</v>
      </c>
      <c r="V73" s="36">
        <f t="shared" si="41"/>
        <v>0.6510617647058824</v>
      </c>
      <c r="W73" s="36">
        <f t="shared" si="42"/>
        <v>0.125</v>
      </c>
      <c r="X73" s="141">
        <f t="shared" si="43"/>
        <v>0.7</v>
      </c>
    </row>
    <row r="74" spans="1:24">
      <c r="A74" s="26" t="s">
        <v>1596</v>
      </c>
      <c r="B74" s="27">
        <v>20</v>
      </c>
      <c r="C74" s="27" t="s">
        <v>1406</v>
      </c>
      <c r="D74" s="27">
        <v>0.8</v>
      </c>
      <c r="E74" s="27" t="s">
        <v>319</v>
      </c>
      <c r="F74" s="27">
        <v>0.7</v>
      </c>
      <c r="G74" s="27" t="s">
        <v>1599</v>
      </c>
      <c r="H74" s="27">
        <v>1</v>
      </c>
      <c r="I74" s="27"/>
      <c r="J74" s="27"/>
      <c r="K74" s="133">
        <f t="shared" si="30"/>
        <v>1.7</v>
      </c>
      <c r="L74" s="83">
        <f t="shared" si="31"/>
        <v>1.36</v>
      </c>
      <c r="M74" s="83">
        <f t="shared" si="32"/>
        <v>3.5714285714285716</v>
      </c>
      <c r="N74" s="83">
        <f t="shared" si="33"/>
        <v>2.5</v>
      </c>
      <c r="O74" s="83">
        <f t="shared" si="34"/>
        <v>1</v>
      </c>
      <c r="P74" s="83">
        <f t="shared" si="35"/>
        <v>1</v>
      </c>
      <c r="Q74" s="83" t="str">
        <f t="shared" si="36"/>
        <v/>
      </c>
      <c r="R74" s="83" t="str">
        <f t="shared" si="37"/>
        <v/>
      </c>
      <c r="S74" s="27">
        <f t="shared" si="44"/>
        <v>2</v>
      </c>
      <c r="T74" s="84">
        <f t="shared" si="39"/>
        <v>6.86</v>
      </c>
      <c r="U74" s="84">
        <f t="shared" si="40"/>
        <v>7.2030000000000003</v>
      </c>
      <c r="V74" s="36">
        <f t="shared" si="41"/>
        <v>0.36015000000000003</v>
      </c>
      <c r="W74" s="36">
        <f t="shared" si="42"/>
        <v>0.125</v>
      </c>
      <c r="X74" s="141">
        <f t="shared" si="43"/>
        <v>0.4</v>
      </c>
    </row>
    <row r="75" spans="1:24">
      <c r="A75" s="26" t="s">
        <v>1602</v>
      </c>
      <c r="B75" s="27">
        <v>50</v>
      </c>
      <c r="C75" s="27" t="s">
        <v>1603</v>
      </c>
      <c r="D75" s="27">
        <v>3</v>
      </c>
      <c r="E75" s="27" t="s">
        <v>1604</v>
      </c>
      <c r="F75" s="27">
        <v>1</v>
      </c>
      <c r="G75" s="27" t="s">
        <v>1605</v>
      </c>
      <c r="H75" s="27">
        <v>2</v>
      </c>
      <c r="I75" s="27"/>
      <c r="J75" s="27"/>
      <c r="K75" s="83">
        <f t="shared" si="30"/>
        <v>2.27</v>
      </c>
      <c r="L75" s="83">
        <f t="shared" si="31"/>
        <v>6.8100000000000005</v>
      </c>
      <c r="M75" s="83">
        <f t="shared" si="32"/>
        <v>2.27</v>
      </c>
      <c r="N75" s="83">
        <f t="shared" si="33"/>
        <v>2.27</v>
      </c>
      <c r="O75" s="83">
        <f t="shared" si="34"/>
        <v>4</v>
      </c>
      <c r="P75" s="83">
        <f t="shared" si="35"/>
        <v>8</v>
      </c>
      <c r="Q75" s="83" t="str">
        <f t="shared" si="36"/>
        <v/>
      </c>
      <c r="R75" s="83" t="str">
        <f t="shared" si="37"/>
        <v/>
      </c>
      <c r="S75" s="27">
        <f t="shared" si="44"/>
        <v>5</v>
      </c>
      <c r="T75" s="84">
        <f t="shared" si="39"/>
        <v>22.08</v>
      </c>
      <c r="U75" s="84">
        <f t="shared" si="40"/>
        <v>23.183999999999997</v>
      </c>
      <c r="V75" s="36">
        <f t="shared" si="41"/>
        <v>0.46367999999999993</v>
      </c>
      <c r="W75" s="36">
        <f t="shared" si="42"/>
        <v>0.12</v>
      </c>
      <c r="X75" s="141">
        <f t="shared" si="43"/>
        <v>0.5</v>
      </c>
    </row>
    <row r="76" spans="1:24">
      <c r="A76" s="26" t="s">
        <v>1613</v>
      </c>
      <c r="B76" s="27">
        <v>20</v>
      </c>
      <c r="C76" s="27" t="s">
        <v>1626</v>
      </c>
      <c r="D76" s="27">
        <v>0.8</v>
      </c>
      <c r="E76" s="27" t="s">
        <v>1627</v>
      </c>
      <c r="F76" s="27">
        <v>0.8</v>
      </c>
      <c r="G76" s="27" t="s">
        <v>1628</v>
      </c>
      <c r="H76" s="27">
        <v>0.5</v>
      </c>
      <c r="I76" s="27"/>
      <c r="J76" s="27"/>
      <c r="K76" s="83">
        <f t="shared" si="30"/>
        <v>1.7</v>
      </c>
      <c r="L76" s="83">
        <f t="shared" si="31"/>
        <v>1.36</v>
      </c>
      <c r="M76" s="83">
        <f t="shared" si="32"/>
        <v>3.4117647058823528</v>
      </c>
      <c r="N76" s="83">
        <f t="shared" si="33"/>
        <v>2.7294117647058824</v>
      </c>
      <c r="O76" s="83">
        <f t="shared" si="34"/>
        <v>13</v>
      </c>
      <c r="P76" s="83">
        <f t="shared" si="35"/>
        <v>6.5</v>
      </c>
      <c r="Q76" s="83" t="str">
        <f t="shared" si="36"/>
        <v/>
      </c>
      <c r="R76" s="83" t="str">
        <f t="shared" si="37"/>
        <v/>
      </c>
      <c r="S76" s="27">
        <f t="shared" si="44"/>
        <v>2</v>
      </c>
      <c r="T76" s="84">
        <f t="shared" si="39"/>
        <v>12.589411764705883</v>
      </c>
      <c r="U76" s="84">
        <f t="shared" si="40"/>
        <v>13.218882352941177</v>
      </c>
      <c r="V76" s="36">
        <f t="shared" si="41"/>
        <v>0.66094411764705885</v>
      </c>
      <c r="W76" s="36">
        <f t="shared" si="42"/>
        <v>0.10500000000000001</v>
      </c>
      <c r="X76" s="141">
        <f t="shared" si="43"/>
        <v>0.7</v>
      </c>
    </row>
    <row r="77" spans="1:24">
      <c r="A77" s="26" t="s">
        <v>1614</v>
      </c>
      <c r="B77" s="27">
        <v>20</v>
      </c>
      <c r="C77" s="27" t="s">
        <v>1626</v>
      </c>
      <c r="D77" s="27">
        <v>0.8</v>
      </c>
      <c r="E77" s="27" t="s">
        <v>1009</v>
      </c>
      <c r="F77" s="27">
        <v>0.1</v>
      </c>
      <c r="G77" s="27" t="s">
        <v>319</v>
      </c>
      <c r="H77" s="27">
        <v>0.4</v>
      </c>
      <c r="I77" s="27"/>
      <c r="J77" s="27"/>
      <c r="K77" s="83">
        <f t="shared" si="30"/>
        <v>1.7</v>
      </c>
      <c r="L77" s="83">
        <f t="shared" si="31"/>
        <v>1.36</v>
      </c>
      <c r="M77" s="83">
        <f t="shared" si="32"/>
        <v>61.428571428571431</v>
      </c>
      <c r="N77" s="83">
        <f t="shared" si="33"/>
        <v>6.1428571428571432</v>
      </c>
      <c r="O77" s="83">
        <f t="shared" si="34"/>
        <v>3.5714285714285716</v>
      </c>
      <c r="P77" s="83">
        <f t="shared" si="35"/>
        <v>1.4285714285714288</v>
      </c>
      <c r="Q77" s="83" t="str">
        <f t="shared" si="36"/>
        <v/>
      </c>
      <c r="R77" s="83" t="str">
        <f t="shared" si="37"/>
        <v/>
      </c>
      <c r="S77" s="27">
        <f t="shared" si="44"/>
        <v>2</v>
      </c>
      <c r="T77" s="84">
        <f t="shared" si="39"/>
        <v>10.931428571428572</v>
      </c>
      <c r="U77" s="84">
        <f t="shared" si="40"/>
        <v>11.478000000000002</v>
      </c>
      <c r="V77" s="36">
        <f t="shared" si="41"/>
        <v>0.57390000000000008</v>
      </c>
      <c r="W77" s="36">
        <f t="shared" si="42"/>
        <v>6.5000000000000002E-2</v>
      </c>
      <c r="X77" s="141">
        <f t="shared" si="43"/>
        <v>0.6</v>
      </c>
    </row>
    <row r="78" spans="1:24">
      <c r="A78" s="26" t="s">
        <v>1615</v>
      </c>
      <c r="B78" s="27">
        <v>20</v>
      </c>
      <c r="C78" s="27" t="s">
        <v>1626</v>
      </c>
      <c r="D78" s="27">
        <v>0.8</v>
      </c>
      <c r="E78" s="27" t="s">
        <v>190</v>
      </c>
      <c r="F78" s="27">
        <v>0.5</v>
      </c>
      <c r="G78" s="27" t="s">
        <v>1630</v>
      </c>
      <c r="H78" s="27">
        <v>1.2</v>
      </c>
      <c r="I78" s="27"/>
      <c r="J78" s="27"/>
      <c r="K78" s="83">
        <f t="shared" si="30"/>
        <v>1.7</v>
      </c>
      <c r="L78" s="83">
        <f t="shared" si="31"/>
        <v>1.36</v>
      </c>
      <c r="M78" s="83">
        <f t="shared" si="32"/>
        <v>13</v>
      </c>
      <c r="N78" s="83">
        <f t="shared" si="33"/>
        <v>6.5</v>
      </c>
      <c r="O78" s="83">
        <f t="shared" si="34"/>
        <v>0.70588235294117652</v>
      </c>
      <c r="P78" s="83">
        <f t="shared" si="35"/>
        <v>0.84705882352941175</v>
      </c>
      <c r="Q78" s="83" t="str">
        <f t="shared" si="36"/>
        <v/>
      </c>
      <c r="R78" s="83" t="str">
        <f t="shared" si="37"/>
        <v/>
      </c>
      <c r="S78" s="27">
        <f t="shared" si="44"/>
        <v>2</v>
      </c>
      <c r="T78" s="84">
        <f t="shared" si="39"/>
        <v>10.707058823529412</v>
      </c>
      <c r="U78" s="84">
        <f t="shared" si="40"/>
        <v>11.242411764705883</v>
      </c>
      <c r="V78" s="36">
        <f t="shared" si="41"/>
        <v>0.56212058823529421</v>
      </c>
      <c r="W78" s="36">
        <f t="shared" si="42"/>
        <v>0.125</v>
      </c>
      <c r="X78" s="141">
        <f t="shared" si="43"/>
        <v>0.6</v>
      </c>
    </row>
    <row r="79" spans="1:24">
      <c r="A79" s="26" t="s">
        <v>1616</v>
      </c>
      <c r="B79" s="27">
        <v>20</v>
      </c>
      <c r="C79" s="27" t="s">
        <v>1626</v>
      </c>
      <c r="D79" s="27">
        <v>0.8</v>
      </c>
      <c r="E79" s="27" t="s">
        <v>1629</v>
      </c>
      <c r="F79" s="27">
        <v>2</v>
      </c>
      <c r="G79" s="27" t="s">
        <v>1292</v>
      </c>
      <c r="H79" s="27">
        <v>1</v>
      </c>
      <c r="I79" s="27"/>
      <c r="J79" s="27"/>
      <c r="K79" s="83">
        <f t="shared" si="30"/>
        <v>1.7</v>
      </c>
      <c r="L79" s="83">
        <f t="shared" si="31"/>
        <v>1.36</v>
      </c>
      <c r="M79" s="83">
        <f t="shared" si="32"/>
        <v>0.70588235294117652</v>
      </c>
      <c r="N79" s="83">
        <f t="shared" si="33"/>
        <v>1.411764705882353</v>
      </c>
      <c r="O79" s="83">
        <f t="shared" si="34"/>
        <v>2.8571428571428572</v>
      </c>
      <c r="P79" s="83">
        <f t="shared" si="35"/>
        <v>2.8571428571428572</v>
      </c>
      <c r="Q79" s="83" t="str">
        <f t="shared" si="36"/>
        <v/>
      </c>
      <c r="R79" s="83" t="str">
        <f t="shared" si="37"/>
        <v/>
      </c>
      <c r="S79" s="27">
        <f t="shared" si="44"/>
        <v>2</v>
      </c>
      <c r="T79" s="84">
        <f t="shared" si="39"/>
        <v>7.6289075630252103</v>
      </c>
      <c r="U79" s="84">
        <f t="shared" si="40"/>
        <v>8.0103529411764711</v>
      </c>
      <c r="V79" s="36">
        <f t="shared" si="41"/>
        <v>0.40051764705882353</v>
      </c>
      <c r="W79" s="36">
        <f t="shared" si="42"/>
        <v>0.19</v>
      </c>
      <c r="X79" s="141">
        <f t="shared" si="43"/>
        <v>0.4</v>
      </c>
    </row>
    <row r="80" spans="1:24">
      <c r="A80" s="26" t="s">
        <v>1392</v>
      </c>
      <c r="B80" s="27">
        <v>30</v>
      </c>
      <c r="C80" s="27" t="s">
        <v>1626</v>
      </c>
      <c r="D80" s="27">
        <v>6</v>
      </c>
      <c r="E80" s="27" t="s">
        <v>1293</v>
      </c>
      <c r="F80" s="2">
        <v>1.4999999999999999E-2</v>
      </c>
      <c r="G80" s="27"/>
      <c r="H80" s="27"/>
      <c r="I80" s="27"/>
      <c r="J80" s="27"/>
      <c r="K80" s="83">
        <f t="shared" si="30"/>
        <v>1.7</v>
      </c>
      <c r="L80" s="83">
        <f t="shared" si="31"/>
        <v>10.199999999999999</v>
      </c>
      <c r="M80" s="83">
        <f t="shared" si="32"/>
        <v>457.14285714285717</v>
      </c>
      <c r="N80" s="178">
        <f t="shared" si="33"/>
        <v>6.8571428571428577</v>
      </c>
      <c r="O80" s="83" t="str">
        <f t="shared" si="34"/>
        <v/>
      </c>
      <c r="P80" s="83" t="str">
        <f t="shared" si="35"/>
        <v/>
      </c>
      <c r="Q80" s="83" t="str">
        <f t="shared" si="36"/>
        <v/>
      </c>
      <c r="R80" s="83" t="str">
        <f t="shared" si="37"/>
        <v/>
      </c>
      <c r="S80" s="27">
        <f t="shared" si="44"/>
        <v>3</v>
      </c>
      <c r="T80" s="84">
        <f t="shared" si="39"/>
        <v>20.057142857142857</v>
      </c>
      <c r="U80" s="84">
        <f t="shared" si="40"/>
        <v>21.060000000000002</v>
      </c>
      <c r="V80" s="36">
        <f t="shared" si="41"/>
        <v>0.70200000000000007</v>
      </c>
      <c r="W80" s="36">
        <f>D80/B80+F81/B80+H80/B80+J80/B80</f>
        <v>0.20100000000000001</v>
      </c>
      <c r="X80" s="141">
        <f t="shared" si="43"/>
        <v>0.8</v>
      </c>
    </row>
    <row r="81" spans="1:24">
      <c r="A81" s="26" t="s">
        <v>1393</v>
      </c>
      <c r="B81" s="27">
        <v>30</v>
      </c>
      <c r="C81" s="27" t="s">
        <v>1626</v>
      </c>
      <c r="D81" s="27">
        <v>6</v>
      </c>
      <c r="E81" s="27" t="s">
        <v>1293</v>
      </c>
      <c r="F81" s="27">
        <v>0.03</v>
      </c>
      <c r="G81" s="27"/>
      <c r="H81" s="27"/>
      <c r="I81" s="27"/>
      <c r="J81" s="27"/>
      <c r="K81" s="83">
        <f t="shared" si="30"/>
        <v>1.7</v>
      </c>
      <c r="L81" s="83">
        <f t="shared" si="31"/>
        <v>10.199999999999999</v>
      </c>
      <c r="M81" s="83">
        <f t="shared" si="32"/>
        <v>457.14285714285717</v>
      </c>
      <c r="N81" s="178">
        <f t="shared" si="33"/>
        <v>13.714285714285715</v>
      </c>
      <c r="O81" s="83" t="str">
        <f t="shared" si="34"/>
        <v/>
      </c>
      <c r="P81" s="83" t="str">
        <f t="shared" si="35"/>
        <v/>
      </c>
      <c r="Q81" s="83" t="str">
        <f t="shared" si="36"/>
        <v/>
      </c>
      <c r="R81" s="83" t="str">
        <f t="shared" si="37"/>
        <v/>
      </c>
      <c r="S81" s="27">
        <f t="shared" si="44"/>
        <v>3</v>
      </c>
      <c r="T81" s="84">
        <f t="shared" si="39"/>
        <v>26.914285714285715</v>
      </c>
      <c r="U81" s="84">
        <f t="shared" si="40"/>
        <v>28.26</v>
      </c>
      <c r="V81" s="36">
        <f t="shared" si="41"/>
        <v>0.94200000000000006</v>
      </c>
      <c r="W81" s="36">
        <f>D81/B81+F82/B81+H81/B81+J81/B81</f>
        <v>0.30000000000000004</v>
      </c>
      <c r="X81" s="141">
        <f t="shared" si="43"/>
        <v>1</v>
      </c>
    </row>
    <row r="82" spans="1:24">
      <c r="A82" s="26" t="s">
        <v>1625</v>
      </c>
      <c r="B82" s="27">
        <v>20</v>
      </c>
      <c r="C82" s="27"/>
      <c r="D82" s="27"/>
      <c r="E82" s="27" t="s">
        <v>1626</v>
      </c>
      <c r="F82" s="27">
        <v>3</v>
      </c>
      <c r="G82" s="27" t="s">
        <v>1627</v>
      </c>
      <c r="H82" s="27">
        <v>0.5</v>
      </c>
      <c r="I82" s="27"/>
      <c r="J82" s="27"/>
      <c r="K82" s="83" t="str">
        <f t="shared" si="30"/>
        <v/>
      </c>
      <c r="L82" s="83" t="str">
        <f t="shared" si="31"/>
        <v/>
      </c>
      <c r="M82" s="83">
        <f t="shared" si="32"/>
        <v>1.7</v>
      </c>
      <c r="N82" s="83">
        <f t="shared" si="33"/>
        <v>5.0999999999999996</v>
      </c>
      <c r="O82" s="83">
        <f t="shared" si="34"/>
        <v>3.4117647058823528</v>
      </c>
      <c r="P82" s="83">
        <f t="shared" si="35"/>
        <v>1.7058823529411764</v>
      </c>
      <c r="Q82" s="83" t="str">
        <f t="shared" si="36"/>
        <v/>
      </c>
      <c r="R82" s="83" t="str">
        <f t="shared" si="37"/>
        <v/>
      </c>
      <c r="S82" s="27">
        <f t="shared" si="44"/>
        <v>2</v>
      </c>
      <c r="T82" s="84">
        <f t="shared" si="39"/>
        <v>8.8058823529411754</v>
      </c>
      <c r="U82" s="84">
        <f t="shared" si="40"/>
        <v>9.2461764705882352</v>
      </c>
      <c r="V82" s="36">
        <f t="shared" si="41"/>
        <v>0.46230882352941177</v>
      </c>
      <c r="W82" s="36">
        <f t="shared" si="42"/>
        <v>0.17499999999999999</v>
      </c>
      <c r="X82" s="141">
        <f t="shared" si="43"/>
        <v>0.5</v>
      </c>
    </row>
    <row r="83" spans="1:24">
      <c r="A83" s="26" t="s">
        <v>1677</v>
      </c>
      <c r="B83" s="27">
        <v>20</v>
      </c>
      <c r="C83" s="27" t="s">
        <v>1626</v>
      </c>
      <c r="D83" s="27">
        <v>0.8</v>
      </c>
      <c r="E83" s="27" t="s">
        <v>1678</v>
      </c>
      <c r="F83" s="27">
        <v>1</v>
      </c>
      <c r="G83" s="27" t="s">
        <v>1628</v>
      </c>
      <c r="H83" s="27">
        <v>0.5</v>
      </c>
      <c r="I83" s="27"/>
      <c r="J83" s="27"/>
      <c r="K83" s="83">
        <f t="shared" si="30"/>
        <v>1.7</v>
      </c>
      <c r="L83" s="83">
        <f t="shared" si="31"/>
        <v>1.36</v>
      </c>
      <c r="M83" s="83">
        <f t="shared" si="32"/>
        <v>1.6470588235294117</v>
      </c>
      <c r="N83" s="83">
        <f t="shared" si="33"/>
        <v>1.6470588235294117</v>
      </c>
      <c r="O83" s="83">
        <f t="shared" si="34"/>
        <v>13</v>
      </c>
      <c r="P83" s="83">
        <f t="shared" si="35"/>
        <v>6.5</v>
      </c>
      <c r="Q83" s="83" t="str">
        <f t="shared" si="36"/>
        <v/>
      </c>
      <c r="R83" s="83" t="str">
        <f t="shared" si="37"/>
        <v/>
      </c>
      <c r="S83" s="27">
        <f>B83*0.15</f>
        <v>3</v>
      </c>
      <c r="T83" s="84">
        <f t="shared" si="39"/>
        <v>12.507058823529412</v>
      </c>
      <c r="U83" s="84">
        <f t="shared" si="40"/>
        <v>13.132411764705884</v>
      </c>
      <c r="V83" s="36">
        <f t="shared" si="41"/>
        <v>0.65662058823529423</v>
      </c>
      <c r="W83" s="36">
        <f t="shared" si="42"/>
        <v>0.11499999999999999</v>
      </c>
      <c r="X83" s="141">
        <f t="shared" si="43"/>
        <v>0.7</v>
      </c>
    </row>
    <row r="84" spans="1:24">
      <c r="A84" s="26" t="s">
        <v>1676</v>
      </c>
      <c r="B84" s="27">
        <v>20</v>
      </c>
      <c r="C84" s="27" t="s">
        <v>1626</v>
      </c>
      <c r="D84" s="27">
        <v>0.8</v>
      </c>
      <c r="E84" s="27" t="s">
        <v>1630</v>
      </c>
      <c r="F84" s="27">
        <v>1</v>
      </c>
      <c r="G84" s="27" t="s">
        <v>1299</v>
      </c>
      <c r="H84" s="27">
        <v>0.5</v>
      </c>
      <c r="I84" s="27"/>
      <c r="J84" s="27"/>
      <c r="K84" s="83">
        <f t="shared" si="30"/>
        <v>1.7</v>
      </c>
      <c r="L84" s="83">
        <f t="shared" si="31"/>
        <v>1.36</v>
      </c>
      <c r="M84" s="83">
        <f t="shared" si="32"/>
        <v>0.70588235294117652</v>
      </c>
      <c r="N84" s="83">
        <f t="shared" si="33"/>
        <v>0.70588235294117652</v>
      </c>
      <c r="O84" s="83">
        <f t="shared" si="34"/>
        <v>6.4285714285714288</v>
      </c>
      <c r="P84" s="83">
        <f t="shared" si="35"/>
        <v>3.2142857142857144</v>
      </c>
      <c r="Q84" s="83" t="str">
        <f t="shared" si="36"/>
        <v/>
      </c>
      <c r="R84" s="83" t="str">
        <f t="shared" si="37"/>
        <v/>
      </c>
      <c r="S84" s="27">
        <f t="shared" si="44"/>
        <v>2</v>
      </c>
      <c r="T84" s="84">
        <f t="shared" si="39"/>
        <v>7.2801680672268905</v>
      </c>
      <c r="U84" s="84">
        <f t="shared" si="40"/>
        <v>7.6441764705882349</v>
      </c>
      <c r="V84" s="36">
        <f t="shared" si="41"/>
        <v>0.38220882352941177</v>
      </c>
      <c r="W84" s="36">
        <f t="shared" si="42"/>
        <v>0.11499999999999999</v>
      </c>
      <c r="X84" s="141">
        <f t="shared" si="43"/>
        <v>0.4</v>
      </c>
    </row>
    <row r="85" spans="1:24">
      <c r="A85" s="26" t="s">
        <v>1376</v>
      </c>
      <c r="B85" s="27">
        <v>10</v>
      </c>
      <c r="C85" s="27" t="s">
        <v>1626</v>
      </c>
      <c r="D85" s="27">
        <v>1.5</v>
      </c>
      <c r="E85" s="27" t="s">
        <v>1627</v>
      </c>
      <c r="F85" s="27">
        <v>0.3</v>
      </c>
      <c r="G85" s="27"/>
      <c r="H85" s="27"/>
      <c r="I85" s="27"/>
      <c r="J85" s="27"/>
      <c r="K85" s="83">
        <f t="shared" si="30"/>
        <v>1.7</v>
      </c>
      <c r="L85" s="83">
        <f t="shared" si="31"/>
        <v>2.5499999999999998</v>
      </c>
      <c r="M85" s="83">
        <f t="shared" si="32"/>
        <v>3.4117647058823528</v>
      </c>
      <c r="N85" s="83">
        <f t="shared" si="33"/>
        <v>1.0235294117647058</v>
      </c>
      <c r="O85" s="83" t="str">
        <f t="shared" si="34"/>
        <v/>
      </c>
      <c r="P85" s="83" t="str">
        <f t="shared" si="35"/>
        <v/>
      </c>
      <c r="Q85" s="83" t="str">
        <f t="shared" si="36"/>
        <v/>
      </c>
      <c r="R85" s="83" t="str">
        <f t="shared" si="37"/>
        <v/>
      </c>
      <c r="S85" s="27">
        <f t="shared" si="44"/>
        <v>1</v>
      </c>
      <c r="T85" s="84">
        <f t="shared" si="39"/>
        <v>4.5735294117647056</v>
      </c>
      <c r="U85" s="84">
        <f t="shared" si="40"/>
        <v>4.8022058823529408</v>
      </c>
      <c r="V85" s="36">
        <f t="shared" si="41"/>
        <v>0.48022058823529407</v>
      </c>
      <c r="W85" s="36">
        <f t="shared" si="42"/>
        <v>0.18</v>
      </c>
      <c r="X85" s="141">
        <f t="shared" si="43"/>
        <v>0.5</v>
      </c>
    </row>
    <row r="86" spans="1:24">
      <c r="A86" s="26" t="s">
        <v>1679</v>
      </c>
      <c r="B86" s="27">
        <v>50</v>
      </c>
      <c r="C86" s="27" t="s">
        <v>1604</v>
      </c>
      <c r="D86" s="27">
        <v>2</v>
      </c>
      <c r="E86" s="27" t="s">
        <v>1605</v>
      </c>
      <c r="F86" s="27">
        <v>2</v>
      </c>
      <c r="G86" s="27" t="s">
        <v>1680</v>
      </c>
      <c r="H86" s="27">
        <v>2</v>
      </c>
      <c r="I86" s="27"/>
      <c r="J86" s="27"/>
      <c r="K86" s="83">
        <f t="shared" si="30"/>
        <v>2.27</v>
      </c>
      <c r="L86" s="83">
        <f t="shared" si="31"/>
        <v>4.54</v>
      </c>
      <c r="M86" s="83">
        <f t="shared" si="32"/>
        <v>4</v>
      </c>
      <c r="N86" s="83">
        <f t="shared" si="33"/>
        <v>8</v>
      </c>
      <c r="O86" s="83">
        <f t="shared" si="34"/>
        <v>7</v>
      </c>
      <c r="P86" s="83">
        <f t="shared" si="35"/>
        <v>14</v>
      </c>
      <c r="Q86" s="83" t="str">
        <f t="shared" si="36"/>
        <v/>
      </c>
      <c r="R86" s="83" t="str">
        <f t="shared" si="37"/>
        <v/>
      </c>
      <c r="S86" s="27">
        <f t="shared" si="44"/>
        <v>5</v>
      </c>
      <c r="T86" s="84">
        <f t="shared" si="39"/>
        <v>31.54</v>
      </c>
      <c r="U86" s="84">
        <f t="shared" si="40"/>
        <v>33.116999999999997</v>
      </c>
      <c r="V86" s="36">
        <f t="shared" si="41"/>
        <v>0.66233999999999993</v>
      </c>
      <c r="W86" s="36">
        <f t="shared" si="42"/>
        <v>0.12</v>
      </c>
      <c r="X86" s="141">
        <f t="shared" si="43"/>
        <v>0.7</v>
      </c>
    </row>
    <row r="87" spans="1:24">
      <c r="A87" s="26" t="s">
        <v>1377</v>
      </c>
      <c r="B87" s="27">
        <v>50</v>
      </c>
      <c r="C87" s="27" t="s">
        <v>1605</v>
      </c>
      <c r="D87" s="27">
        <v>2</v>
      </c>
      <c r="E87" s="27" t="s">
        <v>1682</v>
      </c>
      <c r="F87" s="27">
        <v>3</v>
      </c>
      <c r="G87" s="27" t="s">
        <v>1604</v>
      </c>
      <c r="H87" s="27">
        <v>1</v>
      </c>
      <c r="I87" s="27"/>
      <c r="J87" s="27"/>
      <c r="K87" s="83">
        <f t="shared" si="30"/>
        <v>4</v>
      </c>
      <c r="L87" s="83">
        <f t="shared" si="31"/>
        <v>8</v>
      </c>
      <c r="M87" s="83">
        <f t="shared" si="32"/>
        <v>3</v>
      </c>
      <c r="N87" s="83">
        <f t="shared" si="33"/>
        <v>9</v>
      </c>
      <c r="O87" s="83">
        <f t="shared" si="34"/>
        <v>2.27</v>
      </c>
      <c r="P87" s="83">
        <f t="shared" si="35"/>
        <v>2.27</v>
      </c>
      <c r="Q87" s="83" t="str">
        <f t="shared" si="36"/>
        <v/>
      </c>
      <c r="R87" s="83" t="str">
        <f t="shared" si="37"/>
        <v/>
      </c>
      <c r="S87" s="27">
        <f t="shared" si="44"/>
        <v>5</v>
      </c>
      <c r="T87" s="84">
        <f t="shared" si="39"/>
        <v>24.27</v>
      </c>
      <c r="U87" s="84">
        <f t="shared" si="40"/>
        <v>25.483499999999999</v>
      </c>
      <c r="V87" s="36">
        <f t="shared" si="41"/>
        <v>0.50966999999999996</v>
      </c>
      <c r="W87" s="36">
        <f t="shared" si="42"/>
        <v>0.12000000000000001</v>
      </c>
      <c r="X87" s="141">
        <f t="shared" si="43"/>
        <v>0.6</v>
      </c>
    </row>
    <row r="88" spans="1:24">
      <c r="A88" s="26" t="s">
        <v>1694</v>
      </c>
      <c r="B88" s="27">
        <v>20</v>
      </c>
      <c r="C88" s="27" t="s">
        <v>1406</v>
      </c>
      <c r="D88" s="27">
        <v>0.8</v>
      </c>
      <c r="E88" s="27" t="s">
        <v>1695</v>
      </c>
      <c r="F88" s="27">
        <v>1.5</v>
      </c>
      <c r="G88" s="27" t="s">
        <v>1299</v>
      </c>
      <c r="H88" s="27">
        <v>0.5</v>
      </c>
      <c r="I88" s="27"/>
      <c r="J88" s="27"/>
      <c r="K88" s="83">
        <f t="shared" si="30"/>
        <v>1.7</v>
      </c>
      <c r="L88" s="83">
        <f t="shared" si="31"/>
        <v>1.36</v>
      </c>
      <c r="M88" s="83">
        <f t="shared" si="32"/>
        <v>0.94117647058823539</v>
      </c>
      <c r="N88" s="83">
        <f t="shared" si="33"/>
        <v>1.411764705882353</v>
      </c>
      <c r="O88" s="83">
        <f t="shared" si="34"/>
        <v>6.4285714285714288</v>
      </c>
      <c r="P88" s="83">
        <f t="shared" si="35"/>
        <v>3.2142857142857144</v>
      </c>
      <c r="Q88" s="83" t="str">
        <f t="shared" si="36"/>
        <v/>
      </c>
      <c r="R88" s="83" t="str">
        <f t="shared" si="37"/>
        <v/>
      </c>
      <c r="S88" s="27">
        <f t="shared" si="44"/>
        <v>2</v>
      </c>
      <c r="T88" s="84">
        <f t="shared" si="39"/>
        <v>7.986050420168068</v>
      </c>
      <c r="U88" s="84">
        <f t="shared" si="40"/>
        <v>8.3853529411764711</v>
      </c>
      <c r="V88" s="36">
        <f t="shared" si="41"/>
        <v>0.41926764705882358</v>
      </c>
      <c r="W88" s="36">
        <f t="shared" si="42"/>
        <v>0.13999999999999999</v>
      </c>
      <c r="X88" s="141">
        <f t="shared" si="43"/>
        <v>0.5</v>
      </c>
    </row>
    <row r="89" spans="1:24">
      <c r="A89" s="26" t="s">
        <v>1696</v>
      </c>
      <c r="B89" s="27">
        <v>20</v>
      </c>
      <c r="C89" s="27" t="s">
        <v>1697</v>
      </c>
      <c r="D89" s="27">
        <v>2</v>
      </c>
      <c r="E89" s="27" t="s">
        <v>1293</v>
      </c>
      <c r="F89" s="27">
        <v>0.02</v>
      </c>
      <c r="G89" s="27"/>
      <c r="H89" s="27"/>
      <c r="I89" s="27"/>
      <c r="J89" s="27"/>
      <c r="K89" s="83">
        <f t="shared" si="30"/>
        <v>1.7</v>
      </c>
      <c r="L89" s="83">
        <f t="shared" si="31"/>
        <v>3.4</v>
      </c>
      <c r="M89" s="83">
        <f t="shared" si="32"/>
        <v>457.14285714285717</v>
      </c>
      <c r="N89" s="83">
        <f t="shared" si="33"/>
        <v>9.1428571428571441</v>
      </c>
      <c r="O89" s="83" t="str">
        <f t="shared" si="34"/>
        <v/>
      </c>
      <c r="P89" s="83" t="str">
        <f t="shared" si="35"/>
        <v/>
      </c>
      <c r="Q89" s="83" t="str">
        <f t="shared" si="36"/>
        <v/>
      </c>
      <c r="R89" s="83" t="str">
        <f t="shared" si="37"/>
        <v/>
      </c>
      <c r="S89" s="27">
        <f t="shared" si="44"/>
        <v>2</v>
      </c>
      <c r="T89" s="84">
        <f t="shared" si="39"/>
        <v>14.542857142857144</v>
      </c>
      <c r="U89" s="84">
        <f t="shared" si="40"/>
        <v>15.270000000000003</v>
      </c>
      <c r="V89" s="36">
        <f t="shared" si="41"/>
        <v>0.76350000000000018</v>
      </c>
      <c r="W89" s="36">
        <f t="shared" si="42"/>
        <v>0.10100000000000001</v>
      </c>
      <c r="X89" s="141">
        <f t="shared" si="43"/>
        <v>0.8</v>
      </c>
    </row>
    <row r="90" spans="1:24">
      <c r="A90" s="26" t="s">
        <v>1700</v>
      </c>
      <c r="B90" s="27">
        <v>20</v>
      </c>
      <c r="C90" s="27" t="s">
        <v>1406</v>
      </c>
      <c r="D90" s="27">
        <v>0.8</v>
      </c>
      <c r="E90" s="27" t="s">
        <v>1701</v>
      </c>
      <c r="F90" s="27">
        <v>1.1000000000000001</v>
      </c>
      <c r="G90" s="27" t="s">
        <v>319</v>
      </c>
      <c r="H90" s="27">
        <v>0.4</v>
      </c>
      <c r="I90" s="27"/>
      <c r="J90" s="27"/>
      <c r="K90" s="83">
        <f t="shared" si="30"/>
        <v>1.7</v>
      </c>
      <c r="L90" s="83">
        <f t="shared" si="31"/>
        <v>1.36</v>
      </c>
      <c r="M90" s="83">
        <f t="shared" si="32"/>
        <v>0.88235294117647056</v>
      </c>
      <c r="N90" s="83">
        <f t="shared" si="33"/>
        <v>0.97058823529411775</v>
      </c>
      <c r="O90" s="83">
        <f t="shared" si="34"/>
        <v>3.5714285714285716</v>
      </c>
      <c r="P90" s="83">
        <f t="shared" si="35"/>
        <v>1.4285714285714288</v>
      </c>
      <c r="Q90" s="83" t="str">
        <f t="shared" si="36"/>
        <v/>
      </c>
      <c r="R90" s="83" t="str">
        <f t="shared" si="37"/>
        <v/>
      </c>
      <c r="S90" s="27">
        <f t="shared" si="44"/>
        <v>2</v>
      </c>
      <c r="T90" s="84">
        <f t="shared" si="39"/>
        <v>5.7591596638655469</v>
      </c>
      <c r="U90" s="84">
        <f t="shared" si="40"/>
        <v>6.0471176470588244</v>
      </c>
      <c r="V90" s="36">
        <f t="shared" si="41"/>
        <v>0.3023558823529412</v>
      </c>
      <c r="W90" s="36">
        <f t="shared" si="42"/>
        <v>0.115</v>
      </c>
      <c r="X90" s="141">
        <f t="shared" si="43"/>
        <v>0.3</v>
      </c>
    </row>
    <row r="91" spans="1:24">
      <c r="A91" s="26" t="s">
        <v>1702</v>
      </c>
      <c r="B91" s="27">
        <v>20</v>
      </c>
      <c r="C91" s="27" t="s">
        <v>1406</v>
      </c>
      <c r="D91" s="27">
        <v>2</v>
      </c>
      <c r="E91" s="27" t="s">
        <v>372</v>
      </c>
      <c r="F91" s="27">
        <v>0.3</v>
      </c>
      <c r="G91" s="27"/>
      <c r="H91" s="27"/>
      <c r="I91" s="27"/>
      <c r="J91" s="27"/>
      <c r="K91" s="83">
        <f t="shared" si="30"/>
        <v>1.7</v>
      </c>
      <c r="L91" s="83">
        <f t="shared" si="31"/>
        <v>3.4</v>
      </c>
      <c r="M91" s="83">
        <f t="shared" si="32"/>
        <v>10</v>
      </c>
      <c r="N91" s="83">
        <f t="shared" si="33"/>
        <v>3</v>
      </c>
      <c r="O91" s="83" t="str">
        <f t="shared" si="34"/>
        <v/>
      </c>
      <c r="P91" s="83" t="str">
        <f t="shared" si="35"/>
        <v/>
      </c>
      <c r="Q91" s="83" t="str">
        <f t="shared" si="36"/>
        <v/>
      </c>
      <c r="R91" s="83" t="str">
        <f t="shared" si="37"/>
        <v/>
      </c>
      <c r="S91" s="27">
        <f t="shared" si="44"/>
        <v>2</v>
      </c>
      <c r="T91" s="84">
        <f t="shared" si="39"/>
        <v>8.4</v>
      </c>
      <c r="U91" s="84">
        <f t="shared" si="40"/>
        <v>8.82</v>
      </c>
      <c r="V91" s="36">
        <f t="shared" si="41"/>
        <v>0.441</v>
      </c>
      <c r="W91" s="36">
        <f t="shared" si="42"/>
        <v>0.115</v>
      </c>
      <c r="X91" s="141">
        <f t="shared" si="43"/>
        <v>0.5</v>
      </c>
    </row>
    <row r="92" spans="1:24">
      <c r="A92" s="26" t="s">
        <v>1703</v>
      </c>
      <c r="B92" s="27">
        <v>20</v>
      </c>
      <c r="C92" s="27" t="s">
        <v>1406</v>
      </c>
      <c r="D92" s="27">
        <v>3</v>
      </c>
      <c r="E92" s="27" t="s">
        <v>1293</v>
      </c>
      <c r="F92" s="27">
        <v>0.01</v>
      </c>
      <c r="G92" s="27"/>
      <c r="H92" s="27"/>
      <c r="I92" s="27"/>
      <c r="J92" s="27"/>
      <c r="K92" s="83">
        <f t="shared" si="30"/>
        <v>1.7</v>
      </c>
      <c r="L92" s="83">
        <f t="shared" si="31"/>
        <v>5.0999999999999996</v>
      </c>
      <c r="M92" s="83">
        <f t="shared" si="32"/>
        <v>457.14285714285717</v>
      </c>
      <c r="N92" s="83">
        <f t="shared" si="33"/>
        <v>4.5714285714285721</v>
      </c>
      <c r="O92" s="83" t="str">
        <f t="shared" si="34"/>
        <v/>
      </c>
      <c r="P92" s="83" t="str">
        <f t="shared" si="35"/>
        <v/>
      </c>
      <c r="Q92" s="83" t="str">
        <f t="shared" si="36"/>
        <v/>
      </c>
      <c r="R92" s="83" t="str">
        <f t="shared" si="37"/>
        <v/>
      </c>
      <c r="S92" s="27">
        <f t="shared" si="44"/>
        <v>2</v>
      </c>
      <c r="T92" s="84">
        <f t="shared" si="39"/>
        <v>11.671428571428571</v>
      </c>
      <c r="U92" s="84">
        <f t="shared" si="40"/>
        <v>12.254999999999999</v>
      </c>
      <c r="V92" s="36">
        <f t="shared" si="41"/>
        <v>0.61274999999999991</v>
      </c>
      <c r="W92" s="36">
        <f t="shared" si="42"/>
        <v>0.15049999999999999</v>
      </c>
      <c r="X92" s="141">
        <f t="shared" si="43"/>
        <v>0.7</v>
      </c>
    </row>
    <row r="93" spans="1:24">
      <c r="A93" s="26" t="s">
        <v>1717</v>
      </c>
      <c r="B93" s="27">
        <v>20</v>
      </c>
      <c r="C93" s="27" t="s">
        <v>1718</v>
      </c>
      <c r="D93" s="27">
        <v>3</v>
      </c>
      <c r="E93" s="27"/>
      <c r="F93" s="27"/>
      <c r="G93" s="27"/>
      <c r="H93" s="27"/>
      <c r="I93" s="27"/>
      <c r="J93" s="27"/>
      <c r="K93" s="83">
        <f t="shared" si="30"/>
        <v>1.7</v>
      </c>
      <c r="L93" s="83">
        <f t="shared" si="31"/>
        <v>5.0999999999999996</v>
      </c>
      <c r="M93" s="83" t="str">
        <f t="shared" si="32"/>
        <v/>
      </c>
      <c r="N93" s="83" t="str">
        <f t="shared" si="33"/>
        <v/>
      </c>
      <c r="O93" s="83" t="str">
        <f t="shared" si="34"/>
        <v/>
      </c>
      <c r="P93" s="83" t="str">
        <f t="shared" si="35"/>
        <v/>
      </c>
      <c r="Q93" s="83" t="str">
        <f t="shared" si="36"/>
        <v/>
      </c>
      <c r="R93" s="83" t="str">
        <f t="shared" si="37"/>
        <v/>
      </c>
      <c r="S93" s="27">
        <f>B93*0.3</f>
        <v>6</v>
      </c>
      <c r="T93" s="84">
        <f t="shared" si="39"/>
        <v>11.1</v>
      </c>
      <c r="U93" s="84">
        <f t="shared" si="40"/>
        <v>11.654999999999999</v>
      </c>
      <c r="V93" s="36">
        <f t="shared" si="41"/>
        <v>0.58274999999999999</v>
      </c>
      <c r="W93" s="36">
        <f t="shared" si="42"/>
        <v>0.15</v>
      </c>
      <c r="X93" s="141">
        <f t="shared" si="43"/>
        <v>0.6</v>
      </c>
    </row>
    <row r="94" spans="1:24">
      <c r="A94" s="26" t="s">
        <v>1719</v>
      </c>
      <c r="B94" s="27">
        <v>20</v>
      </c>
      <c r="C94" s="27" t="s">
        <v>1718</v>
      </c>
      <c r="D94" s="27">
        <v>0.8</v>
      </c>
      <c r="E94" s="27" t="s">
        <v>1720</v>
      </c>
      <c r="F94" s="27">
        <v>1.2</v>
      </c>
      <c r="G94" s="27" t="s">
        <v>1293</v>
      </c>
      <c r="H94" s="27">
        <v>0.01</v>
      </c>
      <c r="I94" s="27"/>
      <c r="J94" s="27"/>
      <c r="K94" s="83">
        <f t="shared" si="30"/>
        <v>1.7</v>
      </c>
      <c r="L94" s="83">
        <f t="shared" si="31"/>
        <v>1.36</v>
      </c>
      <c r="M94" s="83">
        <f t="shared" si="32"/>
        <v>4.5</v>
      </c>
      <c r="N94" s="83">
        <f t="shared" si="33"/>
        <v>5.3999999999999995</v>
      </c>
      <c r="O94" s="83">
        <f t="shared" si="34"/>
        <v>457.14285714285717</v>
      </c>
      <c r="P94" s="83">
        <f t="shared" si="35"/>
        <v>4.5714285714285721</v>
      </c>
      <c r="Q94" s="83" t="str">
        <f t="shared" si="36"/>
        <v/>
      </c>
      <c r="R94" s="83" t="str">
        <f t="shared" si="37"/>
        <v/>
      </c>
      <c r="S94" s="27">
        <f t="shared" si="44"/>
        <v>2</v>
      </c>
      <c r="T94" s="84">
        <f t="shared" si="39"/>
        <v>13.331428571428571</v>
      </c>
      <c r="U94" s="84">
        <f t="shared" si="40"/>
        <v>13.997999999999999</v>
      </c>
      <c r="V94" s="36">
        <f t="shared" si="41"/>
        <v>0.69989999999999997</v>
      </c>
      <c r="W94" s="36">
        <f t="shared" si="42"/>
        <v>0.10050000000000001</v>
      </c>
      <c r="X94" s="141">
        <f t="shared" si="43"/>
        <v>0.8</v>
      </c>
    </row>
    <row r="95" spans="1:24">
      <c r="A95" s="26" t="s">
        <v>1722</v>
      </c>
      <c r="B95" s="27">
        <v>1</v>
      </c>
      <c r="C95" s="27" t="s">
        <v>1723</v>
      </c>
      <c r="D95" s="27">
        <v>0.5</v>
      </c>
      <c r="E95" s="27"/>
      <c r="F95" s="27"/>
      <c r="G95" s="27"/>
      <c r="H95" s="27"/>
      <c r="I95" s="27"/>
      <c r="J95" s="27"/>
      <c r="K95" s="83">
        <f t="shared" si="30"/>
        <v>3.0588235294117649</v>
      </c>
      <c r="L95" s="83">
        <f t="shared" si="31"/>
        <v>1.5294117647058825</v>
      </c>
      <c r="M95" s="83" t="str">
        <f t="shared" si="32"/>
        <v/>
      </c>
      <c r="N95" s="83" t="str">
        <f t="shared" si="33"/>
        <v/>
      </c>
      <c r="O95" s="83" t="str">
        <f t="shared" si="34"/>
        <v/>
      </c>
      <c r="P95" s="83" t="str">
        <f t="shared" si="35"/>
        <v/>
      </c>
      <c r="Q95" s="83" t="str">
        <f t="shared" si="36"/>
        <v/>
      </c>
      <c r="R95" s="83" t="str">
        <f t="shared" si="37"/>
        <v/>
      </c>
      <c r="S95" s="27">
        <f t="shared" si="44"/>
        <v>0.1</v>
      </c>
      <c r="T95" s="84">
        <f t="shared" si="39"/>
        <v>1.6294117647058826</v>
      </c>
      <c r="U95" s="84">
        <f t="shared" si="40"/>
        <v>1.7108823529411767</v>
      </c>
      <c r="V95" s="36">
        <f t="shared" si="41"/>
        <v>1.7108823529411767</v>
      </c>
      <c r="W95" s="36">
        <f t="shared" si="42"/>
        <v>0.5</v>
      </c>
      <c r="X95" s="141">
        <f t="shared" si="43"/>
        <v>1.9</v>
      </c>
    </row>
    <row r="96" spans="1:24">
      <c r="A96" s="26" t="s">
        <v>1724</v>
      </c>
      <c r="B96" s="27">
        <v>50</v>
      </c>
      <c r="C96" s="27" t="s">
        <v>1725</v>
      </c>
      <c r="D96" s="27">
        <v>1</v>
      </c>
      <c r="E96" s="27" t="s">
        <v>1726</v>
      </c>
      <c r="F96" s="27">
        <v>2</v>
      </c>
      <c r="G96" s="27" t="s">
        <v>1727</v>
      </c>
      <c r="H96" s="27">
        <v>2</v>
      </c>
      <c r="I96" s="27"/>
      <c r="J96" s="27"/>
      <c r="K96" s="83">
        <f t="shared" si="30"/>
        <v>2.27</v>
      </c>
      <c r="L96" s="83">
        <f t="shared" si="31"/>
        <v>2.27</v>
      </c>
      <c r="M96" s="83">
        <f t="shared" si="32"/>
        <v>4</v>
      </c>
      <c r="N96" s="83">
        <f t="shared" si="33"/>
        <v>8</v>
      </c>
      <c r="O96" s="83">
        <f t="shared" si="34"/>
        <v>3</v>
      </c>
      <c r="P96" s="83">
        <f t="shared" si="35"/>
        <v>6</v>
      </c>
      <c r="Q96" s="83" t="str">
        <f t="shared" si="36"/>
        <v/>
      </c>
      <c r="R96" s="83" t="str">
        <f t="shared" si="37"/>
        <v/>
      </c>
      <c r="S96" s="27">
        <f t="shared" si="44"/>
        <v>5</v>
      </c>
      <c r="T96" s="84">
        <f t="shared" si="39"/>
        <v>21.27</v>
      </c>
      <c r="U96" s="84">
        <f t="shared" si="40"/>
        <v>22.333500000000001</v>
      </c>
      <c r="V96" s="36">
        <f t="shared" si="41"/>
        <v>0.44667000000000001</v>
      </c>
      <c r="W96" s="36">
        <f t="shared" si="42"/>
        <v>0.1</v>
      </c>
      <c r="X96" s="141">
        <f t="shared" si="43"/>
        <v>0.5</v>
      </c>
    </row>
    <row r="97" spans="1:24">
      <c r="A97" s="26" t="s">
        <v>1729</v>
      </c>
      <c r="B97" s="27">
        <v>20</v>
      </c>
      <c r="C97" s="27" t="s">
        <v>1718</v>
      </c>
      <c r="D97" s="27">
        <v>1</v>
      </c>
      <c r="E97" s="27" t="s">
        <v>1730</v>
      </c>
      <c r="F97" s="27">
        <v>1.5</v>
      </c>
      <c r="G97" s="27" t="s">
        <v>319</v>
      </c>
      <c r="H97" s="27">
        <v>0.8</v>
      </c>
      <c r="I97" s="27"/>
      <c r="J97" s="27"/>
      <c r="K97" s="83">
        <f t="shared" si="30"/>
        <v>1.7</v>
      </c>
      <c r="L97" s="83">
        <f t="shared" si="31"/>
        <v>1.7</v>
      </c>
      <c r="M97" s="83">
        <f t="shared" si="32"/>
        <v>0.94117647058823539</v>
      </c>
      <c r="N97" s="83">
        <f t="shared" si="33"/>
        <v>1.411764705882353</v>
      </c>
      <c r="O97" s="83">
        <f t="shared" si="34"/>
        <v>3.5714285714285716</v>
      </c>
      <c r="P97" s="83">
        <f t="shared" si="35"/>
        <v>2.8571428571428577</v>
      </c>
      <c r="Q97" s="83" t="str">
        <f t="shared" si="36"/>
        <v/>
      </c>
      <c r="R97" s="83" t="str">
        <f t="shared" si="37"/>
        <v/>
      </c>
      <c r="S97" s="27">
        <f t="shared" si="44"/>
        <v>2</v>
      </c>
      <c r="T97" s="84">
        <f t="shared" si="39"/>
        <v>7.9689075630252102</v>
      </c>
      <c r="U97" s="84">
        <f t="shared" si="40"/>
        <v>8.3673529411764704</v>
      </c>
      <c r="V97" s="36">
        <f t="shared" si="41"/>
        <v>0.41836764705882351</v>
      </c>
      <c r="W97" s="36">
        <f t="shared" si="42"/>
        <v>0.16500000000000001</v>
      </c>
      <c r="X97" s="141">
        <f t="shared" si="43"/>
        <v>0.5</v>
      </c>
    </row>
    <row r="98" spans="1:24">
      <c r="A98" s="26" t="s">
        <v>1980</v>
      </c>
      <c r="B98" s="27">
        <v>20</v>
      </c>
      <c r="C98" s="27" t="s">
        <v>423</v>
      </c>
      <c r="D98" s="27">
        <v>0.8</v>
      </c>
      <c r="E98" s="27" t="s">
        <v>1981</v>
      </c>
      <c r="F98" s="27">
        <v>0.8</v>
      </c>
      <c r="G98" s="27" t="s">
        <v>190</v>
      </c>
      <c r="H98" s="27">
        <v>0.5</v>
      </c>
      <c r="I98" s="27"/>
      <c r="J98" s="27"/>
      <c r="K98" s="83">
        <f t="shared" si="30"/>
        <v>1.7</v>
      </c>
      <c r="L98" s="83">
        <f t="shared" si="31"/>
        <v>1.36</v>
      </c>
      <c r="M98" s="83">
        <f t="shared" si="32"/>
        <v>2.1176470588235294</v>
      </c>
      <c r="N98" s="83">
        <f t="shared" si="33"/>
        <v>1.6941176470588237</v>
      </c>
      <c r="O98" s="83">
        <f t="shared" si="34"/>
        <v>13</v>
      </c>
      <c r="P98" s="83">
        <f t="shared" si="35"/>
        <v>6.5</v>
      </c>
      <c r="Q98" s="83" t="str">
        <f t="shared" si="36"/>
        <v/>
      </c>
      <c r="R98" s="83" t="str">
        <f t="shared" si="37"/>
        <v/>
      </c>
      <c r="S98" s="27">
        <f t="shared" si="44"/>
        <v>2</v>
      </c>
      <c r="T98" s="84">
        <f t="shared" si="39"/>
        <v>11.554117647058824</v>
      </c>
      <c r="U98" s="84">
        <f t="shared" si="40"/>
        <v>12.131823529411765</v>
      </c>
      <c r="V98" s="36">
        <f t="shared" si="41"/>
        <v>0.60659117647058824</v>
      </c>
      <c r="W98" s="36">
        <f t="shared" si="42"/>
        <v>0.10500000000000001</v>
      </c>
      <c r="X98" s="63">
        <f t="shared" si="43"/>
        <v>0.7</v>
      </c>
    </row>
    <row r="99" spans="1:24">
      <c r="A99" s="26" t="s">
        <v>2112</v>
      </c>
      <c r="B99" s="27">
        <v>20</v>
      </c>
      <c r="C99" s="27" t="s">
        <v>423</v>
      </c>
      <c r="D99" s="27">
        <v>0.8</v>
      </c>
      <c r="E99" s="27" t="s">
        <v>2119</v>
      </c>
      <c r="F99" s="27">
        <v>1.5</v>
      </c>
      <c r="G99" s="27" t="s">
        <v>190</v>
      </c>
      <c r="H99" s="27">
        <v>0.5</v>
      </c>
      <c r="I99" s="27"/>
      <c r="J99" s="27"/>
      <c r="K99" s="83">
        <f t="shared" si="30"/>
        <v>1.7</v>
      </c>
      <c r="L99" s="83">
        <f t="shared" si="31"/>
        <v>1.36</v>
      </c>
      <c r="M99" s="83">
        <f t="shared" si="32"/>
        <v>1.2857142857142858</v>
      </c>
      <c r="N99" s="83">
        <f t="shared" si="33"/>
        <v>1.9285714285714288</v>
      </c>
      <c r="O99" s="83">
        <f t="shared" si="34"/>
        <v>13</v>
      </c>
      <c r="P99" s="83">
        <f t="shared" si="35"/>
        <v>6.5</v>
      </c>
      <c r="Q99" s="83" t="str">
        <f t="shared" si="36"/>
        <v/>
      </c>
      <c r="R99" s="83" t="str">
        <f t="shared" si="37"/>
        <v/>
      </c>
      <c r="S99" s="27">
        <f t="shared" si="44"/>
        <v>2</v>
      </c>
      <c r="T99" s="84">
        <f t="shared" si="39"/>
        <v>11.78857142857143</v>
      </c>
      <c r="U99" s="84">
        <f t="shared" si="40"/>
        <v>12.378000000000002</v>
      </c>
      <c r="V99" s="36">
        <f t="shared" si="41"/>
        <v>0.61890000000000012</v>
      </c>
      <c r="W99" s="36">
        <f t="shared" si="42"/>
        <v>0.13999999999999999</v>
      </c>
      <c r="X99" s="63">
        <f t="shared" si="43"/>
        <v>0.7</v>
      </c>
    </row>
    <row r="100" spans="1:24">
      <c r="A100" s="26" t="s">
        <v>2113</v>
      </c>
      <c r="B100" s="27">
        <v>20</v>
      </c>
      <c r="C100" s="27" t="s">
        <v>423</v>
      </c>
      <c r="D100" s="27">
        <v>0.8</v>
      </c>
      <c r="E100" s="27" t="s">
        <v>2120</v>
      </c>
      <c r="F100" s="27">
        <v>0.8</v>
      </c>
      <c r="G100" s="27" t="s">
        <v>2121</v>
      </c>
      <c r="H100" s="27">
        <v>0.05</v>
      </c>
      <c r="I100" s="27"/>
      <c r="J100" s="27"/>
      <c r="K100" s="83">
        <f t="shared" si="30"/>
        <v>1.7</v>
      </c>
      <c r="L100" s="83">
        <f t="shared" si="31"/>
        <v>1.36</v>
      </c>
      <c r="M100" s="83">
        <f t="shared" si="32"/>
        <v>1.6470588235294117</v>
      </c>
      <c r="N100" s="83">
        <f t="shared" si="33"/>
        <v>1.3176470588235294</v>
      </c>
      <c r="O100" s="83">
        <f t="shared" si="34"/>
        <v>61.428571428571431</v>
      </c>
      <c r="P100" s="83">
        <f t="shared" si="35"/>
        <v>3.0714285714285716</v>
      </c>
      <c r="Q100" s="83" t="str">
        <f t="shared" si="36"/>
        <v/>
      </c>
      <c r="R100" s="83" t="str">
        <f t="shared" si="37"/>
        <v/>
      </c>
      <c r="S100" s="27">
        <f>B100*0.2</f>
        <v>4</v>
      </c>
      <c r="T100" s="84">
        <f t="shared" si="39"/>
        <v>9.7490756302521007</v>
      </c>
      <c r="U100" s="84">
        <f t="shared" si="40"/>
        <v>10.236529411764707</v>
      </c>
      <c r="V100" s="36">
        <f t="shared" si="41"/>
        <v>0.51182647058823538</v>
      </c>
      <c r="W100" s="36">
        <f t="shared" si="42"/>
        <v>8.2500000000000004E-2</v>
      </c>
      <c r="X100" s="63">
        <f t="shared" si="43"/>
        <v>0.6</v>
      </c>
    </row>
    <row r="101" spans="1:24">
      <c r="A101" s="26" t="s">
        <v>2115</v>
      </c>
      <c r="B101" s="27">
        <v>20</v>
      </c>
      <c r="C101" s="27" t="s">
        <v>423</v>
      </c>
      <c r="D101" s="27">
        <v>2</v>
      </c>
      <c r="E101" s="27"/>
      <c r="F101" s="27"/>
      <c r="G101" s="27"/>
      <c r="H101" s="27"/>
      <c r="I101" s="27"/>
      <c r="J101" s="27"/>
      <c r="K101" s="83">
        <f t="shared" si="30"/>
        <v>1.7</v>
      </c>
      <c r="L101" s="83">
        <f t="shared" si="31"/>
        <v>3.4</v>
      </c>
      <c r="M101" s="83" t="str">
        <f t="shared" si="32"/>
        <v/>
      </c>
      <c r="N101" s="83" t="str">
        <f t="shared" si="33"/>
        <v/>
      </c>
      <c r="O101" s="83" t="str">
        <f t="shared" si="34"/>
        <v/>
      </c>
      <c r="P101" s="83" t="str">
        <f t="shared" si="35"/>
        <v/>
      </c>
      <c r="Q101" s="83" t="str">
        <f t="shared" si="36"/>
        <v/>
      </c>
      <c r="R101" s="83" t="str">
        <f t="shared" si="37"/>
        <v/>
      </c>
      <c r="S101" s="27">
        <f>B101*0.2</f>
        <v>4</v>
      </c>
      <c r="T101" s="84">
        <f t="shared" si="39"/>
        <v>7.4</v>
      </c>
      <c r="U101" s="84">
        <f t="shared" si="40"/>
        <v>7.7700000000000005</v>
      </c>
      <c r="V101" s="36">
        <f t="shared" si="41"/>
        <v>0.38850000000000001</v>
      </c>
      <c r="W101" s="36">
        <f t="shared" si="42"/>
        <v>0.1</v>
      </c>
      <c r="X101" s="63">
        <f t="shared" si="43"/>
        <v>0.4</v>
      </c>
    </row>
    <row r="102" spans="1:24">
      <c r="A102" s="26" t="s">
        <v>2114</v>
      </c>
      <c r="B102" s="27">
        <v>20</v>
      </c>
      <c r="C102" s="27" t="s">
        <v>423</v>
      </c>
      <c r="D102" s="27">
        <v>1</v>
      </c>
      <c r="E102" s="27" t="s">
        <v>2122</v>
      </c>
      <c r="F102" s="27">
        <v>1.5</v>
      </c>
      <c r="G102" s="27"/>
      <c r="H102" s="27"/>
      <c r="I102" s="27"/>
      <c r="J102" s="27"/>
      <c r="K102" s="83">
        <f t="shared" si="30"/>
        <v>1.7</v>
      </c>
      <c r="L102" s="83">
        <f t="shared" si="31"/>
        <v>1.7</v>
      </c>
      <c r="M102" s="83">
        <f t="shared" si="32"/>
        <v>2.1176470588235294</v>
      </c>
      <c r="N102" s="83">
        <f t="shared" si="33"/>
        <v>3.1764705882352944</v>
      </c>
      <c r="O102" s="83" t="str">
        <f t="shared" si="34"/>
        <v/>
      </c>
      <c r="P102" s="83" t="str">
        <f t="shared" si="35"/>
        <v/>
      </c>
      <c r="Q102" s="83" t="str">
        <f t="shared" si="36"/>
        <v/>
      </c>
      <c r="R102" s="83" t="str">
        <f t="shared" si="37"/>
        <v/>
      </c>
      <c r="S102" s="27">
        <f t="shared" si="44"/>
        <v>2</v>
      </c>
      <c r="T102" s="84">
        <f t="shared" si="39"/>
        <v>6.8764705882352946</v>
      </c>
      <c r="U102" s="84">
        <f t="shared" si="40"/>
        <v>7.2202941176470592</v>
      </c>
      <c r="V102" s="36">
        <f t="shared" si="41"/>
        <v>0.36101470588235296</v>
      </c>
      <c r="W102" s="36">
        <f t="shared" si="42"/>
        <v>0.125</v>
      </c>
      <c r="X102" s="63">
        <f t="shared" si="43"/>
        <v>0.4</v>
      </c>
    </row>
    <row r="103" spans="1:24">
      <c r="A103" s="26" t="s">
        <v>2117</v>
      </c>
      <c r="B103" s="27">
        <v>20</v>
      </c>
      <c r="C103" s="27" t="s">
        <v>423</v>
      </c>
      <c r="D103" s="27">
        <v>4</v>
      </c>
      <c r="E103" s="27"/>
      <c r="F103" s="27"/>
      <c r="G103" s="27"/>
      <c r="H103" s="27"/>
      <c r="I103" s="27"/>
      <c r="J103" s="27"/>
      <c r="K103" s="83">
        <f t="shared" si="30"/>
        <v>1.7</v>
      </c>
      <c r="L103" s="83">
        <f t="shared" si="31"/>
        <v>6.8</v>
      </c>
      <c r="M103" s="83" t="str">
        <f t="shared" si="32"/>
        <v/>
      </c>
      <c r="N103" s="83" t="str">
        <f t="shared" si="33"/>
        <v/>
      </c>
      <c r="O103" s="83" t="str">
        <f t="shared" si="34"/>
        <v/>
      </c>
      <c r="P103" s="83" t="str">
        <f t="shared" si="35"/>
        <v/>
      </c>
      <c r="Q103" s="83" t="str">
        <f t="shared" si="36"/>
        <v/>
      </c>
      <c r="R103" s="83" t="str">
        <f t="shared" si="37"/>
        <v/>
      </c>
      <c r="S103" s="27">
        <f t="shared" si="44"/>
        <v>2</v>
      </c>
      <c r="T103" s="84">
        <f t="shared" si="39"/>
        <v>8.8000000000000007</v>
      </c>
      <c r="U103" s="84">
        <f t="shared" si="40"/>
        <v>9.240000000000002</v>
      </c>
      <c r="V103" s="36">
        <f t="shared" si="41"/>
        <v>0.46200000000000008</v>
      </c>
      <c r="W103" s="36">
        <f t="shared" si="42"/>
        <v>0.2</v>
      </c>
      <c r="X103" s="63">
        <f t="shared" si="43"/>
        <v>0.5</v>
      </c>
    </row>
    <row r="104" spans="1:24">
      <c r="A104" s="26" t="s">
        <v>2116</v>
      </c>
      <c r="B104" s="27">
        <v>20</v>
      </c>
      <c r="C104" s="27" t="s">
        <v>423</v>
      </c>
      <c r="D104" s="27">
        <v>1</v>
      </c>
      <c r="E104" s="27" t="s">
        <v>2123</v>
      </c>
      <c r="F104" s="27">
        <v>0.5</v>
      </c>
      <c r="G104" s="27" t="s">
        <v>2124</v>
      </c>
      <c r="H104" s="27">
        <v>0.5</v>
      </c>
      <c r="I104" s="27"/>
      <c r="J104" s="27"/>
      <c r="K104" s="83">
        <f t="shared" ref="K104:K167" si="45">IF(C104="","",VLOOKUP(C104,成本单价,8,0))</f>
        <v>1.7</v>
      </c>
      <c r="L104" s="83">
        <f t="shared" ref="L104:L167" si="46">IFERROR(D104*K104,"")</f>
        <v>1.7</v>
      </c>
      <c r="M104" s="83">
        <f t="shared" si="32"/>
        <v>1.1764705882352942</v>
      </c>
      <c r="N104" s="83">
        <f t="shared" ref="N104:N167" si="47">IFERROR(F104*M104,"")</f>
        <v>0.58823529411764708</v>
      </c>
      <c r="O104" s="83">
        <f t="shared" ref="O104:O167" si="48">IF(G104="","",VLOOKUP(G104,成本单价,8,0))</f>
        <v>1.6470588235294117</v>
      </c>
      <c r="P104" s="83">
        <f t="shared" ref="P104:P167" si="49">IFERROR(H104*O104,"")</f>
        <v>0.82352941176470584</v>
      </c>
      <c r="Q104" s="83" t="str">
        <f t="shared" ref="Q104:Q167" si="50">IF(I104="","",VLOOKUP(I104,成本单价,8,0))</f>
        <v/>
      </c>
      <c r="R104" s="83" t="str">
        <f t="shared" ref="R104:R167" si="51">IFERROR(J104*Q104,"")</f>
        <v/>
      </c>
      <c r="S104" s="27">
        <f t="shared" si="44"/>
        <v>2</v>
      </c>
      <c r="T104" s="84">
        <f t="shared" ref="T104:T167" si="52">IFERROR(SUM(L104,N104,P104,R104,S104),"")</f>
        <v>5.1117647058823525</v>
      </c>
      <c r="U104" s="84">
        <f t="shared" ref="U104:U167" si="53">T104*(1+物料比)</f>
        <v>5.3673529411764704</v>
      </c>
      <c r="V104" s="36">
        <f t="shared" ref="V104:V167" si="54">U104/B104</f>
        <v>0.26836764705882354</v>
      </c>
      <c r="W104" s="36">
        <f t="shared" ref="W104:W167" si="55">D104/B104+F104/B104+H104/B104+J104/B104</f>
        <v>0.1</v>
      </c>
      <c r="X104" s="63">
        <f t="shared" si="43"/>
        <v>0.3</v>
      </c>
    </row>
    <row r="105" spans="1:24">
      <c r="A105" s="26" t="s">
        <v>2118</v>
      </c>
      <c r="B105" s="27">
        <v>20</v>
      </c>
      <c r="C105" s="27" t="s">
        <v>423</v>
      </c>
      <c r="D105" s="27">
        <v>4</v>
      </c>
      <c r="E105" s="27"/>
      <c r="F105" s="27"/>
      <c r="G105" s="27"/>
      <c r="H105" s="27"/>
      <c r="I105" s="27"/>
      <c r="J105" s="27"/>
      <c r="K105" s="83">
        <f t="shared" si="45"/>
        <v>1.7</v>
      </c>
      <c r="L105" s="83">
        <f t="shared" si="46"/>
        <v>6.8</v>
      </c>
      <c r="M105" s="83" t="str">
        <f t="shared" ref="M105:M168" si="56">IF(E105="","",VLOOKUP(E105,成本单价,8,0))</f>
        <v/>
      </c>
      <c r="N105" s="83" t="str">
        <f t="shared" si="47"/>
        <v/>
      </c>
      <c r="O105" s="83" t="str">
        <f t="shared" si="48"/>
        <v/>
      </c>
      <c r="P105" s="83" t="str">
        <f t="shared" si="49"/>
        <v/>
      </c>
      <c r="Q105" s="83" t="str">
        <f t="shared" si="50"/>
        <v/>
      </c>
      <c r="R105" s="83" t="str">
        <f t="shared" si="51"/>
        <v/>
      </c>
      <c r="S105" s="27">
        <f t="shared" si="44"/>
        <v>2</v>
      </c>
      <c r="T105" s="84">
        <f t="shared" si="52"/>
        <v>8.8000000000000007</v>
      </c>
      <c r="U105" s="84">
        <f t="shared" si="53"/>
        <v>9.240000000000002</v>
      </c>
      <c r="V105" s="36">
        <f t="shared" si="54"/>
        <v>0.46200000000000008</v>
      </c>
      <c r="W105" s="36">
        <f t="shared" si="55"/>
        <v>0.2</v>
      </c>
      <c r="X105" s="63">
        <f t="shared" si="43"/>
        <v>0.5</v>
      </c>
    </row>
    <row r="106" spans="1:24">
      <c r="A106" s="26" t="s">
        <v>2126</v>
      </c>
      <c r="B106" s="27">
        <v>20</v>
      </c>
      <c r="C106" s="27" t="s">
        <v>2127</v>
      </c>
      <c r="D106" s="27">
        <v>2</v>
      </c>
      <c r="E106" s="27"/>
      <c r="F106" s="27"/>
      <c r="G106" s="27"/>
      <c r="H106" s="27"/>
      <c r="I106" s="27"/>
      <c r="J106" s="27"/>
      <c r="K106" s="83">
        <f t="shared" si="45"/>
        <v>1.93</v>
      </c>
      <c r="L106" s="83">
        <f t="shared" si="46"/>
        <v>3.86</v>
      </c>
      <c r="M106" s="83" t="str">
        <f t="shared" si="56"/>
        <v/>
      </c>
      <c r="N106" s="83" t="str">
        <f t="shared" si="47"/>
        <v/>
      </c>
      <c r="O106" s="83" t="str">
        <f t="shared" si="48"/>
        <v/>
      </c>
      <c r="P106" s="83" t="str">
        <f t="shared" si="49"/>
        <v/>
      </c>
      <c r="Q106" s="83" t="str">
        <f t="shared" si="50"/>
        <v/>
      </c>
      <c r="R106" s="83" t="str">
        <f t="shared" si="51"/>
        <v/>
      </c>
      <c r="S106" s="27">
        <f>B106*0.3</f>
        <v>6</v>
      </c>
      <c r="T106" s="84">
        <f t="shared" si="52"/>
        <v>9.86</v>
      </c>
      <c r="U106" s="84">
        <f t="shared" si="53"/>
        <v>10.353</v>
      </c>
      <c r="V106" s="36">
        <f t="shared" si="54"/>
        <v>0.51764999999999994</v>
      </c>
      <c r="W106" s="36">
        <f t="shared" si="55"/>
        <v>0.1</v>
      </c>
      <c r="X106" s="63">
        <f t="shared" ref="X106:X169" si="57">ROUND(V106*(1+大灶毛利),1)</f>
        <v>0.6</v>
      </c>
    </row>
    <row r="107" spans="1:24">
      <c r="A107" s="26" t="s">
        <v>2238</v>
      </c>
      <c r="B107" s="27">
        <v>20</v>
      </c>
      <c r="C107" s="27" t="s">
        <v>1406</v>
      </c>
      <c r="D107" s="27">
        <v>2</v>
      </c>
      <c r="E107" s="27" t="s">
        <v>1293</v>
      </c>
      <c r="F107" s="27">
        <v>0.02</v>
      </c>
      <c r="G107" s="27"/>
      <c r="H107" s="27"/>
      <c r="I107" s="27"/>
      <c r="J107" s="27"/>
      <c r="K107" s="83">
        <f t="shared" si="45"/>
        <v>1.7</v>
      </c>
      <c r="L107" s="83">
        <f t="shared" si="46"/>
        <v>3.4</v>
      </c>
      <c r="M107" s="83">
        <f t="shared" si="56"/>
        <v>457.14285714285717</v>
      </c>
      <c r="N107" s="83">
        <f t="shared" si="47"/>
        <v>9.1428571428571441</v>
      </c>
      <c r="O107" s="83" t="str">
        <f t="shared" si="48"/>
        <v/>
      </c>
      <c r="P107" s="83" t="str">
        <f t="shared" si="49"/>
        <v/>
      </c>
      <c r="Q107" s="83" t="str">
        <f t="shared" si="50"/>
        <v/>
      </c>
      <c r="R107" s="83" t="str">
        <f t="shared" si="51"/>
        <v/>
      </c>
      <c r="S107" s="27">
        <f t="shared" si="44"/>
        <v>2</v>
      </c>
      <c r="T107" s="84">
        <f t="shared" si="52"/>
        <v>14.542857142857144</v>
      </c>
      <c r="U107" s="84">
        <f t="shared" si="53"/>
        <v>15.270000000000003</v>
      </c>
      <c r="V107" s="36">
        <f t="shared" si="54"/>
        <v>0.76350000000000018</v>
      </c>
      <c r="W107" s="36">
        <f t="shared" si="55"/>
        <v>0.10100000000000001</v>
      </c>
      <c r="X107" s="63">
        <f t="shared" si="57"/>
        <v>0.8</v>
      </c>
    </row>
    <row r="108" spans="1:24">
      <c r="A108" s="26"/>
      <c r="B108" s="27"/>
      <c r="C108" s="27"/>
      <c r="D108" s="27"/>
      <c r="E108" s="27"/>
      <c r="F108" s="27"/>
      <c r="G108" s="27"/>
      <c r="H108" s="27"/>
      <c r="I108" s="27"/>
      <c r="J108" s="27"/>
      <c r="K108" s="83" t="str">
        <f t="shared" si="45"/>
        <v/>
      </c>
      <c r="L108" s="83" t="str">
        <f t="shared" si="46"/>
        <v/>
      </c>
      <c r="M108" s="83" t="str">
        <f t="shared" si="56"/>
        <v/>
      </c>
      <c r="N108" s="83" t="str">
        <f t="shared" si="47"/>
        <v/>
      </c>
      <c r="O108" s="83" t="str">
        <f t="shared" si="48"/>
        <v/>
      </c>
      <c r="P108" s="83" t="str">
        <f t="shared" si="49"/>
        <v/>
      </c>
      <c r="Q108" s="83" t="str">
        <f t="shared" si="50"/>
        <v/>
      </c>
      <c r="R108" s="83" t="str">
        <f t="shared" si="51"/>
        <v/>
      </c>
      <c r="S108" s="27">
        <f t="shared" si="44"/>
        <v>0</v>
      </c>
      <c r="T108" s="84">
        <f t="shared" si="52"/>
        <v>0</v>
      </c>
      <c r="U108" s="84">
        <f t="shared" si="53"/>
        <v>0</v>
      </c>
      <c r="V108" s="36" t="e">
        <f t="shared" si="54"/>
        <v>#DIV/0!</v>
      </c>
      <c r="W108" s="36" t="e">
        <f t="shared" si="55"/>
        <v>#DIV/0!</v>
      </c>
      <c r="X108" s="63" t="e">
        <f t="shared" si="57"/>
        <v>#DIV/0!</v>
      </c>
    </row>
    <row r="109" spans="1:24">
      <c r="A109" s="26" t="s">
        <v>2251</v>
      </c>
      <c r="B109" s="27">
        <v>20</v>
      </c>
      <c r="C109" s="27" t="s">
        <v>1406</v>
      </c>
      <c r="D109" s="27">
        <v>1</v>
      </c>
      <c r="E109" s="27" t="s">
        <v>2303</v>
      </c>
      <c r="F109" s="27">
        <v>0.6</v>
      </c>
      <c r="G109" s="27" t="s">
        <v>2304</v>
      </c>
      <c r="H109" s="27">
        <v>1</v>
      </c>
      <c r="I109" s="27"/>
      <c r="J109" s="27"/>
      <c r="K109" s="83">
        <f t="shared" si="45"/>
        <v>1.7</v>
      </c>
      <c r="L109" s="83">
        <f t="shared" si="46"/>
        <v>1.7</v>
      </c>
      <c r="M109" s="83">
        <f t="shared" si="56"/>
        <v>14.000000000000002</v>
      </c>
      <c r="N109" s="83">
        <f t="shared" si="47"/>
        <v>8.4</v>
      </c>
      <c r="O109" s="83">
        <f t="shared" si="48"/>
        <v>1</v>
      </c>
      <c r="P109" s="83">
        <f t="shared" si="49"/>
        <v>1</v>
      </c>
      <c r="Q109" s="83" t="str">
        <f t="shared" si="50"/>
        <v/>
      </c>
      <c r="R109" s="83" t="str">
        <f t="shared" si="51"/>
        <v/>
      </c>
      <c r="S109" s="27">
        <f t="shared" si="44"/>
        <v>2</v>
      </c>
      <c r="T109" s="84">
        <f t="shared" si="52"/>
        <v>13.1</v>
      </c>
      <c r="U109" s="84">
        <f t="shared" si="53"/>
        <v>13.755000000000001</v>
      </c>
      <c r="V109" s="36">
        <f t="shared" si="54"/>
        <v>0.68775000000000008</v>
      </c>
      <c r="W109" s="36">
        <f t="shared" si="55"/>
        <v>0.13</v>
      </c>
      <c r="X109" s="63">
        <f t="shared" si="57"/>
        <v>0.8</v>
      </c>
    </row>
    <row r="110" spans="1:24">
      <c r="A110" s="26" t="s">
        <v>2252</v>
      </c>
      <c r="B110" s="27">
        <v>20</v>
      </c>
      <c r="C110" s="27" t="s">
        <v>1406</v>
      </c>
      <c r="D110" s="27">
        <v>2</v>
      </c>
      <c r="E110" s="27"/>
      <c r="F110" s="27"/>
      <c r="G110" s="27"/>
      <c r="H110" s="27"/>
      <c r="I110" s="27"/>
      <c r="J110" s="27"/>
      <c r="K110" s="83">
        <f t="shared" si="45"/>
        <v>1.7</v>
      </c>
      <c r="L110" s="266">
        <f t="shared" si="46"/>
        <v>3.4</v>
      </c>
      <c r="M110" s="83" t="str">
        <f t="shared" si="56"/>
        <v/>
      </c>
      <c r="N110" s="83" t="str">
        <f t="shared" si="47"/>
        <v/>
      </c>
      <c r="O110" s="83" t="str">
        <f t="shared" si="48"/>
        <v/>
      </c>
      <c r="P110" s="83" t="str">
        <f t="shared" si="49"/>
        <v/>
      </c>
      <c r="Q110" s="83" t="str">
        <f t="shared" si="50"/>
        <v/>
      </c>
      <c r="R110" s="83" t="str">
        <f t="shared" si="51"/>
        <v/>
      </c>
      <c r="S110" s="27">
        <f>B110*0.2</f>
        <v>4</v>
      </c>
      <c r="T110" s="268">
        <f t="shared" si="52"/>
        <v>7.4</v>
      </c>
      <c r="U110" s="268">
        <f t="shared" si="53"/>
        <v>7.7700000000000005</v>
      </c>
      <c r="V110" s="36">
        <f t="shared" si="54"/>
        <v>0.38850000000000001</v>
      </c>
      <c r="W110" s="36">
        <f t="shared" si="55"/>
        <v>0.1</v>
      </c>
      <c r="X110" s="63">
        <f t="shared" si="57"/>
        <v>0.4</v>
      </c>
    </row>
    <row r="111" spans="1:24">
      <c r="A111" s="26" t="s">
        <v>2253</v>
      </c>
      <c r="B111" s="27">
        <v>20</v>
      </c>
      <c r="C111" s="27" t="s">
        <v>2305</v>
      </c>
      <c r="D111" s="27">
        <v>2.5</v>
      </c>
      <c r="E111" s="27"/>
      <c r="F111" s="27"/>
      <c r="G111" s="27"/>
      <c r="H111" s="27"/>
      <c r="I111" s="27"/>
      <c r="J111" s="27"/>
      <c r="K111" s="266">
        <f t="shared" si="45"/>
        <v>3.78</v>
      </c>
      <c r="L111" s="266">
        <f t="shared" si="46"/>
        <v>9.4499999999999993</v>
      </c>
      <c r="M111" s="83" t="str">
        <f t="shared" si="56"/>
        <v/>
      </c>
      <c r="N111" s="83" t="str">
        <f t="shared" si="47"/>
        <v/>
      </c>
      <c r="O111" s="266" t="str">
        <f t="shared" si="48"/>
        <v/>
      </c>
      <c r="P111" s="266" t="str">
        <f t="shared" si="49"/>
        <v/>
      </c>
      <c r="Q111" s="83" t="str">
        <f t="shared" si="50"/>
        <v/>
      </c>
      <c r="R111" s="83" t="str">
        <f t="shared" si="51"/>
        <v/>
      </c>
      <c r="S111" s="27">
        <f t="shared" si="44"/>
        <v>2</v>
      </c>
      <c r="T111" s="268">
        <f t="shared" si="52"/>
        <v>11.45</v>
      </c>
      <c r="U111" s="268">
        <f t="shared" si="53"/>
        <v>12.022499999999999</v>
      </c>
      <c r="V111" s="36">
        <f t="shared" si="54"/>
        <v>0.60112499999999991</v>
      </c>
      <c r="W111" s="36">
        <f t="shared" si="55"/>
        <v>0.125</v>
      </c>
      <c r="X111" s="63">
        <f t="shared" si="57"/>
        <v>0.7</v>
      </c>
    </row>
    <row r="112" spans="1:24">
      <c r="A112" s="26" t="s">
        <v>2255</v>
      </c>
      <c r="B112" s="27">
        <v>20</v>
      </c>
      <c r="C112" s="27" t="s">
        <v>2307</v>
      </c>
      <c r="D112" s="27">
        <v>2</v>
      </c>
      <c r="E112" s="27" t="s">
        <v>2308</v>
      </c>
      <c r="F112" s="27">
        <v>1</v>
      </c>
      <c r="G112" s="27"/>
      <c r="H112" s="27"/>
      <c r="I112" s="27"/>
      <c r="J112" s="27"/>
      <c r="K112" s="266">
        <f t="shared" si="45"/>
        <v>1.6235294117647059</v>
      </c>
      <c r="L112" s="266">
        <f t="shared" si="46"/>
        <v>3.2470588235294118</v>
      </c>
      <c r="M112" s="83">
        <f t="shared" si="56"/>
        <v>1.7</v>
      </c>
      <c r="N112" s="83">
        <f t="shared" si="47"/>
        <v>1.7</v>
      </c>
      <c r="O112" s="266" t="str">
        <f t="shared" si="48"/>
        <v/>
      </c>
      <c r="P112" s="266" t="str">
        <f t="shared" si="49"/>
        <v/>
      </c>
      <c r="Q112" s="83" t="str">
        <f t="shared" si="50"/>
        <v/>
      </c>
      <c r="R112" s="83" t="str">
        <f t="shared" si="51"/>
        <v/>
      </c>
      <c r="S112" s="27">
        <f t="shared" si="44"/>
        <v>2</v>
      </c>
      <c r="T112" s="268">
        <f t="shared" si="52"/>
        <v>6.947058823529412</v>
      </c>
      <c r="U112" s="268">
        <f t="shared" si="53"/>
        <v>7.2944117647058828</v>
      </c>
      <c r="V112" s="36">
        <f t="shared" si="54"/>
        <v>0.36472058823529413</v>
      </c>
      <c r="W112" s="36">
        <f t="shared" si="55"/>
        <v>0.15000000000000002</v>
      </c>
      <c r="X112" s="63">
        <f t="shared" si="57"/>
        <v>0.4</v>
      </c>
    </row>
    <row r="113" spans="1:24">
      <c r="A113" s="26" t="s">
        <v>2256</v>
      </c>
      <c r="B113" s="27">
        <v>20</v>
      </c>
      <c r="C113" s="27" t="s">
        <v>1406</v>
      </c>
      <c r="D113" s="27">
        <v>1</v>
      </c>
      <c r="E113" s="27" t="s">
        <v>2309</v>
      </c>
      <c r="F113" s="27">
        <v>0.8</v>
      </c>
      <c r="G113" s="27" t="s">
        <v>2310</v>
      </c>
      <c r="H113" s="27">
        <v>0.8</v>
      </c>
      <c r="I113" s="27"/>
      <c r="J113" s="27"/>
      <c r="K113" s="266">
        <f t="shared" si="45"/>
        <v>1.7</v>
      </c>
      <c r="L113" s="266">
        <f t="shared" si="46"/>
        <v>1.7</v>
      </c>
      <c r="M113" s="83">
        <f t="shared" si="56"/>
        <v>13</v>
      </c>
      <c r="N113" s="83">
        <f t="shared" si="47"/>
        <v>10.4</v>
      </c>
      <c r="O113" s="266">
        <f t="shared" si="48"/>
        <v>2.1176470588235294</v>
      </c>
      <c r="P113" s="266">
        <f t="shared" si="49"/>
        <v>1.6941176470588237</v>
      </c>
      <c r="Q113" s="83" t="str">
        <f t="shared" si="50"/>
        <v/>
      </c>
      <c r="R113" s="83" t="str">
        <f t="shared" si="51"/>
        <v/>
      </c>
      <c r="S113" s="27">
        <f t="shared" si="44"/>
        <v>2</v>
      </c>
      <c r="T113" s="268">
        <f t="shared" si="52"/>
        <v>15.794117647058822</v>
      </c>
      <c r="U113" s="268">
        <f t="shared" si="53"/>
        <v>16.583823529411763</v>
      </c>
      <c r="V113" s="36">
        <f t="shared" si="54"/>
        <v>0.82919117647058815</v>
      </c>
      <c r="W113" s="36">
        <f t="shared" si="55"/>
        <v>0.13</v>
      </c>
      <c r="X113" s="63">
        <f t="shared" si="57"/>
        <v>0.9</v>
      </c>
    </row>
    <row r="114" spans="1:24">
      <c r="A114" s="26" t="s">
        <v>2257</v>
      </c>
      <c r="B114" s="27">
        <v>20</v>
      </c>
      <c r="C114" s="27" t="s">
        <v>2311</v>
      </c>
      <c r="D114" s="27">
        <v>2</v>
      </c>
      <c r="E114" s="27" t="s">
        <v>1292</v>
      </c>
      <c r="F114" s="27">
        <v>1</v>
      </c>
      <c r="G114" s="27" t="s">
        <v>1406</v>
      </c>
      <c r="H114" s="27">
        <v>1</v>
      </c>
      <c r="I114" s="27"/>
      <c r="J114" s="27"/>
      <c r="K114" s="266">
        <f t="shared" si="45"/>
        <v>0.94117647058823539</v>
      </c>
      <c r="L114" s="266">
        <f t="shared" si="46"/>
        <v>1.8823529411764708</v>
      </c>
      <c r="M114" s="266">
        <f t="shared" si="56"/>
        <v>2.8571428571428572</v>
      </c>
      <c r="N114" s="267">
        <f t="shared" si="47"/>
        <v>2.8571428571428572</v>
      </c>
      <c r="O114" s="266">
        <f t="shared" si="48"/>
        <v>1.7</v>
      </c>
      <c r="P114" s="266">
        <f t="shared" si="49"/>
        <v>1.7</v>
      </c>
      <c r="Q114" s="83" t="str">
        <f t="shared" si="50"/>
        <v/>
      </c>
      <c r="R114" s="83" t="str">
        <f t="shared" si="51"/>
        <v/>
      </c>
      <c r="S114" s="27">
        <f t="shared" si="44"/>
        <v>2</v>
      </c>
      <c r="T114" s="268">
        <f t="shared" si="52"/>
        <v>8.4394957983193279</v>
      </c>
      <c r="U114" s="268">
        <f t="shared" si="53"/>
        <v>8.861470588235294</v>
      </c>
      <c r="V114" s="36">
        <f t="shared" si="54"/>
        <v>0.4430735294117647</v>
      </c>
      <c r="W114" s="36">
        <f t="shared" si="55"/>
        <v>0.2</v>
      </c>
      <c r="X114" s="63">
        <f t="shared" si="57"/>
        <v>0.5</v>
      </c>
    </row>
    <row r="115" spans="1:24">
      <c r="A115" s="26" t="s">
        <v>2258</v>
      </c>
      <c r="B115" s="27">
        <v>20</v>
      </c>
      <c r="C115" s="27" t="s">
        <v>2312</v>
      </c>
      <c r="D115" s="27">
        <v>2</v>
      </c>
      <c r="E115" s="27"/>
      <c r="F115" s="27"/>
      <c r="G115" s="27"/>
      <c r="H115" s="27"/>
      <c r="I115" s="27"/>
      <c r="J115" s="27"/>
      <c r="K115" s="266">
        <f t="shared" si="45"/>
        <v>1.93</v>
      </c>
      <c r="L115" s="266">
        <f t="shared" si="46"/>
        <v>3.86</v>
      </c>
      <c r="M115" s="266" t="str">
        <f t="shared" si="56"/>
        <v/>
      </c>
      <c r="N115" s="267" t="str">
        <f t="shared" si="47"/>
        <v/>
      </c>
      <c r="O115" s="266" t="str">
        <f t="shared" si="48"/>
        <v/>
      </c>
      <c r="P115" s="266" t="str">
        <f t="shared" si="49"/>
        <v/>
      </c>
      <c r="Q115" s="83" t="str">
        <f t="shared" si="50"/>
        <v/>
      </c>
      <c r="R115" s="83" t="str">
        <f t="shared" si="51"/>
        <v/>
      </c>
      <c r="S115" s="27">
        <f>B115*0.3</f>
        <v>6</v>
      </c>
      <c r="T115" s="268">
        <f t="shared" si="52"/>
        <v>9.86</v>
      </c>
      <c r="U115" s="268">
        <f t="shared" si="53"/>
        <v>10.353</v>
      </c>
      <c r="V115" s="36">
        <f t="shared" si="54"/>
        <v>0.51764999999999994</v>
      </c>
      <c r="W115" s="36">
        <f t="shared" si="55"/>
        <v>0.1</v>
      </c>
      <c r="X115" s="63">
        <f t="shared" si="57"/>
        <v>0.6</v>
      </c>
    </row>
    <row r="116" spans="1:24">
      <c r="A116" s="26" t="s">
        <v>859</v>
      </c>
      <c r="B116" s="27">
        <v>10</v>
      </c>
      <c r="C116" s="27" t="s">
        <v>2720</v>
      </c>
      <c r="D116" s="27">
        <v>2</v>
      </c>
      <c r="E116" s="27" t="s">
        <v>2721</v>
      </c>
      <c r="F116" s="27">
        <v>1.5</v>
      </c>
      <c r="G116" s="27" t="s">
        <v>2722</v>
      </c>
      <c r="H116" s="27">
        <v>0.8</v>
      </c>
      <c r="I116" s="27"/>
      <c r="J116" s="27"/>
      <c r="K116" s="266">
        <f t="shared" si="45"/>
        <v>1.7</v>
      </c>
      <c r="L116" s="266">
        <f t="shared" si="46"/>
        <v>3.4</v>
      </c>
      <c r="M116" s="266">
        <f t="shared" si="56"/>
        <v>13</v>
      </c>
      <c r="N116" s="267">
        <f t="shared" si="47"/>
        <v>19.5</v>
      </c>
      <c r="O116" s="266">
        <f t="shared" si="48"/>
        <v>3.4117647058823528</v>
      </c>
      <c r="P116" s="266">
        <f t="shared" si="49"/>
        <v>2.7294117647058824</v>
      </c>
      <c r="Q116" s="83" t="str">
        <f t="shared" si="50"/>
        <v/>
      </c>
      <c r="R116" s="83" t="str">
        <f t="shared" si="51"/>
        <v/>
      </c>
      <c r="S116" s="27">
        <f>B116*0.3</f>
        <v>3</v>
      </c>
      <c r="T116" s="268">
        <f t="shared" si="52"/>
        <v>28.629411764705882</v>
      </c>
      <c r="U116" s="268">
        <f t="shared" si="53"/>
        <v>30.060882352941178</v>
      </c>
      <c r="V116" s="36">
        <f t="shared" si="54"/>
        <v>3.0060882352941176</v>
      </c>
      <c r="W116" s="36">
        <f t="shared" si="55"/>
        <v>0.43</v>
      </c>
      <c r="X116" s="63">
        <f t="shared" si="57"/>
        <v>3.3</v>
      </c>
    </row>
    <row r="117" spans="1:24">
      <c r="A117" s="26" t="s">
        <v>2301</v>
      </c>
      <c r="B117" s="27">
        <v>20</v>
      </c>
      <c r="C117" s="27" t="s">
        <v>2302</v>
      </c>
      <c r="D117" s="27">
        <v>2</v>
      </c>
      <c r="E117" s="27"/>
      <c r="F117" s="27"/>
      <c r="G117" s="27"/>
      <c r="H117" s="27"/>
      <c r="I117" s="27"/>
      <c r="J117" s="27"/>
      <c r="K117" s="266">
        <f t="shared" si="45"/>
        <v>1.93</v>
      </c>
      <c r="L117" s="266">
        <f t="shared" si="46"/>
        <v>3.86</v>
      </c>
      <c r="M117" s="266" t="str">
        <f t="shared" si="56"/>
        <v/>
      </c>
      <c r="N117" s="267" t="str">
        <f t="shared" si="47"/>
        <v/>
      </c>
      <c r="O117" s="266" t="str">
        <f t="shared" si="48"/>
        <v/>
      </c>
      <c r="P117" s="266" t="str">
        <f t="shared" si="49"/>
        <v/>
      </c>
      <c r="Q117" s="83" t="str">
        <f t="shared" si="50"/>
        <v/>
      </c>
      <c r="R117" s="83" t="str">
        <f t="shared" si="51"/>
        <v/>
      </c>
      <c r="S117" s="27">
        <f>B117*0.2</f>
        <v>4</v>
      </c>
      <c r="T117" s="268">
        <f t="shared" si="52"/>
        <v>7.8599999999999994</v>
      </c>
      <c r="U117" s="268">
        <f t="shared" si="53"/>
        <v>8.2530000000000001</v>
      </c>
      <c r="V117" s="36">
        <f t="shared" si="54"/>
        <v>0.41265000000000002</v>
      </c>
      <c r="W117" s="36">
        <f t="shared" si="55"/>
        <v>0.1</v>
      </c>
      <c r="X117" s="63">
        <f t="shared" si="57"/>
        <v>0.5</v>
      </c>
    </row>
    <row r="118" spans="1:24">
      <c r="A118" s="26" t="s">
        <v>2296</v>
      </c>
      <c r="B118" s="27">
        <v>20</v>
      </c>
      <c r="C118" s="27" t="s">
        <v>1406</v>
      </c>
      <c r="D118" s="27">
        <v>1</v>
      </c>
      <c r="E118" s="27" t="s">
        <v>1293</v>
      </c>
      <c r="F118" s="27">
        <v>0.02</v>
      </c>
      <c r="G118" s="27"/>
      <c r="H118" s="27"/>
      <c r="I118" s="27"/>
      <c r="J118" s="27"/>
      <c r="K118" s="266">
        <f t="shared" si="45"/>
        <v>1.7</v>
      </c>
      <c r="L118" s="266">
        <f t="shared" si="46"/>
        <v>1.7</v>
      </c>
      <c r="M118" s="266">
        <f t="shared" si="56"/>
        <v>457.14285714285717</v>
      </c>
      <c r="N118" s="267">
        <f t="shared" si="47"/>
        <v>9.1428571428571441</v>
      </c>
      <c r="O118" s="266" t="str">
        <f t="shared" si="48"/>
        <v/>
      </c>
      <c r="P118" s="266" t="str">
        <f t="shared" si="49"/>
        <v/>
      </c>
      <c r="Q118" s="83" t="s">
        <v>1411</v>
      </c>
      <c r="R118" s="83" t="s">
        <v>1411</v>
      </c>
      <c r="S118" s="27">
        <f t="shared" ref="S118:S121" si="58">B118*0.2</f>
        <v>4</v>
      </c>
      <c r="T118" s="268">
        <f t="shared" si="52"/>
        <v>14.842857142857143</v>
      </c>
      <c r="U118" s="268">
        <f t="shared" si="53"/>
        <v>15.585000000000001</v>
      </c>
      <c r="V118" s="36">
        <f t="shared" si="54"/>
        <v>0.77925</v>
      </c>
      <c r="W118" s="36">
        <f t="shared" si="55"/>
        <v>5.1000000000000004E-2</v>
      </c>
      <c r="X118" s="63">
        <f t="shared" si="57"/>
        <v>0.9</v>
      </c>
    </row>
    <row r="119" spans="1:24">
      <c r="A119" s="26" t="s">
        <v>2297</v>
      </c>
      <c r="B119" s="27">
        <v>35</v>
      </c>
      <c r="C119" s="27" t="s">
        <v>1406</v>
      </c>
      <c r="D119" s="27">
        <v>1</v>
      </c>
      <c r="E119" s="27" t="s">
        <v>319</v>
      </c>
      <c r="F119" s="27">
        <v>1</v>
      </c>
      <c r="G119" s="27" t="s">
        <v>1293</v>
      </c>
      <c r="H119" s="27">
        <v>0.01</v>
      </c>
      <c r="I119" s="27"/>
      <c r="J119" s="27"/>
      <c r="K119" s="266">
        <f t="shared" si="45"/>
        <v>1.7</v>
      </c>
      <c r="L119" s="266">
        <f t="shared" si="46"/>
        <v>1.7</v>
      </c>
      <c r="M119" s="266">
        <f t="shared" si="56"/>
        <v>3.5714285714285716</v>
      </c>
      <c r="N119" s="267">
        <f t="shared" si="47"/>
        <v>3.5714285714285716</v>
      </c>
      <c r="O119" s="266">
        <f t="shared" si="48"/>
        <v>457.14285714285717</v>
      </c>
      <c r="P119" s="266">
        <f t="shared" si="49"/>
        <v>4.5714285714285721</v>
      </c>
      <c r="Q119" s="83" t="s">
        <v>1411</v>
      </c>
      <c r="R119" s="83" t="s">
        <v>1411</v>
      </c>
      <c r="S119" s="27">
        <f t="shared" si="58"/>
        <v>7</v>
      </c>
      <c r="T119" s="268">
        <f t="shared" si="52"/>
        <v>16.842857142857142</v>
      </c>
      <c r="U119" s="268">
        <f t="shared" si="53"/>
        <v>17.684999999999999</v>
      </c>
      <c r="V119" s="36">
        <f t="shared" si="54"/>
        <v>0.50528571428571423</v>
      </c>
      <c r="W119" s="36">
        <f t="shared" si="55"/>
        <v>5.7428571428571426E-2</v>
      </c>
      <c r="X119" s="63">
        <f t="shared" si="57"/>
        <v>0.6</v>
      </c>
    </row>
    <row r="120" spans="1:24">
      <c r="A120" s="26" t="s">
        <v>2723</v>
      </c>
      <c r="B120" s="27">
        <v>40</v>
      </c>
      <c r="C120" s="27" t="s">
        <v>2724</v>
      </c>
      <c r="D120" s="27">
        <v>2</v>
      </c>
      <c r="E120" s="27" t="s">
        <v>2725</v>
      </c>
      <c r="F120" s="27">
        <v>2</v>
      </c>
      <c r="G120" s="27" t="s">
        <v>2726</v>
      </c>
      <c r="H120" s="27">
        <v>1</v>
      </c>
      <c r="I120" s="27"/>
      <c r="J120" s="27"/>
      <c r="K120" s="266">
        <f t="shared" si="45"/>
        <v>1.93</v>
      </c>
      <c r="L120" s="266">
        <f t="shared" si="46"/>
        <v>3.86</v>
      </c>
      <c r="M120" s="266">
        <f t="shared" si="56"/>
        <v>2.27</v>
      </c>
      <c r="N120" s="267">
        <f t="shared" si="47"/>
        <v>4.54</v>
      </c>
      <c r="O120" s="266">
        <f t="shared" si="48"/>
        <v>4.7</v>
      </c>
      <c r="P120" s="266">
        <f t="shared" si="49"/>
        <v>4.7</v>
      </c>
      <c r="Q120" s="83" t="s">
        <v>1411</v>
      </c>
      <c r="R120" s="83" t="s">
        <v>1411</v>
      </c>
      <c r="S120" s="27">
        <f>B120*0.002</f>
        <v>0.08</v>
      </c>
      <c r="T120" s="268">
        <f t="shared" si="52"/>
        <v>13.180000000000001</v>
      </c>
      <c r="U120" s="268">
        <f t="shared" si="53"/>
        <v>13.839000000000002</v>
      </c>
      <c r="V120" s="36">
        <f t="shared" si="54"/>
        <v>0.34597500000000003</v>
      </c>
      <c r="W120" s="36">
        <f t="shared" si="55"/>
        <v>0.125</v>
      </c>
      <c r="X120" s="63">
        <f t="shared" si="57"/>
        <v>0.4</v>
      </c>
    </row>
    <row r="121" spans="1:24">
      <c r="A121" s="26" t="s">
        <v>2298</v>
      </c>
      <c r="B121" s="27">
        <v>20</v>
      </c>
      <c r="C121" s="27" t="s">
        <v>1406</v>
      </c>
      <c r="D121" s="27">
        <v>1</v>
      </c>
      <c r="E121" s="27" t="s">
        <v>2328</v>
      </c>
      <c r="F121" s="27">
        <v>0.4</v>
      </c>
      <c r="G121" s="27" t="s">
        <v>1293</v>
      </c>
      <c r="H121" s="27">
        <v>0.01</v>
      </c>
      <c r="I121" s="27"/>
      <c r="J121" s="27"/>
      <c r="K121" s="266">
        <f t="shared" si="45"/>
        <v>1.7</v>
      </c>
      <c r="L121" s="266">
        <f t="shared" si="46"/>
        <v>1.7</v>
      </c>
      <c r="M121" s="266">
        <f t="shared" si="56"/>
        <v>12</v>
      </c>
      <c r="N121" s="267">
        <f t="shared" si="47"/>
        <v>4.8000000000000007</v>
      </c>
      <c r="O121" s="266">
        <f t="shared" si="48"/>
        <v>457.14285714285717</v>
      </c>
      <c r="P121" s="266">
        <f t="shared" si="49"/>
        <v>4.5714285714285721</v>
      </c>
      <c r="Q121" s="83" t="s">
        <v>1411</v>
      </c>
      <c r="R121" s="83" t="s">
        <v>1411</v>
      </c>
      <c r="S121" s="27">
        <f t="shared" si="58"/>
        <v>4</v>
      </c>
      <c r="T121" s="268">
        <f t="shared" si="52"/>
        <v>15.071428571428573</v>
      </c>
      <c r="U121" s="268">
        <f t="shared" si="53"/>
        <v>15.825000000000003</v>
      </c>
      <c r="V121" s="36">
        <f t="shared" si="54"/>
        <v>0.79125000000000012</v>
      </c>
      <c r="W121" s="36">
        <f t="shared" si="55"/>
        <v>7.0500000000000007E-2</v>
      </c>
      <c r="X121" s="63">
        <f t="shared" si="57"/>
        <v>0.9</v>
      </c>
    </row>
    <row r="122" spans="1:24">
      <c r="A122" s="26" t="s">
        <v>2734</v>
      </c>
      <c r="B122" s="27">
        <v>15</v>
      </c>
      <c r="C122" s="27" t="s">
        <v>1406</v>
      </c>
      <c r="D122" s="27">
        <v>1.5</v>
      </c>
      <c r="E122" s="27" t="s">
        <v>43</v>
      </c>
      <c r="F122" s="27">
        <v>2</v>
      </c>
      <c r="G122" s="27" t="s">
        <v>319</v>
      </c>
      <c r="H122" s="27">
        <v>1</v>
      </c>
      <c r="I122" s="27"/>
      <c r="J122" s="27"/>
      <c r="K122" s="266">
        <f t="shared" si="45"/>
        <v>1.7</v>
      </c>
      <c r="L122" s="266">
        <f t="shared" si="46"/>
        <v>2.5499999999999998</v>
      </c>
      <c r="M122" s="266">
        <f t="shared" si="56"/>
        <v>2.1176470588235294</v>
      </c>
      <c r="N122" s="267">
        <f t="shared" si="47"/>
        <v>4.2352941176470589</v>
      </c>
      <c r="O122" s="266">
        <f t="shared" si="48"/>
        <v>3.5714285714285716</v>
      </c>
      <c r="P122" s="266">
        <f t="shared" si="49"/>
        <v>3.5714285714285716</v>
      </c>
      <c r="Q122" s="83" t="s">
        <v>1411</v>
      </c>
      <c r="R122" s="83" t="s">
        <v>1411</v>
      </c>
      <c r="S122" s="27">
        <f>B122*0.1</f>
        <v>1.5</v>
      </c>
      <c r="T122" s="268">
        <f t="shared" si="52"/>
        <v>11.85672268907563</v>
      </c>
      <c r="U122" s="268">
        <f t="shared" si="53"/>
        <v>12.449558823529411</v>
      </c>
      <c r="V122" s="36">
        <f t="shared" si="54"/>
        <v>0.82997058823529413</v>
      </c>
      <c r="W122" s="36">
        <f t="shared" si="55"/>
        <v>0.3</v>
      </c>
      <c r="X122" s="63">
        <f t="shared" si="57"/>
        <v>0.9</v>
      </c>
    </row>
    <row r="123" spans="1:24">
      <c r="A123" s="26" t="s">
        <v>2735</v>
      </c>
      <c r="B123" s="27">
        <v>15</v>
      </c>
      <c r="C123" s="27" t="s">
        <v>1406</v>
      </c>
      <c r="D123" s="27">
        <v>1.5</v>
      </c>
      <c r="E123" s="27" t="s">
        <v>129</v>
      </c>
      <c r="F123" s="27">
        <v>2.5</v>
      </c>
      <c r="G123" s="27" t="s">
        <v>319</v>
      </c>
      <c r="H123" s="27">
        <v>1</v>
      </c>
      <c r="I123" s="27"/>
      <c r="J123" s="27"/>
      <c r="K123" s="266">
        <f t="shared" si="45"/>
        <v>1.7</v>
      </c>
      <c r="L123" s="266">
        <f t="shared" si="46"/>
        <v>2.5499999999999998</v>
      </c>
      <c r="M123" s="266">
        <f t="shared" si="56"/>
        <v>1</v>
      </c>
      <c r="N123" s="267">
        <f t="shared" si="47"/>
        <v>2.5</v>
      </c>
      <c r="O123" s="266">
        <f t="shared" si="48"/>
        <v>3.5714285714285716</v>
      </c>
      <c r="P123" s="266">
        <f t="shared" si="49"/>
        <v>3.5714285714285716</v>
      </c>
      <c r="Q123" s="83" t="str">
        <f t="shared" si="50"/>
        <v/>
      </c>
      <c r="R123" s="83" t="str">
        <f t="shared" si="51"/>
        <v/>
      </c>
      <c r="S123" s="27">
        <f t="shared" ref="S123:S125" si="59">B123*0.1</f>
        <v>1.5</v>
      </c>
      <c r="T123" s="268">
        <f t="shared" si="52"/>
        <v>10.121428571428572</v>
      </c>
      <c r="U123" s="268">
        <f t="shared" si="53"/>
        <v>10.627500000000001</v>
      </c>
      <c r="V123" s="36">
        <f t="shared" si="54"/>
        <v>0.70850000000000013</v>
      </c>
      <c r="W123" s="36">
        <f t="shared" si="55"/>
        <v>0.33333333333333331</v>
      </c>
      <c r="X123" s="63">
        <f t="shared" si="57"/>
        <v>0.8</v>
      </c>
    </row>
    <row r="124" spans="1:24">
      <c r="A124" s="26" t="s">
        <v>2736</v>
      </c>
      <c r="B124" s="27">
        <v>15</v>
      </c>
      <c r="C124" s="27" t="s">
        <v>1406</v>
      </c>
      <c r="D124" s="27">
        <v>1.5</v>
      </c>
      <c r="E124" s="27" t="s">
        <v>124</v>
      </c>
      <c r="F124" s="27">
        <v>1.5</v>
      </c>
      <c r="G124" s="27" t="s">
        <v>190</v>
      </c>
      <c r="H124" s="27">
        <v>1</v>
      </c>
      <c r="I124" s="27"/>
      <c r="J124" s="27"/>
      <c r="K124" s="266">
        <f t="shared" si="45"/>
        <v>1.7</v>
      </c>
      <c r="L124" s="266">
        <f t="shared" si="46"/>
        <v>2.5499999999999998</v>
      </c>
      <c r="M124" s="266">
        <f t="shared" si="56"/>
        <v>3.4117647058823528</v>
      </c>
      <c r="N124" s="267">
        <f t="shared" si="47"/>
        <v>5.117647058823529</v>
      </c>
      <c r="O124" s="266">
        <f t="shared" si="48"/>
        <v>13</v>
      </c>
      <c r="P124" s="266">
        <f t="shared" si="49"/>
        <v>13</v>
      </c>
      <c r="Q124" s="83" t="str">
        <f t="shared" si="50"/>
        <v/>
      </c>
      <c r="R124" s="83" t="str">
        <f t="shared" si="51"/>
        <v/>
      </c>
      <c r="S124" s="27">
        <f t="shared" si="59"/>
        <v>1.5</v>
      </c>
      <c r="T124" s="268">
        <f t="shared" si="52"/>
        <v>22.16764705882353</v>
      </c>
      <c r="U124" s="268">
        <f t="shared" si="53"/>
        <v>23.276029411764707</v>
      </c>
      <c r="V124" s="36">
        <f t="shared" si="54"/>
        <v>1.5517352941176472</v>
      </c>
      <c r="W124" s="36">
        <f t="shared" si="55"/>
        <v>0.26666666666666666</v>
      </c>
      <c r="X124" s="63">
        <f t="shared" si="57"/>
        <v>1.7</v>
      </c>
    </row>
    <row r="125" spans="1:24">
      <c r="A125" s="26" t="s">
        <v>2737</v>
      </c>
      <c r="B125" s="27">
        <v>15</v>
      </c>
      <c r="C125" s="27" t="s">
        <v>1406</v>
      </c>
      <c r="D125" s="27">
        <v>1.5</v>
      </c>
      <c r="E125" s="27" t="s">
        <v>124</v>
      </c>
      <c r="F125" s="27">
        <v>1.5</v>
      </c>
      <c r="G125" s="27" t="s">
        <v>190</v>
      </c>
      <c r="H125" s="27">
        <v>1</v>
      </c>
      <c r="I125" s="27"/>
      <c r="J125" s="27"/>
      <c r="K125" s="266">
        <f t="shared" si="45"/>
        <v>1.7</v>
      </c>
      <c r="L125" s="266">
        <f t="shared" si="46"/>
        <v>2.5499999999999998</v>
      </c>
      <c r="M125" s="266">
        <f t="shared" si="56"/>
        <v>3.4117647058823528</v>
      </c>
      <c r="N125" s="267">
        <f t="shared" si="47"/>
        <v>5.117647058823529</v>
      </c>
      <c r="O125" s="266">
        <f t="shared" si="48"/>
        <v>13</v>
      </c>
      <c r="P125" s="266">
        <f t="shared" si="49"/>
        <v>13</v>
      </c>
      <c r="Q125" s="83" t="str">
        <f t="shared" si="50"/>
        <v/>
      </c>
      <c r="R125" s="83" t="str">
        <f t="shared" si="51"/>
        <v/>
      </c>
      <c r="S125" s="27">
        <f t="shared" si="59"/>
        <v>1.5</v>
      </c>
      <c r="T125" s="268">
        <f t="shared" si="52"/>
        <v>22.16764705882353</v>
      </c>
      <c r="U125" s="268">
        <f t="shared" si="53"/>
        <v>23.276029411764707</v>
      </c>
      <c r="V125" s="36">
        <f t="shared" si="54"/>
        <v>1.5517352941176472</v>
      </c>
      <c r="W125" s="36">
        <f t="shared" si="55"/>
        <v>0.26666666666666666</v>
      </c>
      <c r="X125" s="63">
        <f t="shared" si="57"/>
        <v>1.7</v>
      </c>
    </row>
    <row r="126" spans="1:24">
      <c r="A126" s="26" t="s">
        <v>2738</v>
      </c>
      <c r="B126" s="27">
        <v>15</v>
      </c>
      <c r="C126" s="27" t="s">
        <v>1406</v>
      </c>
      <c r="D126" s="27">
        <v>1.5</v>
      </c>
      <c r="E126" s="27" t="s">
        <v>2739</v>
      </c>
      <c r="F126" s="27">
        <v>2</v>
      </c>
      <c r="G126" s="27" t="s">
        <v>319</v>
      </c>
      <c r="H126" s="27">
        <v>1</v>
      </c>
      <c r="I126" s="27"/>
      <c r="J126" s="27"/>
      <c r="K126" s="266">
        <f t="shared" si="45"/>
        <v>1.7</v>
      </c>
      <c r="L126" s="83">
        <f t="shared" si="46"/>
        <v>2.5499999999999998</v>
      </c>
      <c r="M126" s="266">
        <f t="shared" si="56"/>
        <v>0.88235294117647056</v>
      </c>
      <c r="N126" s="267">
        <f t="shared" si="47"/>
        <v>1.7647058823529411</v>
      </c>
      <c r="O126" s="266">
        <f t="shared" si="48"/>
        <v>3.5714285714285716</v>
      </c>
      <c r="P126" s="266">
        <f t="shared" si="49"/>
        <v>3.5714285714285716</v>
      </c>
      <c r="Q126" s="83" t="str">
        <f t="shared" si="50"/>
        <v/>
      </c>
      <c r="R126" s="83" t="str">
        <f t="shared" si="51"/>
        <v/>
      </c>
      <c r="S126" s="27">
        <f t="shared" si="44"/>
        <v>1.5</v>
      </c>
      <c r="T126" s="268">
        <f t="shared" si="52"/>
        <v>9.3861344537815121</v>
      </c>
      <c r="U126" s="268">
        <f t="shared" si="53"/>
        <v>9.8554411764705883</v>
      </c>
      <c r="V126" s="36">
        <f t="shared" si="54"/>
        <v>0.65702941176470586</v>
      </c>
      <c r="W126" s="36">
        <f t="shared" si="55"/>
        <v>0.3</v>
      </c>
      <c r="X126" s="63">
        <f t="shared" si="57"/>
        <v>0.7</v>
      </c>
    </row>
    <row r="127" spans="1:24">
      <c r="A127" s="26" t="s">
        <v>2755</v>
      </c>
      <c r="B127" s="27">
        <v>1</v>
      </c>
      <c r="C127" s="27" t="s">
        <v>2757</v>
      </c>
      <c r="D127" s="27">
        <v>1</v>
      </c>
      <c r="E127" s="27"/>
      <c r="F127" s="27"/>
      <c r="G127" s="27"/>
      <c r="H127" s="27"/>
      <c r="I127" s="27"/>
      <c r="J127" s="27"/>
      <c r="K127" s="83">
        <f t="shared" si="45"/>
        <v>1</v>
      </c>
      <c r="L127" s="83">
        <f t="shared" si="46"/>
        <v>1</v>
      </c>
      <c r="M127" s="266" t="str">
        <f t="shared" si="56"/>
        <v/>
      </c>
      <c r="N127" s="267" t="str">
        <f t="shared" si="47"/>
        <v/>
      </c>
      <c r="O127" s="266" t="str">
        <f t="shared" si="48"/>
        <v/>
      </c>
      <c r="P127" s="266" t="str">
        <f t="shared" si="49"/>
        <v/>
      </c>
      <c r="Q127" s="83" t="str">
        <f t="shared" si="50"/>
        <v/>
      </c>
      <c r="R127" s="83" t="str">
        <f t="shared" si="51"/>
        <v/>
      </c>
      <c r="S127" s="27">
        <f>B127*0.001</f>
        <v>1E-3</v>
      </c>
      <c r="T127" s="268">
        <f t="shared" si="52"/>
        <v>1.0009999999999999</v>
      </c>
      <c r="U127" s="268">
        <f t="shared" si="53"/>
        <v>1.05105</v>
      </c>
      <c r="V127" s="36">
        <f t="shared" si="54"/>
        <v>1.05105</v>
      </c>
      <c r="W127" s="36">
        <f t="shared" si="55"/>
        <v>1</v>
      </c>
      <c r="X127" s="63">
        <f t="shared" si="57"/>
        <v>1.2</v>
      </c>
    </row>
    <row r="128" spans="1:24">
      <c r="A128" s="26" t="s">
        <v>2763</v>
      </c>
      <c r="B128" s="27">
        <v>10</v>
      </c>
      <c r="C128" s="27" t="s">
        <v>2766</v>
      </c>
      <c r="D128" s="27">
        <v>2</v>
      </c>
      <c r="E128" s="27" t="s">
        <v>2767</v>
      </c>
      <c r="F128" s="27">
        <v>1.5</v>
      </c>
      <c r="G128" s="27"/>
      <c r="H128" s="27"/>
      <c r="I128" s="27"/>
      <c r="J128" s="27"/>
      <c r="K128" s="83">
        <f t="shared" si="45"/>
        <v>1.7</v>
      </c>
      <c r="L128" s="83">
        <f t="shared" si="46"/>
        <v>3.4</v>
      </c>
      <c r="M128" s="266">
        <f t="shared" si="56"/>
        <v>3.5714285714285716</v>
      </c>
      <c r="N128" s="267">
        <f t="shared" si="47"/>
        <v>5.3571428571428577</v>
      </c>
      <c r="O128" s="266" t="str">
        <f t="shared" si="48"/>
        <v/>
      </c>
      <c r="P128" s="266" t="str">
        <f t="shared" si="49"/>
        <v/>
      </c>
      <c r="Q128" s="83" t="str">
        <f t="shared" si="50"/>
        <v/>
      </c>
      <c r="R128" s="83" t="str">
        <f t="shared" si="51"/>
        <v/>
      </c>
      <c r="S128" s="27">
        <f t="shared" ref="S128:S190" si="60">B128*0.1</f>
        <v>1</v>
      </c>
      <c r="T128" s="84">
        <f t="shared" si="52"/>
        <v>9.757142857142858</v>
      </c>
      <c r="U128" s="268">
        <f t="shared" si="53"/>
        <v>10.245000000000001</v>
      </c>
      <c r="V128" s="36">
        <f t="shared" si="54"/>
        <v>1.0245000000000002</v>
      </c>
      <c r="W128" s="36">
        <f t="shared" si="55"/>
        <v>0.35</v>
      </c>
      <c r="X128" s="63">
        <f t="shared" si="57"/>
        <v>1.1000000000000001</v>
      </c>
    </row>
    <row r="129" spans="1:24">
      <c r="A129" s="26" t="s">
        <v>2768</v>
      </c>
      <c r="B129" s="27">
        <v>15</v>
      </c>
      <c r="C129" s="27" t="s">
        <v>2766</v>
      </c>
      <c r="D129" s="27">
        <v>2</v>
      </c>
      <c r="E129" s="27" t="s">
        <v>2769</v>
      </c>
      <c r="F129" s="27">
        <v>2</v>
      </c>
      <c r="G129" s="27" t="s">
        <v>2770</v>
      </c>
      <c r="H129" s="27">
        <v>1</v>
      </c>
      <c r="I129" s="27" t="s">
        <v>2771</v>
      </c>
      <c r="J129" s="27">
        <v>0.5</v>
      </c>
      <c r="K129" s="83">
        <f t="shared" si="45"/>
        <v>1.7</v>
      </c>
      <c r="L129" s="83">
        <f t="shared" si="46"/>
        <v>3.4</v>
      </c>
      <c r="M129" s="266">
        <f t="shared" si="56"/>
        <v>13.857142857142858</v>
      </c>
      <c r="N129" s="267">
        <f t="shared" si="47"/>
        <v>27.714285714285715</v>
      </c>
      <c r="O129" s="266">
        <f t="shared" si="48"/>
        <v>1.6470588235294117</v>
      </c>
      <c r="P129" s="266">
        <f t="shared" si="49"/>
        <v>1.6470588235294117</v>
      </c>
      <c r="Q129" s="83">
        <f t="shared" si="50"/>
        <v>2.2352941176470589</v>
      </c>
      <c r="R129" s="83">
        <f t="shared" si="51"/>
        <v>1.1176470588235294</v>
      </c>
      <c r="S129" s="27">
        <f t="shared" si="60"/>
        <v>1.5</v>
      </c>
      <c r="T129" s="84">
        <f t="shared" si="52"/>
        <v>35.378991596638656</v>
      </c>
      <c r="U129" s="268">
        <f t="shared" si="53"/>
        <v>37.147941176470589</v>
      </c>
      <c r="V129" s="36">
        <f t="shared" si="54"/>
        <v>2.4765294117647061</v>
      </c>
      <c r="W129" s="36">
        <f t="shared" si="55"/>
        <v>0.36666666666666664</v>
      </c>
      <c r="X129" s="63">
        <f t="shared" si="57"/>
        <v>2.7</v>
      </c>
    </row>
    <row r="130" spans="1:24">
      <c r="A130" s="26" t="s">
        <v>2774</v>
      </c>
      <c r="B130" s="27">
        <v>10</v>
      </c>
      <c r="C130" s="27" t="s">
        <v>2776</v>
      </c>
      <c r="D130" s="27">
        <v>2</v>
      </c>
      <c r="E130" s="27"/>
      <c r="F130" s="27"/>
      <c r="G130" s="27"/>
      <c r="H130" s="27"/>
      <c r="I130" s="27"/>
      <c r="J130" s="27"/>
      <c r="K130" s="83">
        <f t="shared" si="45"/>
        <v>1.93</v>
      </c>
      <c r="L130" s="83">
        <f t="shared" si="46"/>
        <v>3.86</v>
      </c>
      <c r="M130" s="266" t="str">
        <f t="shared" si="56"/>
        <v/>
      </c>
      <c r="N130" s="267" t="str">
        <f t="shared" si="47"/>
        <v/>
      </c>
      <c r="O130" s="266" t="str">
        <f t="shared" si="48"/>
        <v/>
      </c>
      <c r="P130" s="266" t="str">
        <f t="shared" si="49"/>
        <v/>
      </c>
      <c r="Q130" s="83" t="str">
        <f t="shared" si="50"/>
        <v/>
      </c>
      <c r="R130" s="83" t="str">
        <f t="shared" si="51"/>
        <v/>
      </c>
      <c r="S130" s="27">
        <f t="shared" si="60"/>
        <v>1</v>
      </c>
      <c r="T130" s="84">
        <f t="shared" si="52"/>
        <v>4.8599999999999994</v>
      </c>
      <c r="U130" s="268">
        <f t="shared" si="53"/>
        <v>5.1029999999999998</v>
      </c>
      <c r="V130" s="36">
        <f t="shared" si="54"/>
        <v>0.51029999999999998</v>
      </c>
      <c r="W130" s="36">
        <f t="shared" si="55"/>
        <v>0.2</v>
      </c>
      <c r="X130" s="63">
        <f t="shared" si="57"/>
        <v>0.6</v>
      </c>
    </row>
    <row r="131" spans="1:24">
      <c r="A131" s="26"/>
      <c r="B131" s="27"/>
      <c r="C131" s="27"/>
      <c r="D131" s="27"/>
      <c r="E131" s="27"/>
      <c r="F131" s="27"/>
      <c r="G131" s="27"/>
      <c r="H131" s="27"/>
      <c r="I131" s="27"/>
      <c r="J131" s="27"/>
      <c r="K131" s="83" t="str">
        <f t="shared" si="45"/>
        <v/>
      </c>
      <c r="L131" s="83" t="str">
        <f t="shared" si="46"/>
        <v/>
      </c>
      <c r="M131" s="266" t="str">
        <f t="shared" si="56"/>
        <v/>
      </c>
      <c r="N131" s="267" t="str">
        <f t="shared" si="47"/>
        <v/>
      </c>
      <c r="O131" s="266" t="str">
        <f t="shared" si="48"/>
        <v/>
      </c>
      <c r="P131" s="266" t="str">
        <f t="shared" si="49"/>
        <v/>
      </c>
      <c r="Q131" s="83" t="str">
        <f t="shared" si="50"/>
        <v/>
      </c>
      <c r="R131" s="83" t="str">
        <f t="shared" si="51"/>
        <v/>
      </c>
      <c r="S131" s="27">
        <f t="shared" si="60"/>
        <v>0</v>
      </c>
      <c r="T131" s="84">
        <f t="shared" si="52"/>
        <v>0</v>
      </c>
      <c r="U131" s="84">
        <f t="shared" si="53"/>
        <v>0</v>
      </c>
      <c r="V131" s="36" t="e">
        <f t="shared" si="54"/>
        <v>#DIV/0!</v>
      </c>
      <c r="W131" s="36" t="e">
        <f t="shared" si="55"/>
        <v>#DIV/0!</v>
      </c>
      <c r="X131" s="63" t="e">
        <f t="shared" si="57"/>
        <v>#DIV/0!</v>
      </c>
    </row>
    <row r="132" spans="1:24">
      <c r="A132" s="26"/>
      <c r="B132" s="27"/>
      <c r="C132" s="27"/>
      <c r="D132" s="27"/>
      <c r="E132" s="27"/>
      <c r="F132" s="27"/>
      <c r="G132" s="27"/>
      <c r="H132" s="27"/>
      <c r="I132" s="27"/>
      <c r="J132" s="27"/>
      <c r="K132" s="83" t="str">
        <f t="shared" si="45"/>
        <v/>
      </c>
      <c r="L132" s="83" t="str">
        <f t="shared" si="46"/>
        <v/>
      </c>
      <c r="M132" s="266" t="str">
        <f t="shared" si="56"/>
        <v/>
      </c>
      <c r="N132" s="83" t="str">
        <f t="shared" si="47"/>
        <v/>
      </c>
      <c r="O132" s="266" t="str">
        <f t="shared" si="48"/>
        <v/>
      </c>
      <c r="P132" s="266" t="str">
        <f t="shared" si="49"/>
        <v/>
      </c>
      <c r="Q132" s="83" t="str">
        <f t="shared" si="50"/>
        <v/>
      </c>
      <c r="R132" s="83" t="str">
        <f t="shared" si="51"/>
        <v/>
      </c>
      <c r="S132" s="27">
        <f t="shared" si="60"/>
        <v>0</v>
      </c>
      <c r="T132" s="84">
        <f t="shared" si="52"/>
        <v>0</v>
      </c>
      <c r="U132" s="84">
        <f t="shared" si="53"/>
        <v>0</v>
      </c>
      <c r="V132" s="36" t="e">
        <f t="shared" si="54"/>
        <v>#DIV/0!</v>
      </c>
      <c r="W132" s="36" t="e">
        <f t="shared" si="55"/>
        <v>#DIV/0!</v>
      </c>
      <c r="X132" s="63" t="e">
        <f t="shared" si="57"/>
        <v>#DIV/0!</v>
      </c>
    </row>
    <row r="133" spans="1:24">
      <c r="A133" s="26"/>
      <c r="B133" s="27"/>
      <c r="C133" s="27"/>
      <c r="D133" s="27"/>
      <c r="E133" s="27"/>
      <c r="F133" s="27"/>
      <c r="G133" s="27"/>
      <c r="H133" s="27"/>
      <c r="I133" s="27"/>
      <c r="J133" s="27"/>
      <c r="K133" s="83" t="str">
        <f t="shared" si="45"/>
        <v/>
      </c>
      <c r="L133" s="83" t="str">
        <f t="shared" si="46"/>
        <v/>
      </c>
      <c r="M133" s="266" t="str">
        <f t="shared" si="56"/>
        <v/>
      </c>
      <c r="N133" s="83" t="str">
        <f t="shared" si="47"/>
        <v/>
      </c>
      <c r="O133" s="266" t="str">
        <f t="shared" si="48"/>
        <v/>
      </c>
      <c r="P133" s="266" t="str">
        <f t="shared" si="49"/>
        <v/>
      </c>
      <c r="Q133" s="83" t="str">
        <f t="shared" si="50"/>
        <v/>
      </c>
      <c r="R133" s="83" t="str">
        <f t="shared" si="51"/>
        <v/>
      </c>
      <c r="S133" s="27">
        <f t="shared" si="60"/>
        <v>0</v>
      </c>
      <c r="T133" s="84">
        <f t="shared" si="52"/>
        <v>0</v>
      </c>
      <c r="U133" s="84">
        <f t="shared" si="53"/>
        <v>0</v>
      </c>
      <c r="V133" s="36" t="e">
        <f t="shared" si="54"/>
        <v>#DIV/0!</v>
      </c>
      <c r="W133" s="36" t="e">
        <f t="shared" si="55"/>
        <v>#DIV/0!</v>
      </c>
      <c r="X133" s="63" t="e">
        <f t="shared" si="57"/>
        <v>#DIV/0!</v>
      </c>
    </row>
    <row r="134" spans="1:24">
      <c r="A134" s="26"/>
      <c r="B134" s="27"/>
      <c r="C134" s="27"/>
      <c r="D134" s="27"/>
      <c r="E134" s="27"/>
      <c r="F134" s="27"/>
      <c r="G134" s="27"/>
      <c r="H134" s="27"/>
      <c r="I134" s="27"/>
      <c r="J134" s="27"/>
      <c r="K134" s="83" t="str">
        <f t="shared" si="45"/>
        <v/>
      </c>
      <c r="L134" s="83" t="str">
        <f t="shared" si="46"/>
        <v/>
      </c>
      <c r="M134" s="266" t="str">
        <f t="shared" si="56"/>
        <v/>
      </c>
      <c r="N134" s="83" t="str">
        <f t="shared" si="47"/>
        <v/>
      </c>
      <c r="O134" s="83" t="str">
        <f t="shared" si="48"/>
        <v/>
      </c>
      <c r="P134" s="266" t="str">
        <f t="shared" si="49"/>
        <v/>
      </c>
      <c r="Q134" s="83" t="str">
        <f t="shared" si="50"/>
        <v/>
      </c>
      <c r="R134" s="83" t="str">
        <f t="shared" si="51"/>
        <v/>
      </c>
      <c r="S134" s="27">
        <f t="shared" si="60"/>
        <v>0</v>
      </c>
      <c r="T134" s="84">
        <f t="shared" si="52"/>
        <v>0</v>
      </c>
      <c r="U134" s="84">
        <f t="shared" si="53"/>
        <v>0</v>
      </c>
      <c r="V134" s="36" t="e">
        <f t="shared" si="54"/>
        <v>#DIV/0!</v>
      </c>
      <c r="W134" s="36" t="e">
        <f t="shared" si="55"/>
        <v>#DIV/0!</v>
      </c>
      <c r="X134" s="63" t="e">
        <f t="shared" si="57"/>
        <v>#DIV/0!</v>
      </c>
    </row>
    <row r="135" spans="1:24">
      <c r="A135" s="26"/>
      <c r="B135" s="27"/>
      <c r="C135" s="27"/>
      <c r="D135" s="27"/>
      <c r="E135" s="27"/>
      <c r="F135" s="27"/>
      <c r="G135" s="27"/>
      <c r="H135" s="27"/>
      <c r="I135" s="27"/>
      <c r="J135" s="27"/>
      <c r="K135" s="83" t="str">
        <f t="shared" si="45"/>
        <v/>
      </c>
      <c r="L135" s="83" t="str">
        <f t="shared" si="46"/>
        <v/>
      </c>
      <c r="M135" s="266" t="str">
        <f t="shared" si="56"/>
        <v/>
      </c>
      <c r="N135" s="83" t="str">
        <f t="shared" si="47"/>
        <v/>
      </c>
      <c r="O135" s="83" t="str">
        <f t="shared" si="48"/>
        <v/>
      </c>
      <c r="P135" s="266" t="str">
        <f t="shared" si="49"/>
        <v/>
      </c>
      <c r="Q135" s="83" t="str">
        <f t="shared" si="50"/>
        <v/>
      </c>
      <c r="R135" s="83" t="str">
        <f t="shared" si="51"/>
        <v/>
      </c>
      <c r="S135" s="27">
        <f t="shared" si="60"/>
        <v>0</v>
      </c>
      <c r="T135" s="84">
        <f t="shared" si="52"/>
        <v>0</v>
      </c>
      <c r="U135" s="84">
        <f t="shared" si="53"/>
        <v>0</v>
      </c>
      <c r="V135" s="36" t="e">
        <f t="shared" si="54"/>
        <v>#DIV/0!</v>
      </c>
      <c r="W135" s="36" t="e">
        <f t="shared" si="55"/>
        <v>#DIV/0!</v>
      </c>
      <c r="X135" s="63" t="e">
        <f t="shared" si="57"/>
        <v>#DIV/0!</v>
      </c>
    </row>
    <row r="136" spans="1:24">
      <c r="A136" s="26"/>
      <c r="B136" s="27"/>
      <c r="C136" s="27"/>
      <c r="D136" s="27"/>
      <c r="E136" s="27"/>
      <c r="F136" s="27"/>
      <c r="G136" s="27"/>
      <c r="H136" s="27"/>
      <c r="I136" s="27"/>
      <c r="J136" s="27"/>
      <c r="K136" s="83" t="str">
        <f t="shared" si="45"/>
        <v/>
      </c>
      <c r="L136" s="83" t="str">
        <f t="shared" si="46"/>
        <v/>
      </c>
      <c r="M136" s="266" t="str">
        <f t="shared" si="56"/>
        <v/>
      </c>
      <c r="N136" s="83" t="str">
        <f t="shared" si="47"/>
        <v/>
      </c>
      <c r="O136" s="83" t="str">
        <f t="shared" si="48"/>
        <v/>
      </c>
      <c r="P136" s="266" t="str">
        <f t="shared" si="49"/>
        <v/>
      </c>
      <c r="Q136" s="83" t="str">
        <f t="shared" si="50"/>
        <v/>
      </c>
      <c r="R136" s="83" t="str">
        <f t="shared" si="51"/>
        <v/>
      </c>
      <c r="S136" s="27">
        <f t="shared" si="60"/>
        <v>0</v>
      </c>
      <c r="T136" s="84">
        <f t="shared" si="52"/>
        <v>0</v>
      </c>
      <c r="U136" s="84">
        <f t="shared" si="53"/>
        <v>0</v>
      </c>
      <c r="V136" s="36" t="e">
        <f t="shared" si="54"/>
        <v>#DIV/0!</v>
      </c>
      <c r="W136" s="36" t="e">
        <f t="shared" si="55"/>
        <v>#DIV/0!</v>
      </c>
      <c r="X136" s="63" t="e">
        <f t="shared" si="57"/>
        <v>#DIV/0!</v>
      </c>
    </row>
    <row r="137" spans="1:24">
      <c r="A137" s="26"/>
      <c r="B137" s="27"/>
      <c r="C137" s="27"/>
      <c r="D137" s="27"/>
      <c r="E137" s="27"/>
      <c r="F137" s="27"/>
      <c r="G137" s="27"/>
      <c r="H137" s="27"/>
      <c r="I137" s="27"/>
      <c r="J137" s="27"/>
      <c r="K137" s="83" t="str">
        <f t="shared" si="45"/>
        <v/>
      </c>
      <c r="L137" s="83" t="str">
        <f t="shared" si="46"/>
        <v/>
      </c>
      <c r="M137" s="266" t="str">
        <f t="shared" si="56"/>
        <v/>
      </c>
      <c r="N137" s="83" t="str">
        <f t="shared" si="47"/>
        <v/>
      </c>
      <c r="O137" s="83" t="str">
        <f t="shared" si="48"/>
        <v/>
      </c>
      <c r="P137" s="266" t="str">
        <f t="shared" si="49"/>
        <v/>
      </c>
      <c r="Q137" s="83" t="str">
        <f t="shared" si="50"/>
        <v/>
      </c>
      <c r="R137" s="83" t="str">
        <f t="shared" si="51"/>
        <v/>
      </c>
      <c r="S137" s="27">
        <f t="shared" si="60"/>
        <v>0</v>
      </c>
      <c r="T137" s="84">
        <f t="shared" si="52"/>
        <v>0</v>
      </c>
      <c r="U137" s="84">
        <f t="shared" si="53"/>
        <v>0</v>
      </c>
      <c r="V137" s="36" t="e">
        <f t="shared" si="54"/>
        <v>#DIV/0!</v>
      </c>
      <c r="W137" s="36" t="e">
        <f t="shared" si="55"/>
        <v>#DIV/0!</v>
      </c>
      <c r="X137" s="63" t="e">
        <f t="shared" si="57"/>
        <v>#DIV/0!</v>
      </c>
    </row>
    <row r="138" spans="1:24">
      <c r="A138" s="26"/>
      <c r="B138" s="27"/>
      <c r="C138" s="27"/>
      <c r="D138" s="27"/>
      <c r="E138" s="27"/>
      <c r="F138" s="27"/>
      <c r="G138" s="27"/>
      <c r="H138" s="27"/>
      <c r="I138" s="27"/>
      <c r="J138" s="27"/>
      <c r="K138" s="83" t="str">
        <f t="shared" si="45"/>
        <v/>
      </c>
      <c r="L138" s="83" t="str">
        <f t="shared" si="46"/>
        <v/>
      </c>
      <c r="M138" s="266" t="str">
        <f t="shared" si="56"/>
        <v/>
      </c>
      <c r="N138" s="83" t="str">
        <f t="shared" si="47"/>
        <v/>
      </c>
      <c r="O138" s="83" t="str">
        <f t="shared" si="48"/>
        <v/>
      </c>
      <c r="P138" s="266" t="str">
        <f t="shared" si="49"/>
        <v/>
      </c>
      <c r="Q138" s="83" t="str">
        <f t="shared" si="50"/>
        <v/>
      </c>
      <c r="R138" s="83" t="str">
        <f t="shared" si="51"/>
        <v/>
      </c>
      <c r="S138" s="27">
        <f t="shared" si="60"/>
        <v>0</v>
      </c>
      <c r="T138" s="84">
        <f t="shared" si="52"/>
        <v>0</v>
      </c>
      <c r="U138" s="84">
        <f t="shared" si="53"/>
        <v>0</v>
      </c>
      <c r="V138" s="36" t="e">
        <f t="shared" si="54"/>
        <v>#DIV/0!</v>
      </c>
      <c r="W138" s="36" t="e">
        <f t="shared" si="55"/>
        <v>#DIV/0!</v>
      </c>
      <c r="X138" s="63" t="e">
        <f t="shared" si="57"/>
        <v>#DIV/0!</v>
      </c>
    </row>
    <row r="139" spans="1:24">
      <c r="A139" s="26"/>
      <c r="B139" s="27"/>
      <c r="C139" s="27"/>
      <c r="D139" s="27"/>
      <c r="E139" s="27"/>
      <c r="F139" s="27"/>
      <c r="G139" s="27"/>
      <c r="H139" s="27"/>
      <c r="I139" s="27"/>
      <c r="J139" s="27"/>
      <c r="K139" s="83" t="str">
        <f t="shared" si="45"/>
        <v/>
      </c>
      <c r="L139" s="83" t="str">
        <f t="shared" si="46"/>
        <v/>
      </c>
      <c r="M139" s="266" t="str">
        <f t="shared" si="56"/>
        <v/>
      </c>
      <c r="N139" s="83" t="str">
        <f t="shared" si="47"/>
        <v/>
      </c>
      <c r="O139" s="83" t="str">
        <f t="shared" si="48"/>
        <v/>
      </c>
      <c r="P139" s="266" t="str">
        <f t="shared" si="49"/>
        <v/>
      </c>
      <c r="Q139" s="83" t="str">
        <f t="shared" si="50"/>
        <v/>
      </c>
      <c r="R139" s="83" t="str">
        <f t="shared" si="51"/>
        <v/>
      </c>
      <c r="S139" s="27">
        <f t="shared" si="60"/>
        <v>0</v>
      </c>
      <c r="T139" s="84">
        <f t="shared" si="52"/>
        <v>0</v>
      </c>
      <c r="U139" s="84">
        <f t="shared" si="53"/>
        <v>0</v>
      </c>
      <c r="V139" s="36" t="e">
        <f t="shared" si="54"/>
        <v>#DIV/0!</v>
      </c>
      <c r="W139" s="36" t="e">
        <f t="shared" si="55"/>
        <v>#DIV/0!</v>
      </c>
      <c r="X139" s="63" t="e">
        <f t="shared" si="57"/>
        <v>#DIV/0!</v>
      </c>
    </row>
    <row r="140" spans="1:24">
      <c r="A140" s="26"/>
      <c r="B140" s="27"/>
      <c r="C140" s="27"/>
      <c r="D140" s="27"/>
      <c r="E140" s="27"/>
      <c r="F140" s="27"/>
      <c r="G140" s="27"/>
      <c r="H140" s="27"/>
      <c r="I140" s="27"/>
      <c r="J140" s="27"/>
      <c r="K140" s="83" t="str">
        <f t="shared" si="45"/>
        <v/>
      </c>
      <c r="L140" s="83" t="str">
        <f t="shared" si="46"/>
        <v/>
      </c>
      <c r="M140" s="266" t="str">
        <f t="shared" si="56"/>
        <v/>
      </c>
      <c r="N140" s="83" t="str">
        <f t="shared" si="47"/>
        <v/>
      </c>
      <c r="O140" s="83" t="str">
        <f t="shared" si="48"/>
        <v/>
      </c>
      <c r="P140" s="266" t="str">
        <f t="shared" si="49"/>
        <v/>
      </c>
      <c r="Q140" s="83" t="str">
        <f t="shared" si="50"/>
        <v/>
      </c>
      <c r="R140" s="83" t="str">
        <f t="shared" si="51"/>
        <v/>
      </c>
      <c r="S140" s="27">
        <f t="shared" si="60"/>
        <v>0</v>
      </c>
      <c r="T140" s="84">
        <f t="shared" si="52"/>
        <v>0</v>
      </c>
      <c r="U140" s="84">
        <f t="shared" si="53"/>
        <v>0</v>
      </c>
      <c r="V140" s="36" t="e">
        <f t="shared" si="54"/>
        <v>#DIV/0!</v>
      </c>
      <c r="W140" s="36" t="e">
        <f t="shared" si="55"/>
        <v>#DIV/0!</v>
      </c>
      <c r="X140" s="63" t="e">
        <f t="shared" si="57"/>
        <v>#DIV/0!</v>
      </c>
    </row>
    <row r="141" spans="1:24">
      <c r="A141" s="26"/>
      <c r="B141" s="27"/>
      <c r="C141" s="27"/>
      <c r="D141" s="27"/>
      <c r="E141" s="27"/>
      <c r="F141" s="27"/>
      <c r="G141" s="27"/>
      <c r="H141" s="27"/>
      <c r="I141" s="27"/>
      <c r="J141" s="27"/>
      <c r="K141" s="83" t="str">
        <f t="shared" si="45"/>
        <v/>
      </c>
      <c r="L141" s="83" t="str">
        <f t="shared" si="46"/>
        <v/>
      </c>
      <c r="M141" s="266" t="str">
        <f t="shared" si="56"/>
        <v/>
      </c>
      <c r="N141" s="83" t="str">
        <f t="shared" si="47"/>
        <v/>
      </c>
      <c r="O141" s="83" t="str">
        <f t="shared" si="48"/>
        <v/>
      </c>
      <c r="P141" s="266" t="str">
        <f t="shared" si="49"/>
        <v/>
      </c>
      <c r="Q141" s="83" t="str">
        <f t="shared" si="50"/>
        <v/>
      </c>
      <c r="R141" s="83" t="str">
        <f t="shared" si="51"/>
        <v/>
      </c>
      <c r="S141" s="27">
        <f t="shared" si="60"/>
        <v>0</v>
      </c>
      <c r="T141" s="84">
        <f t="shared" si="52"/>
        <v>0</v>
      </c>
      <c r="U141" s="84">
        <f t="shared" si="53"/>
        <v>0</v>
      </c>
      <c r="V141" s="36" t="e">
        <f t="shared" si="54"/>
        <v>#DIV/0!</v>
      </c>
      <c r="W141" s="36" t="e">
        <f t="shared" si="55"/>
        <v>#DIV/0!</v>
      </c>
      <c r="X141" s="63" t="e">
        <f t="shared" si="57"/>
        <v>#DIV/0!</v>
      </c>
    </row>
    <row r="142" spans="1:24">
      <c r="A142" s="26"/>
      <c r="B142" s="27"/>
      <c r="C142" s="27"/>
      <c r="D142" s="27"/>
      <c r="E142" s="27"/>
      <c r="F142" s="27"/>
      <c r="G142" s="27"/>
      <c r="H142" s="27"/>
      <c r="I142" s="27"/>
      <c r="J142" s="27"/>
      <c r="K142" s="83" t="str">
        <f t="shared" si="45"/>
        <v/>
      </c>
      <c r="L142" s="83" t="str">
        <f t="shared" si="46"/>
        <v/>
      </c>
      <c r="M142" s="266" t="str">
        <f t="shared" si="56"/>
        <v/>
      </c>
      <c r="N142" s="83" t="str">
        <f t="shared" si="47"/>
        <v/>
      </c>
      <c r="O142" s="83" t="str">
        <f t="shared" si="48"/>
        <v/>
      </c>
      <c r="P142" s="266" t="str">
        <f t="shared" si="49"/>
        <v/>
      </c>
      <c r="Q142" s="83" t="str">
        <f t="shared" si="50"/>
        <v/>
      </c>
      <c r="R142" s="83" t="str">
        <f t="shared" si="51"/>
        <v/>
      </c>
      <c r="S142" s="27">
        <f t="shared" si="60"/>
        <v>0</v>
      </c>
      <c r="T142" s="84">
        <f t="shared" si="52"/>
        <v>0</v>
      </c>
      <c r="U142" s="84">
        <f t="shared" si="53"/>
        <v>0</v>
      </c>
      <c r="V142" s="36" t="e">
        <f t="shared" si="54"/>
        <v>#DIV/0!</v>
      </c>
      <c r="W142" s="36" t="e">
        <f t="shared" si="55"/>
        <v>#DIV/0!</v>
      </c>
      <c r="X142" s="63" t="e">
        <f t="shared" si="57"/>
        <v>#DIV/0!</v>
      </c>
    </row>
    <row r="143" spans="1:24">
      <c r="A143" s="26"/>
      <c r="B143" s="27"/>
      <c r="C143" s="27"/>
      <c r="D143" s="27"/>
      <c r="E143" s="27"/>
      <c r="F143" s="27"/>
      <c r="G143" s="27"/>
      <c r="H143" s="27"/>
      <c r="I143" s="27"/>
      <c r="J143" s="27"/>
      <c r="K143" s="83" t="str">
        <f t="shared" si="45"/>
        <v/>
      </c>
      <c r="L143" s="83" t="str">
        <f t="shared" si="46"/>
        <v/>
      </c>
      <c r="M143" s="266" t="str">
        <f t="shared" si="56"/>
        <v/>
      </c>
      <c r="N143" s="83" t="str">
        <f t="shared" si="47"/>
        <v/>
      </c>
      <c r="O143" s="83" t="str">
        <f t="shared" si="48"/>
        <v/>
      </c>
      <c r="P143" s="266" t="str">
        <f t="shared" si="49"/>
        <v/>
      </c>
      <c r="Q143" s="83" t="str">
        <f t="shared" si="50"/>
        <v/>
      </c>
      <c r="R143" s="83" t="str">
        <f t="shared" si="51"/>
        <v/>
      </c>
      <c r="S143" s="27">
        <f t="shared" si="60"/>
        <v>0</v>
      </c>
      <c r="T143" s="84">
        <f t="shared" si="52"/>
        <v>0</v>
      </c>
      <c r="U143" s="84">
        <f t="shared" si="53"/>
        <v>0</v>
      </c>
      <c r="V143" s="36" t="e">
        <f t="shared" si="54"/>
        <v>#DIV/0!</v>
      </c>
      <c r="W143" s="36" t="e">
        <f t="shared" si="55"/>
        <v>#DIV/0!</v>
      </c>
      <c r="X143" s="63" t="e">
        <f t="shared" si="57"/>
        <v>#DIV/0!</v>
      </c>
    </row>
    <row r="144" spans="1:24">
      <c r="A144" s="26"/>
      <c r="B144" s="27"/>
      <c r="C144" s="27"/>
      <c r="D144" s="27"/>
      <c r="E144" s="27"/>
      <c r="F144" s="27"/>
      <c r="G144" s="27"/>
      <c r="H144" s="27"/>
      <c r="I144" s="27"/>
      <c r="J144" s="27"/>
      <c r="K144" s="83" t="str">
        <f t="shared" si="45"/>
        <v/>
      </c>
      <c r="L144" s="83" t="str">
        <f t="shared" si="46"/>
        <v/>
      </c>
      <c r="M144" s="266" t="str">
        <f t="shared" si="56"/>
        <v/>
      </c>
      <c r="N144" s="83" t="str">
        <f t="shared" si="47"/>
        <v/>
      </c>
      <c r="O144" s="83" t="str">
        <f t="shared" si="48"/>
        <v/>
      </c>
      <c r="P144" s="266" t="str">
        <f t="shared" si="49"/>
        <v/>
      </c>
      <c r="Q144" s="83" t="str">
        <f t="shared" si="50"/>
        <v/>
      </c>
      <c r="R144" s="83" t="str">
        <f t="shared" si="51"/>
        <v/>
      </c>
      <c r="S144" s="27">
        <f t="shared" si="60"/>
        <v>0</v>
      </c>
      <c r="T144" s="84">
        <f t="shared" si="52"/>
        <v>0</v>
      </c>
      <c r="U144" s="84">
        <f t="shared" si="53"/>
        <v>0</v>
      </c>
      <c r="V144" s="36" t="e">
        <f t="shared" si="54"/>
        <v>#DIV/0!</v>
      </c>
      <c r="W144" s="36" t="e">
        <f t="shared" si="55"/>
        <v>#DIV/0!</v>
      </c>
      <c r="X144" s="63" t="e">
        <f t="shared" si="57"/>
        <v>#DIV/0!</v>
      </c>
    </row>
    <row r="145" spans="1:24">
      <c r="A145" s="26"/>
      <c r="B145" s="27"/>
      <c r="C145" s="27"/>
      <c r="D145" s="27"/>
      <c r="E145" s="27"/>
      <c r="F145" s="27"/>
      <c r="G145" s="27"/>
      <c r="H145" s="27"/>
      <c r="I145" s="27"/>
      <c r="J145" s="27"/>
      <c r="K145" s="83" t="str">
        <f t="shared" si="45"/>
        <v/>
      </c>
      <c r="L145" s="83" t="str">
        <f t="shared" si="46"/>
        <v/>
      </c>
      <c r="M145" s="266" t="str">
        <f t="shared" si="56"/>
        <v/>
      </c>
      <c r="N145" s="83" t="str">
        <f t="shared" si="47"/>
        <v/>
      </c>
      <c r="O145" s="83" t="str">
        <f t="shared" si="48"/>
        <v/>
      </c>
      <c r="P145" s="266" t="str">
        <f t="shared" si="49"/>
        <v/>
      </c>
      <c r="Q145" s="83" t="str">
        <f t="shared" si="50"/>
        <v/>
      </c>
      <c r="R145" s="83" t="str">
        <f t="shared" si="51"/>
        <v/>
      </c>
      <c r="S145" s="27">
        <f t="shared" si="60"/>
        <v>0</v>
      </c>
      <c r="T145" s="84">
        <f t="shared" si="52"/>
        <v>0</v>
      </c>
      <c r="U145" s="84">
        <f t="shared" si="53"/>
        <v>0</v>
      </c>
      <c r="V145" s="36" t="e">
        <f t="shared" si="54"/>
        <v>#DIV/0!</v>
      </c>
      <c r="W145" s="36" t="e">
        <f t="shared" si="55"/>
        <v>#DIV/0!</v>
      </c>
      <c r="X145" s="63" t="e">
        <f t="shared" si="57"/>
        <v>#DIV/0!</v>
      </c>
    </row>
    <row r="146" spans="1:24">
      <c r="A146" s="26"/>
      <c r="B146" s="27"/>
      <c r="C146" s="27"/>
      <c r="D146" s="27"/>
      <c r="E146" s="27"/>
      <c r="F146" s="27"/>
      <c r="G146" s="27"/>
      <c r="H146" s="27"/>
      <c r="I146" s="27"/>
      <c r="J146" s="27"/>
      <c r="K146" s="83" t="str">
        <f t="shared" si="45"/>
        <v/>
      </c>
      <c r="L146" s="83" t="str">
        <f t="shared" si="46"/>
        <v/>
      </c>
      <c r="M146" s="266" t="str">
        <f t="shared" si="56"/>
        <v/>
      </c>
      <c r="N146" s="83" t="str">
        <f t="shared" si="47"/>
        <v/>
      </c>
      <c r="O146" s="83" t="str">
        <f t="shared" si="48"/>
        <v/>
      </c>
      <c r="P146" s="266" t="str">
        <f t="shared" si="49"/>
        <v/>
      </c>
      <c r="Q146" s="83" t="str">
        <f t="shared" si="50"/>
        <v/>
      </c>
      <c r="R146" s="83" t="str">
        <f t="shared" si="51"/>
        <v/>
      </c>
      <c r="S146" s="27">
        <f t="shared" si="60"/>
        <v>0</v>
      </c>
      <c r="T146" s="84">
        <f t="shared" si="52"/>
        <v>0</v>
      </c>
      <c r="U146" s="84">
        <f t="shared" si="53"/>
        <v>0</v>
      </c>
      <c r="V146" s="36" t="e">
        <f t="shared" si="54"/>
        <v>#DIV/0!</v>
      </c>
      <c r="W146" s="36" t="e">
        <f t="shared" si="55"/>
        <v>#DIV/0!</v>
      </c>
      <c r="X146" s="63" t="e">
        <f t="shared" si="57"/>
        <v>#DIV/0!</v>
      </c>
    </row>
    <row r="147" spans="1:24">
      <c r="A147" s="26"/>
      <c r="B147" s="27"/>
      <c r="C147" s="27"/>
      <c r="D147" s="27"/>
      <c r="E147" s="27"/>
      <c r="F147" s="27"/>
      <c r="G147" s="27"/>
      <c r="H147" s="27"/>
      <c r="I147" s="27"/>
      <c r="J147" s="27"/>
      <c r="K147" s="83" t="str">
        <f t="shared" si="45"/>
        <v/>
      </c>
      <c r="L147" s="83" t="str">
        <f t="shared" si="46"/>
        <v/>
      </c>
      <c r="M147" s="266" t="str">
        <f t="shared" si="56"/>
        <v/>
      </c>
      <c r="N147" s="83" t="str">
        <f t="shared" si="47"/>
        <v/>
      </c>
      <c r="O147" s="83" t="str">
        <f t="shared" si="48"/>
        <v/>
      </c>
      <c r="P147" s="266" t="str">
        <f t="shared" si="49"/>
        <v/>
      </c>
      <c r="Q147" s="83" t="str">
        <f t="shared" si="50"/>
        <v/>
      </c>
      <c r="R147" s="83" t="str">
        <f t="shared" si="51"/>
        <v/>
      </c>
      <c r="S147" s="27">
        <f t="shared" si="60"/>
        <v>0</v>
      </c>
      <c r="T147" s="84">
        <f t="shared" si="52"/>
        <v>0</v>
      </c>
      <c r="U147" s="84">
        <f t="shared" si="53"/>
        <v>0</v>
      </c>
      <c r="V147" s="36" t="e">
        <f t="shared" si="54"/>
        <v>#DIV/0!</v>
      </c>
      <c r="W147" s="36" t="e">
        <f t="shared" si="55"/>
        <v>#DIV/0!</v>
      </c>
      <c r="X147" s="63" t="e">
        <f t="shared" si="57"/>
        <v>#DIV/0!</v>
      </c>
    </row>
    <row r="148" spans="1:24">
      <c r="A148" s="26"/>
      <c r="B148" s="27"/>
      <c r="C148" s="27"/>
      <c r="D148" s="27"/>
      <c r="E148" s="27"/>
      <c r="F148" s="27"/>
      <c r="G148" s="27"/>
      <c r="H148" s="27"/>
      <c r="I148" s="27"/>
      <c r="J148" s="27"/>
      <c r="K148" s="83" t="str">
        <f t="shared" si="45"/>
        <v/>
      </c>
      <c r="L148" s="83" t="str">
        <f t="shared" si="46"/>
        <v/>
      </c>
      <c r="M148" s="266" t="str">
        <f t="shared" si="56"/>
        <v/>
      </c>
      <c r="N148" s="83" t="str">
        <f t="shared" si="47"/>
        <v/>
      </c>
      <c r="O148" s="83" t="str">
        <f t="shared" si="48"/>
        <v/>
      </c>
      <c r="P148" s="266" t="str">
        <f t="shared" si="49"/>
        <v/>
      </c>
      <c r="Q148" s="83" t="str">
        <f t="shared" si="50"/>
        <v/>
      </c>
      <c r="R148" s="83" t="str">
        <f t="shared" si="51"/>
        <v/>
      </c>
      <c r="S148" s="27">
        <f t="shared" si="60"/>
        <v>0</v>
      </c>
      <c r="T148" s="84">
        <f t="shared" si="52"/>
        <v>0</v>
      </c>
      <c r="U148" s="84">
        <f t="shared" si="53"/>
        <v>0</v>
      </c>
      <c r="V148" s="36" t="e">
        <f t="shared" si="54"/>
        <v>#DIV/0!</v>
      </c>
      <c r="W148" s="36" t="e">
        <f t="shared" si="55"/>
        <v>#DIV/0!</v>
      </c>
      <c r="X148" s="63" t="e">
        <f t="shared" si="57"/>
        <v>#DIV/0!</v>
      </c>
    </row>
    <row r="149" spans="1:24">
      <c r="A149" s="26"/>
      <c r="B149" s="27"/>
      <c r="C149" s="27"/>
      <c r="D149" s="27"/>
      <c r="E149" s="27"/>
      <c r="F149" s="27"/>
      <c r="G149" s="27"/>
      <c r="H149" s="27"/>
      <c r="I149" s="27"/>
      <c r="J149" s="27"/>
      <c r="K149" s="83" t="str">
        <f t="shared" si="45"/>
        <v/>
      </c>
      <c r="L149" s="83" t="str">
        <f t="shared" si="46"/>
        <v/>
      </c>
      <c r="M149" s="266" t="str">
        <f t="shared" si="56"/>
        <v/>
      </c>
      <c r="N149" s="83" t="str">
        <f t="shared" si="47"/>
        <v/>
      </c>
      <c r="O149" s="83" t="str">
        <f t="shared" si="48"/>
        <v/>
      </c>
      <c r="P149" s="266" t="str">
        <f t="shared" si="49"/>
        <v/>
      </c>
      <c r="Q149" s="83" t="str">
        <f t="shared" si="50"/>
        <v/>
      </c>
      <c r="R149" s="83" t="str">
        <f t="shared" si="51"/>
        <v/>
      </c>
      <c r="S149" s="27">
        <f t="shared" si="60"/>
        <v>0</v>
      </c>
      <c r="T149" s="84">
        <f t="shared" si="52"/>
        <v>0</v>
      </c>
      <c r="U149" s="84">
        <f t="shared" si="53"/>
        <v>0</v>
      </c>
      <c r="V149" s="36" t="e">
        <f t="shared" si="54"/>
        <v>#DIV/0!</v>
      </c>
      <c r="W149" s="36" t="e">
        <f t="shared" si="55"/>
        <v>#DIV/0!</v>
      </c>
      <c r="X149" s="63" t="e">
        <f t="shared" si="57"/>
        <v>#DIV/0!</v>
      </c>
    </row>
    <row r="150" spans="1:24">
      <c r="A150" s="26"/>
      <c r="B150" s="27"/>
      <c r="C150" s="27"/>
      <c r="D150" s="27"/>
      <c r="E150" s="27"/>
      <c r="F150" s="27"/>
      <c r="G150" s="27"/>
      <c r="H150" s="27"/>
      <c r="I150" s="27"/>
      <c r="J150" s="27"/>
      <c r="K150" s="83" t="str">
        <f t="shared" si="45"/>
        <v/>
      </c>
      <c r="L150" s="83" t="str">
        <f t="shared" si="46"/>
        <v/>
      </c>
      <c r="M150" s="266" t="str">
        <f t="shared" si="56"/>
        <v/>
      </c>
      <c r="N150" s="83" t="str">
        <f t="shared" si="47"/>
        <v/>
      </c>
      <c r="O150" s="83" t="str">
        <f t="shared" si="48"/>
        <v/>
      </c>
      <c r="P150" s="266" t="str">
        <f t="shared" si="49"/>
        <v/>
      </c>
      <c r="Q150" s="83" t="str">
        <f t="shared" si="50"/>
        <v/>
      </c>
      <c r="R150" s="83" t="str">
        <f t="shared" si="51"/>
        <v/>
      </c>
      <c r="S150" s="27">
        <f t="shared" si="60"/>
        <v>0</v>
      </c>
      <c r="T150" s="84">
        <f t="shared" si="52"/>
        <v>0</v>
      </c>
      <c r="U150" s="84">
        <f t="shared" si="53"/>
        <v>0</v>
      </c>
      <c r="V150" s="36" t="e">
        <f t="shared" si="54"/>
        <v>#DIV/0!</v>
      </c>
      <c r="W150" s="36" t="e">
        <f t="shared" si="55"/>
        <v>#DIV/0!</v>
      </c>
      <c r="X150" s="63" t="e">
        <f t="shared" si="57"/>
        <v>#DIV/0!</v>
      </c>
    </row>
    <row r="151" spans="1:24">
      <c r="A151" s="26"/>
      <c r="B151" s="27"/>
      <c r="C151" s="27"/>
      <c r="D151" s="27"/>
      <c r="E151" s="27"/>
      <c r="F151" s="27"/>
      <c r="G151" s="27"/>
      <c r="H151" s="27"/>
      <c r="I151" s="27"/>
      <c r="J151" s="27"/>
      <c r="K151" s="83" t="str">
        <f t="shared" si="45"/>
        <v/>
      </c>
      <c r="L151" s="83" t="str">
        <f t="shared" si="46"/>
        <v/>
      </c>
      <c r="M151" s="266" t="str">
        <f t="shared" si="56"/>
        <v/>
      </c>
      <c r="N151" s="83" t="str">
        <f t="shared" si="47"/>
        <v/>
      </c>
      <c r="O151" s="83" t="str">
        <f t="shared" si="48"/>
        <v/>
      </c>
      <c r="P151" s="266" t="str">
        <f t="shared" si="49"/>
        <v/>
      </c>
      <c r="Q151" s="83" t="str">
        <f t="shared" si="50"/>
        <v/>
      </c>
      <c r="R151" s="83" t="str">
        <f t="shared" si="51"/>
        <v/>
      </c>
      <c r="S151" s="27">
        <f t="shared" si="60"/>
        <v>0</v>
      </c>
      <c r="T151" s="84">
        <f t="shared" si="52"/>
        <v>0</v>
      </c>
      <c r="U151" s="84">
        <f t="shared" si="53"/>
        <v>0</v>
      </c>
      <c r="V151" s="36" t="e">
        <f t="shared" si="54"/>
        <v>#DIV/0!</v>
      </c>
      <c r="W151" s="36" t="e">
        <f t="shared" si="55"/>
        <v>#DIV/0!</v>
      </c>
      <c r="X151" s="63" t="e">
        <f t="shared" si="57"/>
        <v>#DIV/0!</v>
      </c>
    </row>
    <row r="152" spans="1:24">
      <c r="A152" s="26"/>
      <c r="B152" s="27"/>
      <c r="C152" s="27"/>
      <c r="D152" s="27"/>
      <c r="E152" s="27"/>
      <c r="F152" s="27"/>
      <c r="G152" s="27"/>
      <c r="H152" s="27"/>
      <c r="I152" s="27"/>
      <c r="J152" s="27"/>
      <c r="K152" s="83" t="str">
        <f t="shared" si="45"/>
        <v/>
      </c>
      <c r="L152" s="83" t="str">
        <f t="shared" si="46"/>
        <v/>
      </c>
      <c r="M152" s="266" t="str">
        <f t="shared" si="56"/>
        <v/>
      </c>
      <c r="N152" s="83" t="str">
        <f t="shared" si="47"/>
        <v/>
      </c>
      <c r="O152" s="83" t="str">
        <f t="shared" si="48"/>
        <v/>
      </c>
      <c r="P152" s="266" t="str">
        <f t="shared" si="49"/>
        <v/>
      </c>
      <c r="Q152" s="83" t="str">
        <f t="shared" si="50"/>
        <v/>
      </c>
      <c r="R152" s="83" t="str">
        <f t="shared" si="51"/>
        <v/>
      </c>
      <c r="S152" s="27">
        <f t="shared" si="60"/>
        <v>0</v>
      </c>
      <c r="T152" s="84">
        <f t="shared" si="52"/>
        <v>0</v>
      </c>
      <c r="U152" s="84">
        <f t="shared" si="53"/>
        <v>0</v>
      </c>
      <c r="V152" s="36" t="e">
        <f t="shared" si="54"/>
        <v>#DIV/0!</v>
      </c>
      <c r="W152" s="36" t="e">
        <f t="shared" si="55"/>
        <v>#DIV/0!</v>
      </c>
      <c r="X152" s="63" t="e">
        <f t="shared" si="57"/>
        <v>#DIV/0!</v>
      </c>
    </row>
    <row r="153" spans="1:24">
      <c r="A153" s="26"/>
      <c r="B153" s="27"/>
      <c r="C153" s="27"/>
      <c r="D153" s="27"/>
      <c r="E153" s="27"/>
      <c r="F153" s="27"/>
      <c r="G153" s="27"/>
      <c r="H153" s="27"/>
      <c r="I153" s="27"/>
      <c r="J153" s="27"/>
      <c r="K153" s="83" t="str">
        <f t="shared" si="45"/>
        <v/>
      </c>
      <c r="L153" s="83" t="str">
        <f t="shared" si="46"/>
        <v/>
      </c>
      <c r="M153" s="266" t="str">
        <f t="shared" si="56"/>
        <v/>
      </c>
      <c r="N153" s="83" t="str">
        <f t="shared" si="47"/>
        <v/>
      </c>
      <c r="O153" s="83" t="str">
        <f t="shared" si="48"/>
        <v/>
      </c>
      <c r="P153" s="266" t="str">
        <f t="shared" si="49"/>
        <v/>
      </c>
      <c r="Q153" s="83" t="str">
        <f t="shared" si="50"/>
        <v/>
      </c>
      <c r="R153" s="83" t="str">
        <f t="shared" si="51"/>
        <v/>
      </c>
      <c r="S153" s="27">
        <f t="shared" si="60"/>
        <v>0</v>
      </c>
      <c r="T153" s="84">
        <f t="shared" si="52"/>
        <v>0</v>
      </c>
      <c r="U153" s="84">
        <f t="shared" si="53"/>
        <v>0</v>
      </c>
      <c r="V153" s="36" t="e">
        <f t="shared" si="54"/>
        <v>#DIV/0!</v>
      </c>
      <c r="W153" s="36" t="e">
        <f t="shared" si="55"/>
        <v>#DIV/0!</v>
      </c>
      <c r="X153" s="63" t="e">
        <f t="shared" si="57"/>
        <v>#DIV/0!</v>
      </c>
    </row>
    <row r="154" spans="1:24">
      <c r="A154" s="26"/>
      <c r="B154" s="27"/>
      <c r="C154" s="27"/>
      <c r="D154" s="27"/>
      <c r="E154" s="27"/>
      <c r="F154" s="27"/>
      <c r="G154" s="27"/>
      <c r="H154" s="27"/>
      <c r="I154" s="27"/>
      <c r="J154" s="27"/>
      <c r="K154" s="83" t="str">
        <f t="shared" si="45"/>
        <v/>
      </c>
      <c r="L154" s="83" t="str">
        <f t="shared" si="46"/>
        <v/>
      </c>
      <c r="M154" s="266" t="str">
        <f t="shared" si="56"/>
        <v/>
      </c>
      <c r="N154" s="83" t="str">
        <f t="shared" si="47"/>
        <v/>
      </c>
      <c r="O154" s="83" t="str">
        <f t="shared" si="48"/>
        <v/>
      </c>
      <c r="P154" s="266" t="str">
        <f t="shared" si="49"/>
        <v/>
      </c>
      <c r="Q154" s="83" t="str">
        <f t="shared" si="50"/>
        <v/>
      </c>
      <c r="R154" s="83" t="str">
        <f t="shared" si="51"/>
        <v/>
      </c>
      <c r="S154" s="27">
        <f t="shared" si="60"/>
        <v>0</v>
      </c>
      <c r="T154" s="84">
        <f t="shared" si="52"/>
        <v>0</v>
      </c>
      <c r="U154" s="84">
        <f t="shared" si="53"/>
        <v>0</v>
      </c>
      <c r="V154" s="36" t="e">
        <f t="shared" si="54"/>
        <v>#DIV/0!</v>
      </c>
      <c r="W154" s="36" t="e">
        <f t="shared" si="55"/>
        <v>#DIV/0!</v>
      </c>
      <c r="X154" s="63" t="e">
        <f t="shared" si="57"/>
        <v>#DIV/0!</v>
      </c>
    </row>
    <row r="155" spans="1:24">
      <c r="A155" s="26"/>
      <c r="B155" s="27"/>
      <c r="C155" s="27"/>
      <c r="D155" s="27"/>
      <c r="E155" s="27"/>
      <c r="F155" s="27"/>
      <c r="G155" s="27"/>
      <c r="H155" s="27"/>
      <c r="I155" s="27"/>
      <c r="J155" s="27"/>
      <c r="K155" s="83" t="str">
        <f t="shared" si="45"/>
        <v/>
      </c>
      <c r="L155" s="83" t="str">
        <f t="shared" si="46"/>
        <v/>
      </c>
      <c r="M155" s="266" t="str">
        <f t="shared" si="56"/>
        <v/>
      </c>
      <c r="N155" s="83" t="str">
        <f t="shared" si="47"/>
        <v/>
      </c>
      <c r="O155" s="83" t="str">
        <f t="shared" si="48"/>
        <v/>
      </c>
      <c r="P155" s="266" t="str">
        <f t="shared" si="49"/>
        <v/>
      </c>
      <c r="Q155" s="83" t="str">
        <f t="shared" si="50"/>
        <v/>
      </c>
      <c r="R155" s="83" t="str">
        <f t="shared" si="51"/>
        <v/>
      </c>
      <c r="S155" s="27">
        <f t="shared" si="60"/>
        <v>0</v>
      </c>
      <c r="T155" s="84">
        <f t="shared" si="52"/>
        <v>0</v>
      </c>
      <c r="U155" s="84">
        <f t="shared" si="53"/>
        <v>0</v>
      </c>
      <c r="V155" s="36" t="e">
        <f t="shared" si="54"/>
        <v>#DIV/0!</v>
      </c>
      <c r="W155" s="36" t="e">
        <f t="shared" si="55"/>
        <v>#DIV/0!</v>
      </c>
      <c r="X155" s="63" t="e">
        <f t="shared" si="57"/>
        <v>#DIV/0!</v>
      </c>
    </row>
    <row r="156" spans="1:24">
      <c r="A156" s="26"/>
      <c r="B156" s="27"/>
      <c r="C156" s="27"/>
      <c r="D156" s="27"/>
      <c r="E156" s="27"/>
      <c r="F156" s="27"/>
      <c r="G156" s="27"/>
      <c r="H156" s="27"/>
      <c r="I156" s="27"/>
      <c r="J156" s="27"/>
      <c r="K156" s="83" t="str">
        <f t="shared" si="45"/>
        <v/>
      </c>
      <c r="L156" s="83" t="str">
        <f t="shared" si="46"/>
        <v/>
      </c>
      <c r="M156" s="266" t="str">
        <f t="shared" si="56"/>
        <v/>
      </c>
      <c r="N156" s="83" t="str">
        <f t="shared" si="47"/>
        <v/>
      </c>
      <c r="O156" s="83" t="str">
        <f t="shared" si="48"/>
        <v/>
      </c>
      <c r="P156" s="266" t="str">
        <f t="shared" si="49"/>
        <v/>
      </c>
      <c r="Q156" s="83" t="str">
        <f t="shared" si="50"/>
        <v/>
      </c>
      <c r="R156" s="83" t="str">
        <f t="shared" si="51"/>
        <v/>
      </c>
      <c r="S156" s="27">
        <f t="shared" si="60"/>
        <v>0</v>
      </c>
      <c r="T156" s="84">
        <f t="shared" si="52"/>
        <v>0</v>
      </c>
      <c r="U156" s="84">
        <f t="shared" si="53"/>
        <v>0</v>
      </c>
      <c r="V156" s="36" t="e">
        <f t="shared" si="54"/>
        <v>#DIV/0!</v>
      </c>
      <c r="W156" s="36" t="e">
        <f t="shared" si="55"/>
        <v>#DIV/0!</v>
      </c>
      <c r="X156" s="63" t="e">
        <f t="shared" si="57"/>
        <v>#DIV/0!</v>
      </c>
    </row>
    <row r="157" spans="1:24">
      <c r="A157" s="26"/>
      <c r="B157" s="27"/>
      <c r="C157" s="27"/>
      <c r="D157" s="27"/>
      <c r="E157" s="27"/>
      <c r="F157" s="27"/>
      <c r="G157" s="27"/>
      <c r="H157" s="27"/>
      <c r="I157" s="27"/>
      <c r="J157" s="27"/>
      <c r="K157" s="83" t="str">
        <f t="shared" si="45"/>
        <v/>
      </c>
      <c r="L157" s="83" t="str">
        <f t="shared" si="46"/>
        <v/>
      </c>
      <c r="M157" s="266" t="str">
        <f t="shared" si="56"/>
        <v/>
      </c>
      <c r="N157" s="83" t="str">
        <f t="shared" si="47"/>
        <v/>
      </c>
      <c r="O157" s="83" t="str">
        <f t="shared" si="48"/>
        <v/>
      </c>
      <c r="P157" s="266" t="str">
        <f t="shared" si="49"/>
        <v/>
      </c>
      <c r="Q157" s="83" t="str">
        <f t="shared" si="50"/>
        <v/>
      </c>
      <c r="R157" s="83" t="str">
        <f t="shared" si="51"/>
        <v/>
      </c>
      <c r="S157" s="27">
        <f t="shared" si="60"/>
        <v>0</v>
      </c>
      <c r="T157" s="84">
        <f t="shared" si="52"/>
        <v>0</v>
      </c>
      <c r="U157" s="84">
        <f t="shared" si="53"/>
        <v>0</v>
      </c>
      <c r="V157" s="36" t="e">
        <f t="shared" si="54"/>
        <v>#DIV/0!</v>
      </c>
      <c r="W157" s="36" t="e">
        <f t="shared" si="55"/>
        <v>#DIV/0!</v>
      </c>
      <c r="X157" s="63" t="e">
        <f t="shared" si="57"/>
        <v>#DIV/0!</v>
      </c>
    </row>
    <row r="158" spans="1:24">
      <c r="A158" s="26"/>
      <c r="B158" s="27"/>
      <c r="C158" s="27"/>
      <c r="D158" s="27"/>
      <c r="E158" s="27"/>
      <c r="F158" s="27"/>
      <c r="G158" s="27"/>
      <c r="H158" s="27"/>
      <c r="I158" s="27"/>
      <c r="J158" s="27"/>
      <c r="K158" s="83" t="str">
        <f t="shared" si="45"/>
        <v/>
      </c>
      <c r="L158" s="83" t="str">
        <f t="shared" si="46"/>
        <v/>
      </c>
      <c r="M158" s="266" t="str">
        <f t="shared" si="56"/>
        <v/>
      </c>
      <c r="N158" s="83" t="str">
        <f t="shared" si="47"/>
        <v/>
      </c>
      <c r="O158" s="83" t="str">
        <f t="shared" si="48"/>
        <v/>
      </c>
      <c r="P158" s="266" t="str">
        <f t="shared" si="49"/>
        <v/>
      </c>
      <c r="Q158" s="83" t="str">
        <f t="shared" si="50"/>
        <v/>
      </c>
      <c r="R158" s="83" t="str">
        <f t="shared" si="51"/>
        <v/>
      </c>
      <c r="S158" s="27">
        <f t="shared" si="60"/>
        <v>0</v>
      </c>
      <c r="T158" s="84">
        <f t="shared" si="52"/>
        <v>0</v>
      </c>
      <c r="U158" s="84">
        <f t="shared" si="53"/>
        <v>0</v>
      </c>
      <c r="V158" s="36" t="e">
        <f t="shared" si="54"/>
        <v>#DIV/0!</v>
      </c>
      <c r="W158" s="36" t="e">
        <f t="shared" si="55"/>
        <v>#DIV/0!</v>
      </c>
      <c r="X158" s="63" t="e">
        <f t="shared" si="57"/>
        <v>#DIV/0!</v>
      </c>
    </row>
    <row r="159" spans="1:24">
      <c r="A159" s="26"/>
      <c r="B159" s="27"/>
      <c r="C159" s="27"/>
      <c r="D159" s="27"/>
      <c r="E159" s="27"/>
      <c r="F159" s="27"/>
      <c r="G159" s="27"/>
      <c r="H159" s="27"/>
      <c r="I159" s="27"/>
      <c r="J159" s="27"/>
      <c r="K159" s="83" t="str">
        <f t="shared" si="45"/>
        <v/>
      </c>
      <c r="L159" s="83" t="str">
        <f t="shared" si="46"/>
        <v/>
      </c>
      <c r="M159" s="266" t="str">
        <f t="shared" si="56"/>
        <v/>
      </c>
      <c r="N159" s="83" t="str">
        <f t="shared" si="47"/>
        <v/>
      </c>
      <c r="O159" s="83" t="str">
        <f t="shared" si="48"/>
        <v/>
      </c>
      <c r="P159" s="266" t="str">
        <f t="shared" si="49"/>
        <v/>
      </c>
      <c r="Q159" s="83" t="str">
        <f t="shared" si="50"/>
        <v/>
      </c>
      <c r="R159" s="83" t="str">
        <f t="shared" si="51"/>
        <v/>
      </c>
      <c r="S159" s="27">
        <f t="shared" si="60"/>
        <v>0</v>
      </c>
      <c r="T159" s="84">
        <f t="shared" si="52"/>
        <v>0</v>
      </c>
      <c r="U159" s="84">
        <f t="shared" si="53"/>
        <v>0</v>
      </c>
      <c r="V159" s="36" t="e">
        <f t="shared" si="54"/>
        <v>#DIV/0!</v>
      </c>
      <c r="W159" s="36" t="e">
        <f t="shared" si="55"/>
        <v>#DIV/0!</v>
      </c>
      <c r="X159" s="63" t="e">
        <f t="shared" si="57"/>
        <v>#DIV/0!</v>
      </c>
    </row>
    <row r="160" spans="1:24">
      <c r="A160" s="26"/>
      <c r="B160" s="27"/>
      <c r="C160" s="27"/>
      <c r="D160" s="27"/>
      <c r="E160" s="27"/>
      <c r="F160" s="27"/>
      <c r="G160" s="27"/>
      <c r="H160" s="27"/>
      <c r="I160" s="27"/>
      <c r="J160" s="27"/>
      <c r="K160" s="83" t="str">
        <f t="shared" si="45"/>
        <v/>
      </c>
      <c r="L160" s="83" t="str">
        <f t="shared" si="46"/>
        <v/>
      </c>
      <c r="M160" s="266" t="str">
        <f t="shared" si="56"/>
        <v/>
      </c>
      <c r="N160" s="83" t="str">
        <f t="shared" si="47"/>
        <v/>
      </c>
      <c r="O160" s="83" t="str">
        <f t="shared" si="48"/>
        <v/>
      </c>
      <c r="P160" s="266" t="str">
        <f t="shared" si="49"/>
        <v/>
      </c>
      <c r="Q160" s="83" t="str">
        <f t="shared" si="50"/>
        <v/>
      </c>
      <c r="R160" s="83" t="str">
        <f t="shared" si="51"/>
        <v/>
      </c>
      <c r="S160" s="27">
        <f t="shared" si="60"/>
        <v>0</v>
      </c>
      <c r="T160" s="84">
        <f t="shared" si="52"/>
        <v>0</v>
      </c>
      <c r="U160" s="84">
        <f t="shared" si="53"/>
        <v>0</v>
      </c>
      <c r="V160" s="36" t="e">
        <f t="shared" si="54"/>
        <v>#DIV/0!</v>
      </c>
      <c r="W160" s="36" t="e">
        <f t="shared" si="55"/>
        <v>#DIV/0!</v>
      </c>
      <c r="X160" s="63" t="e">
        <f t="shared" si="57"/>
        <v>#DIV/0!</v>
      </c>
    </row>
    <row r="161" spans="1:24">
      <c r="A161" s="26"/>
      <c r="B161" s="27"/>
      <c r="C161" s="27"/>
      <c r="D161" s="27"/>
      <c r="E161" s="27"/>
      <c r="F161" s="27"/>
      <c r="G161" s="27"/>
      <c r="H161" s="27"/>
      <c r="I161" s="27"/>
      <c r="J161" s="27"/>
      <c r="K161" s="83" t="str">
        <f t="shared" si="45"/>
        <v/>
      </c>
      <c r="L161" s="83" t="str">
        <f t="shared" si="46"/>
        <v/>
      </c>
      <c r="M161" s="266" t="str">
        <f t="shared" si="56"/>
        <v/>
      </c>
      <c r="N161" s="83" t="str">
        <f t="shared" si="47"/>
        <v/>
      </c>
      <c r="O161" s="83" t="str">
        <f t="shared" si="48"/>
        <v/>
      </c>
      <c r="P161" s="266" t="str">
        <f t="shared" si="49"/>
        <v/>
      </c>
      <c r="Q161" s="83" t="str">
        <f t="shared" si="50"/>
        <v/>
      </c>
      <c r="R161" s="83" t="str">
        <f t="shared" si="51"/>
        <v/>
      </c>
      <c r="S161" s="27">
        <f t="shared" si="60"/>
        <v>0</v>
      </c>
      <c r="T161" s="84">
        <f t="shared" si="52"/>
        <v>0</v>
      </c>
      <c r="U161" s="84">
        <f t="shared" si="53"/>
        <v>0</v>
      </c>
      <c r="V161" s="36" t="e">
        <f t="shared" si="54"/>
        <v>#DIV/0!</v>
      </c>
      <c r="W161" s="36" t="e">
        <f t="shared" si="55"/>
        <v>#DIV/0!</v>
      </c>
      <c r="X161" s="63" t="e">
        <f t="shared" si="57"/>
        <v>#DIV/0!</v>
      </c>
    </row>
    <row r="162" spans="1:24">
      <c r="A162" s="26"/>
      <c r="B162" s="27"/>
      <c r="C162" s="27"/>
      <c r="D162" s="27"/>
      <c r="E162" s="27"/>
      <c r="F162" s="27"/>
      <c r="G162" s="27"/>
      <c r="H162" s="27"/>
      <c r="I162" s="27"/>
      <c r="J162" s="27"/>
      <c r="K162" s="83" t="str">
        <f t="shared" si="45"/>
        <v/>
      </c>
      <c r="L162" s="83" t="str">
        <f t="shared" si="46"/>
        <v/>
      </c>
      <c r="M162" s="266" t="str">
        <f t="shared" si="56"/>
        <v/>
      </c>
      <c r="N162" s="83" t="str">
        <f t="shared" si="47"/>
        <v/>
      </c>
      <c r="O162" s="83" t="str">
        <f t="shared" si="48"/>
        <v/>
      </c>
      <c r="P162" s="266" t="str">
        <f t="shared" si="49"/>
        <v/>
      </c>
      <c r="Q162" s="83" t="str">
        <f t="shared" si="50"/>
        <v/>
      </c>
      <c r="R162" s="83" t="str">
        <f t="shared" si="51"/>
        <v/>
      </c>
      <c r="S162" s="27">
        <f t="shared" si="60"/>
        <v>0</v>
      </c>
      <c r="T162" s="84">
        <f t="shared" si="52"/>
        <v>0</v>
      </c>
      <c r="U162" s="84">
        <f t="shared" si="53"/>
        <v>0</v>
      </c>
      <c r="V162" s="36" t="e">
        <f t="shared" si="54"/>
        <v>#DIV/0!</v>
      </c>
      <c r="W162" s="36" t="e">
        <f t="shared" si="55"/>
        <v>#DIV/0!</v>
      </c>
      <c r="X162" s="63" t="e">
        <f t="shared" si="57"/>
        <v>#DIV/0!</v>
      </c>
    </row>
    <row r="163" spans="1:24">
      <c r="A163" s="26"/>
      <c r="B163" s="27"/>
      <c r="C163" s="27"/>
      <c r="D163" s="27"/>
      <c r="E163" s="27"/>
      <c r="F163" s="27"/>
      <c r="G163" s="27"/>
      <c r="H163" s="27"/>
      <c r="I163" s="27"/>
      <c r="J163" s="27"/>
      <c r="K163" s="83" t="str">
        <f t="shared" si="45"/>
        <v/>
      </c>
      <c r="L163" s="83" t="str">
        <f t="shared" si="46"/>
        <v/>
      </c>
      <c r="M163" s="266" t="str">
        <f t="shared" si="56"/>
        <v/>
      </c>
      <c r="N163" s="83" t="str">
        <f t="shared" si="47"/>
        <v/>
      </c>
      <c r="O163" s="83" t="str">
        <f t="shared" si="48"/>
        <v/>
      </c>
      <c r="P163" s="266" t="str">
        <f t="shared" si="49"/>
        <v/>
      </c>
      <c r="Q163" s="83" t="str">
        <f t="shared" si="50"/>
        <v/>
      </c>
      <c r="R163" s="83" t="str">
        <f t="shared" si="51"/>
        <v/>
      </c>
      <c r="S163" s="27">
        <f t="shared" si="60"/>
        <v>0</v>
      </c>
      <c r="T163" s="84">
        <f t="shared" si="52"/>
        <v>0</v>
      </c>
      <c r="U163" s="84">
        <f t="shared" si="53"/>
        <v>0</v>
      </c>
      <c r="V163" s="36" t="e">
        <f t="shared" si="54"/>
        <v>#DIV/0!</v>
      </c>
      <c r="W163" s="36" t="e">
        <f t="shared" si="55"/>
        <v>#DIV/0!</v>
      </c>
      <c r="X163" s="63" t="e">
        <f t="shared" si="57"/>
        <v>#DIV/0!</v>
      </c>
    </row>
    <row r="164" spans="1:24">
      <c r="A164" s="26"/>
      <c r="B164" s="27"/>
      <c r="C164" s="27"/>
      <c r="D164" s="27"/>
      <c r="E164" s="27"/>
      <c r="F164" s="27"/>
      <c r="G164" s="27"/>
      <c r="H164" s="27"/>
      <c r="I164" s="27"/>
      <c r="J164" s="27"/>
      <c r="K164" s="83" t="str">
        <f t="shared" si="45"/>
        <v/>
      </c>
      <c r="L164" s="83" t="str">
        <f t="shared" si="46"/>
        <v/>
      </c>
      <c r="M164" s="266" t="str">
        <f t="shared" si="56"/>
        <v/>
      </c>
      <c r="N164" s="83" t="str">
        <f t="shared" si="47"/>
        <v/>
      </c>
      <c r="O164" s="83" t="str">
        <f t="shared" si="48"/>
        <v/>
      </c>
      <c r="P164" s="266" t="str">
        <f t="shared" si="49"/>
        <v/>
      </c>
      <c r="Q164" s="83" t="str">
        <f t="shared" si="50"/>
        <v/>
      </c>
      <c r="R164" s="83" t="str">
        <f t="shared" si="51"/>
        <v/>
      </c>
      <c r="S164" s="27">
        <f t="shared" si="60"/>
        <v>0</v>
      </c>
      <c r="T164" s="84">
        <f t="shared" si="52"/>
        <v>0</v>
      </c>
      <c r="U164" s="84">
        <f t="shared" si="53"/>
        <v>0</v>
      </c>
      <c r="V164" s="36" t="e">
        <f t="shared" si="54"/>
        <v>#DIV/0!</v>
      </c>
      <c r="W164" s="36" t="e">
        <f t="shared" si="55"/>
        <v>#DIV/0!</v>
      </c>
      <c r="X164" s="63" t="e">
        <f t="shared" si="57"/>
        <v>#DIV/0!</v>
      </c>
    </row>
    <row r="165" spans="1:24">
      <c r="A165" s="26"/>
      <c r="B165" s="27"/>
      <c r="C165" s="27"/>
      <c r="D165" s="27"/>
      <c r="E165" s="27"/>
      <c r="F165" s="27"/>
      <c r="G165" s="27"/>
      <c r="H165" s="27"/>
      <c r="I165" s="27"/>
      <c r="J165" s="27"/>
      <c r="K165" s="83" t="str">
        <f t="shared" si="45"/>
        <v/>
      </c>
      <c r="L165" s="83" t="str">
        <f t="shared" si="46"/>
        <v/>
      </c>
      <c r="M165" s="266" t="str">
        <f t="shared" si="56"/>
        <v/>
      </c>
      <c r="N165" s="83" t="str">
        <f t="shared" si="47"/>
        <v/>
      </c>
      <c r="O165" s="83" t="str">
        <f t="shared" si="48"/>
        <v/>
      </c>
      <c r="P165" s="266" t="str">
        <f t="shared" si="49"/>
        <v/>
      </c>
      <c r="Q165" s="83" t="str">
        <f t="shared" si="50"/>
        <v/>
      </c>
      <c r="R165" s="83" t="str">
        <f t="shared" si="51"/>
        <v/>
      </c>
      <c r="S165" s="27">
        <f t="shared" si="60"/>
        <v>0</v>
      </c>
      <c r="T165" s="84">
        <f t="shared" si="52"/>
        <v>0</v>
      </c>
      <c r="U165" s="84">
        <f t="shared" si="53"/>
        <v>0</v>
      </c>
      <c r="V165" s="36" t="e">
        <f t="shared" si="54"/>
        <v>#DIV/0!</v>
      </c>
      <c r="W165" s="36" t="e">
        <f t="shared" si="55"/>
        <v>#DIV/0!</v>
      </c>
      <c r="X165" s="63" t="e">
        <f t="shared" si="57"/>
        <v>#DIV/0!</v>
      </c>
    </row>
    <row r="166" spans="1:24">
      <c r="A166" s="26"/>
      <c r="B166" s="27"/>
      <c r="C166" s="27"/>
      <c r="D166" s="27"/>
      <c r="E166" s="27"/>
      <c r="F166" s="27"/>
      <c r="G166" s="27"/>
      <c r="H166" s="27"/>
      <c r="I166" s="27"/>
      <c r="J166" s="27"/>
      <c r="K166" s="83" t="str">
        <f t="shared" si="45"/>
        <v/>
      </c>
      <c r="L166" s="83" t="str">
        <f t="shared" si="46"/>
        <v/>
      </c>
      <c r="M166" s="266" t="str">
        <f t="shared" si="56"/>
        <v/>
      </c>
      <c r="N166" s="83" t="str">
        <f t="shared" si="47"/>
        <v/>
      </c>
      <c r="O166" s="83" t="str">
        <f t="shared" si="48"/>
        <v/>
      </c>
      <c r="P166" s="266" t="str">
        <f t="shared" si="49"/>
        <v/>
      </c>
      <c r="Q166" s="83" t="str">
        <f t="shared" si="50"/>
        <v/>
      </c>
      <c r="R166" s="83" t="str">
        <f t="shared" si="51"/>
        <v/>
      </c>
      <c r="S166" s="27">
        <f t="shared" si="60"/>
        <v>0</v>
      </c>
      <c r="T166" s="84">
        <f t="shared" si="52"/>
        <v>0</v>
      </c>
      <c r="U166" s="84">
        <f t="shared" si="53"/>
        <v>0</v>
      </c>
      <c r="V166" s="36" t="e">
        <f t="shared" si="54"/>
        <v>#DIV/0!</v>
      </c>
      <c r="W166" s="36" t="e">
        <f t="shared" si="55"/>
        <v>#DIV/0!</v>
      </c>
      <c r="X166" s="63" t="e">
        <f t="shared" si="57"/>
        <v>#DIV/0!</v>
      </c>
    </row>
    <row r="167" spans="1:24">
      <c r="A167" s="26"/>
      <c r="B167" s="27"/>
      <c r="C167" s="27"/>
      <c r="D167" s="27"/>
      <c r="E167" s="27"/>
      <c r="F167" s="27"/>
      <c r="G167" s="27"/>
      <c r="H167" s="27"/>
      <c r="I167" s="27"/>
      <c r="J167" s="27"/>
      <c r="K167" s="83" t="str">
        <f t="shared" si="45"/>
        <v/>
      </c>
      <c r="L167" s="83" t="str">
        <f t="shared" si="46"/>
        <v/>
      </c>
      <c r="M167" s="266" t="str">
        <f t="shared" si="56"/>
        <v/>
      </c>
      <c r="N167" s="83" t="str">
        <f t="shared" si="47"/>
        <v/>
      </c>
      <c r="O167" s="83" t="str">
        <f t="shared" si="48"/>
        <v/>
      </c>
      <c r="P167" s="266" t="str">
        <f t="shared" si="49"/>
        <v/>
      </c>
      <c r="Q167" s="83" t="str">
        <f t="shared" si="50"/>
        <v/>
      </c>
      <c r="R167" s="83" t="str">
        <f t="shared" si="51"/>
        <v/>
      </c>
      <c r="S167" s="27">
        <f t="shared" si="60"/>
        <v>0</v>
      </c>
      <c r="T167" s="84">
        <f t="shared" si="52"/>
        <v>0</v>
      </c>
      <c r="U167" s="84">
        <f t="shared" si="53"/>
        <v>0</v>
      </c>
      <c r="V167" s="36" t="e">
        <f t="shared" si="54"/>
        <v>#DIV/0!</v>
      </c>
      <c r="W167" s="36" t="e">
        <f t="shared" si="55"/>
        <v>#DIV/0!</v>
      </c>
      <c r="X167" s="63" t="e">
        <f t="shared" si="57"/>
        <v>#DIV/0!</v>
      </c>
    </row>
    <row r="168" spans="1:24">
      <c r="A168" s="26"/>
      <c r="B168" s="27"/>
      <c r="C168" s="27"/>
      <c r="D168" s="27"/>
      <c r="E168" s="27"/>
      <c r="F168" s="27"/>
      <c r="G168" s="27"/>
      <c r="H168" s="27"/>
      <c r="I168" s="27"/>
      <c r="J168" s="27"/>
      <c r="K168" s="83" t="str">
        <f t="shared" ref="K168:K196" si="61">IF(C168="","",VLOOKUP(C168,成本单价,8,0))</f>
        <v/>
      </c>
      <c r="L168" s="83" t="str">
        <f t="shared" ref="L168:L196" si="62">IFERROR(D168*K168,"")</f>
        <v/>
      </c>
      <c r="M168" s="266" t="str">
        <f t="shared" si="56"/>
        <v/>
      </c>
      <c r="N168" s="83" t="str">
        <f t="shared" ref="N168:N196" si="63">IFERROR(F168*M168,"")</f>
        <v/>
      </c>
      <c r="O168" s="83" t="str">
        <f t="shared" ref="O168:O196" si="64">IF(G168="","",VLOOKUP(G168,成本单价,8,0))</f>
        <v/>
      </c>
      <c r="P168" s="266" t="str">
        <f t="shared" ref="P168:P179" si="65">IFERROR(H168*O168,"")</f>
        <v/>
      </c>
      <c r="Q168" s="83" t="str">
        <f t="shared" ref="Q168:Q196" si="66">IF(I168="","",VLOOKUP(I168,成本单价,8,0))</f>
        <v/>
      </c>
      <c r="R168" s="83" t="str">
        <f t="shared" ref="R168:R196" si="67">IFERROR(J168*Q168,"")</f>
        <v/>
      </c>
      <c r="S168" s="27">
        <f t="shared" si="60"/>
        <v>0</v>
      </c>
      <c r="T168" s="84">
        <f t="shared" ref="T168:T196" si="68">IFERROR(SUM(L168,N168,P168,R168,S168),"")</f>
        <v>0</v>
      </c>
      <c r="U168" s="84">
        <f t="shared" ref="U168:U196" si="69">T168*(1+物料比)</f>
        <v>0</v>
      </c>
      <c r="V168" s="36" t="e">
        <f t="shared" ref="V168:V196" si="70">U168/B168</f>
        <v>#DIV/0!</v>
      </c>
      <c r="W168" s="36" t="e">
        <f t="shared" ref="W168:W196" si="71">D168/B168+F168/B168+H168/B168+J168/B168</f>
        <v>#DIV/0!</v>
      </c>
      <c r="X168" s="63" t="e">
        <f t="shared" si="57"/>
        <v>#DIV/0!</v>
      </c>
    </row>
    <row r="169" spans="1:24">
      <c r="A169" s="26"/>
      <c r="B169" s="27"/>
      <c r="C169" s="27"/>
      <c r="D169" s="27"/>
      <c r="E169" s="27"/>
      <c r="F169" s="27"/>
      <c r="G169" s="27"/>
      <c r="H169" s="27"/>
      <c r="I169" s="27"/>
      <c r="J169" s="27"/>
      <c r="K169" s="83" t="str">
        <f t="shared" si="61"/>
        <v/>
      </c>
      <c r="L169" s="83" t="str">
        <f t="shared" si="62"/>
        <v/>
      </c>
      <c r="M169" s="266" t="str">
        <f t="shared" ref="M169:M190" si="72">IF(E169="","",VLOOKUP(E169,成本单价,8,0))</f>
        <v/>
      </c>
      <c r="N169" s="83" t="str">
        <f t="shared" si="63"/>
        <v/>
      </c>
      <c r="O169" s="83" t="str">
        <f t="shared" si="64"/>
        <v/>
      </c>
      <c r="P169" s="266" t="str">
        <f t="shared" si="65"/>
        <v/>
      </c>
      <c r="Q169" s="83" t="str">
        <f t="shared" si="66"/>
        <v/>
      </c>
      <c r="R169" s="83" t="str">
        <f t="shared" si="67"/>
        <v/>
      </c>
      <c r="S169" s="27">
        <f t="shared" si="60"/>
        <v>0</v>
      </c>
      <c r="T169" s="84">
        <f t="shared" si="68"/>
        <v>0</v>
      </c>
      <c r="U169" s="84">
        <f t="shared" si="69"/>
        <v>0</v>
      </c>
      <c r="V169" s="36" t="e">
        <f t="shared" si="70"/>
        <v>#DIV/0!</v>
      </c>
      <c r="W169" s="36" t="e">
        <f t="shared" si="71"/>
        <v>#DIV/0!</v>
      </c>
      <c r="X169" s="63" t="e">
        <f t="shared" si="57"/>
        <v>#DIV/0!</v>
      </c>
    </row>
    <row r="170" spans="1:24">
      <c r="A170" s="26"/>
      <c r="B170" s="27"/>
      <c r="C170" s="27"/>
      <c r="D170" s="27"/>
      <c r="E170" s="27"/>
      <c r="F170" s="27"/>
      <c r="G170" s="27"/>
      <c r="H170" s="27"/>
      <c r="I170" s="27"/>
      <c r="J170" s="27"/>
      <c r="K170" s="83" t="str">
        <f t="shared" si="61"/>
        <v/>
      </c>
      <c r="L170" s="83" t="str">
        <f t="shared" si="62"/>
        <v/>
      </c>
      <c r="M170" s="266" t="str">
        <f t="shared" si="72"/>
        <v/>
      </c>
      <c r="N170" s="83" t="str">
        <f t="shared" si="63"/>
        <v/>
      </c>
      <c r="O170" s="83" t="str">
        <f t="shared" si="64"/>
        <v/>
      </c>
      <c r="P170" s="266" t="str">
        <f t="shared" si="65"/>
        <v/>
      </c>
      <c r="Q170" s="83" t="str">
        <f t="shared" si="66"/>
        <v/>
      </c>
      <c r="R170" s="83" t="str">
        <f t="shared" si="67"/>
        <v/>
      </c>
      <c r="S170" s="27">
        <f t="shared" si="60"/>
        <v>0</v>
      </c>
      <c r="T170" s="84">
        <f t="shared" si="68"/>
        <v>0</v>
      </c>
      <c r="U170" s="84">
        <f t="shared" si="69"/>
        <v>0</v>
      </c>
      <c r="V170" s="36" t="e">
        <f t="shared" si="70"/>
        <v>#DIV/0!</v>
      </c>
      <c r="W170" s="36" t="e">
        <f t="shared" si="71"/>
        <v>#DIV/0!</v>
      </c>
      <c r="X170" s="63" t="e">
        <f t="shared" ref="X170:X196" si="73">ROUND(V170*(1+大灶毛利),1)</f>
        <v>#DIV/0!</v>
      </c>
    </row>
    <row r="171" spans="1:24">
      <c r="A171" s="26"/>
      <c r="B171" s="27"/>
      <c r="C171" s="27"/>
      <c r="D171" s="27"/>
      <c r="E171" s="27"/>
      <c r="F171" s="27"/>
      <c r="G171" s="27"/>
      <c r="H171" s="27"/>
      <c r="I171" s="27"/>
      <c r="J171" s="27"/>
      <c r="K171" s="83" t="str">
        <f t="shared" si="61"/>
        <v/>
      </c>
      <c r="L171" s="83" t="str">
        <f t="shared" si="62"/>
        <v/>
      </c>
      <c r="M171" s="266" t="str">
        <f t="shared" si="72"/>
        <v/>
      </c>
      <c r="N171" s="83" t="str">
        <f t="shared" si="63"/>
        <v/>
      </c>
      <c r="O171" s="83" t="str">
        <f t="shared" si="64"/>
        <v/>
      </c>
      <c r="P171" s="266" t="str">
        <f t="shared" si="65"/>
        <v/>
      </c>
      <c r="Q171" s="83" t="str">
        <f t="shared" si="66"/>
        <v/>
      </c>
      <c r="R171" s="83" t="str">
        <f t="shared" si="67"/>
        <v/>
      </c>
      <c r="S171" s="27">
        <f t="shared" si="60"/>
        <v>0</v>
      </c>
      <c r="T171" s="84">
        <f t="shared" si="68"/>
        <v>0</v>
      </c>
      <c r="U171" s="84">
        <f t="shared" si="69"/>
        <v>0</v>
      </c>
      <c r="V171" s="36" t="e">
        <f t="shared" si="70"/>
        <v>#DIV/0!</v>
      </c>
      <c r="W171" s="36" t="e">
        <f t="shared" si="71"/>
        <v>#DIV/0!</v>
      </c>
      <c r="X171" s="63" t="e">
        <f t="shared" si="73"/>
        <v>#DIV/0!</v>
      </c>
    </row>
    <row r="172" spans="1:24">
      <c r="A172" s="26"/>
      <c r="B172" s="27"/>
      <c r="C172" s="27"/>
      <c r="D172" s="27"/>
      <c r="E172" s="27"/>
      <c r="F172" s="27"/>
      <c r="G172" s="27"/>
      <c r="H172" s="27"/>
      <c r="I172" s="27"/>
      <c r="J172" s="27"/>
      <c r="K172" s="83" t="str">
        <f t="shared" si="61"/>
        <v/>
      </c>
      <c r="L172" s="83" t="str">
        <f t="shared" si="62"/>
        <v/>
      </c>
      <c r="M172" s="266" t="str">
        <f t="shared" si="72"/>
        <v/>
      </c>
      <c r="N172" s="83" t="str">
        <f t="shared" si="63"/>
        <v/>
      </c>
      <c r="O172" s="83" t="str">
        <f t="shared" si="64"/>
        <v/>
      </c>
      <c r="P172" s="266" t="str">
        <f t="shared" si="65"/>
        <v/>
      </c>
      <c r="Q172" s="83" t="str">
        <f t="shared" si="66"/>
        <v/>
      </c>
      <c r="R172" s="83" t="str">
        <f t="shared" si="67"/>
        <v/>
      </c>
      <c r="S172" s="27">
        <f t="shared" si="60"/>
        <v>0</v>
      </c>
      <c r="T172" s="84">
        <f t="shared" si="68"/>
        <v>0</v>
      </c>
      <c r="U172" s="84">
        <f t="shared" si="69"/>
        <v>0</v>
      </c>
      <c r="V172" s="36" t="e">
        <f t="shared" si="70"/>
        <v>#DIV/0!</v>
      </c>
      <c r="W172" s="36" t="e">
        <f t="shared" si="71"/>
        <v>#DIV/0!</v>
      </c>
      <c r="X172" s="63" t="e">
        <f t="shared" si="73"/>
        <v>#DIV/0!</v>
      </c>
    </row>
    <row r="173" spans="1:24">
      <c r="A173" s="26"/>
      <c r="B173" s="27"/>
      <c r="C173" s="27"/>
      <c r="D173" s="27"/>
      <c r="E173" s="27"/>
      <c r="F173" s="27"/>
      <c r="G173" s="27"/>
      <c r="H173" s="27"/>
      <c r="I173" s="27"/>
      <c r="J173" s="27"/>
      <c r="K173" s="83" t="str">
        <f t="shared" si="61"/>
        <v/>
      </c>
      <c r="L173" s="83" t="str">
        <f t="shared" si="62"/>
        <v/>
      </c>
      <c r="M173" s="266" t="str">
        <f t="shared" si="72"/>
        <v/>
      </c>
      <c r="N173" s="83" t="str">
        <f t="shared" si="63"/>
        <v/>
      </c>
      <c r="O173" s="83" t="str">
        <f t="shared" si="64"/>
        <v/>
      </c>
      <c r="P173" s="266" t="str">
        <f t="shared" si="65"/>
        <v/>
      </c>
      <c r="Q173" s="83" t="str">
        <f t="shared" si="66"/>
        <v/>
      </c>
      <c r="R173" s="83" t="str">
        <f t="shared" si="67"/>
        <v/>
      </c>
      <c r="S173" s="27">
        <f t="shared" si="60"/>
        <v>0</v>
      </c>
      <c r="T173" s="84">
        <f t="shared" si="68"/>
        <v>0</v>
      </c>
      <c r="U173" s="84">
        <f t="shared" si="69"/>
        <v>0</v>
      </c>
      <c r="V173" s="36" t="e">
        <f t="shared" si="70"/>
        <v>#DIV/0!</v>
      </c>
      <c r="W173" s="36" t="e">
        <f t="shared" si="71"/>
        <v>#DIV/0!</v>
      </c>
      <c r="X173" s="63" t="e">
        <f t="shared" si="73"/>
        <v>#DIV/0!</v>
      </c>
    </row>
    <row r="174" spans="1:24">
      <c r="A174" s="26"/>
      <c r="B174" s="27"/>
      <c r="C174" s="27"/>
      <c r="D174" s="27"/>
      <c r="E174" s="27"/>
      <c r="F174" s="27"/>
      <c r="G174" s="27"/>
      <c r="H174" s="27"/>
      <c r="I174" s="27"/>
      <c r="J174" s="27"/>
      <c r="K174" s="83" t="str">
        <f t="shared" si="61"/>
        <v/>
      </c>
      <c r="L174" s="83" t="str">
        <f t="shared" si="62"/>
        <v/>
      </c>
      <c r="M174" s="266" t="str">
        <f t="shared" si="72"/>
        <v/>
      </c>
      <c r="N174" s="83" t="str">
        <f t="shared" si="63"/>
        <v/>
      </c>
      <c r="O174" s="83" t="str">
        <f t="shared" si="64"/>
        <v/>
      </c>
      <c r="P174" s="266" t="str">
        <f t="shared" si="65"/>
        <v/>
      </c>
      <c r="Q174" s="83" t="str">
        <f t="shared" si="66"/>
        <v/>
      </c>
      <c r="R174" s="83" t="str">
        <f t="shared" si="67"/>
        <v/>
      </c>
      <c r="S174" s="27">
        <f t="shared" si="60"/>
        <v>0</v>
      </c>
      <c r="T174" s="84">
        <f t="shared" si="68"/>
        <v>0</v>
      </c>
      <c r="U174" s="84">
        <f t="shared" si="69"/>
        <v>0</v>
      </c>
      <c r="V174" s="36" t="e">
        <f t="shared" si="70"/>
        <v>#DIV/0!</v>
      </c>
      <c r="W174" s="36" t="e">
        <f t="shared" si="71"/>
        <v>#DIV/0!</v>
      </c>
      <c r="X174" s="63" t="e">
        <f t="shared" si="73"/>
        <v>#DIV/0!</v>
      </c>
    </row>
    <row r="175" spans="1:24">
      <c r="A175" s="26"/>
      <c r="B175" s="27"/>
      <c r="C175" s="27"/>
      <c r="D175" s="27"/>
      <c r="E175" s="27"/>
      <c r="F175" s="27"/>
      <c r="G175" s="27"/>
      <c r="H175" s="27"/>
      <c r="I175" s="27"/>
      <c r="J175" s="27"/>
      <c r="K175" s="83" t="str">
        <f t="shared" si="61"/>
        <v/>
      </c>
      <c r="L175" s="83" t="str">
        <f t="shared" si="62"/>
        <v/>
      </c>
      <c r="M175" s="266" t="str">
        <f t="shared" si="72"/>
        <v/>
      </c>
      <c r="N175" s="83" t="str">
        <f t="shared" si="63"/>
        <v/>
      </c>
      <c r="O175" s="83" t="str">
        <f t="shared" si="64"/>
        <v/>
      </c>
      <c r="P175" s="266" t="str">
        <f t="shared" si="65"/>
        <v/>
      </c>
      <c r="Q175" s="83" t="str">
        <f t="shared" si="66"/>
        <v/>
      </c>
      <c r="R175" s="83" t="str">
        <f t="shared" si="67"/>
        <v/>
      </c>
      <c r="S175" s="27">
        <f t="shared" si="60"/>
        <v>0</v>
      </c>
      <c r="T175" s="84">
        <f t="shared" si="68"/>
        <v>0</v>
      </c>
      <c r="U175" s="84">
        <f t="shared" si="69"/>
        <v>0</v>
      </c>
      <c r="V175" s="36" t="e">
        <f t="shared" si="70"/>
        <v>#DIV/0!</v>
      </c>
      <c r="W175" s="36" t="e">
        <f t="shared" si="71"/>
        <v>#DIV/0!</v>
      </c>
      <c r="X175" s="63" t="e">
        <f t="shared" si="73"/>
        <v>#DIV/0!</v>
      </c>
    </row>
    <row r="176" spans="1:24">
      <c r="A176" s="26"/>
      <c r="B176" s="27"/>
      <c r="C176" s="27"/>
      <c r="D176" s="27"/>
      <c r="E176" s="27"/>
      <c r="F176" s="27"/>
      <c r="G176" s="27"/>
      <c r="H176" s="27"/>
      <c r="I176" s="27"/>
      <c r="J176" s="27"/>
      <c r="K176" s="83" t="str">
        <f t="shared" si="61"/>
        <v/>
      </c>
      <c r="L176" s="83" t="str">
        <f t="shared" si="62"/>
        <v/>
      </c>
      <c r="M176" s="266" t="str">
        <f t="shared" si="72"/>
        <v/>
      </c>
      <c r="N176" s="83" t="str">
        <f t="shared" si="63"/>
        <v/>
      </c>
      <c r="O176" s="83" t="str">
        <f t="shared" si="64"/>
        <v/>
      </c>
      <c r="P176" s="266" t="str">
        <f t="shared" si="65"/>
        <v/>
      </c>
      <c r="Q176" s="83" t="str">
        <f t="shared" si="66"/>
        <v/>
      </c>
      <c r="R176" s="83" t="str">
        <f t="shared" si="67"/>
        <v/>
      </c>
      <c r="S176" s="27">
        <f t="shared" si="60"/>
        <v>0</v>
      </c>
      <c r="T176" s="84">
        <f t="shared" si="68"/>
        <v>0</v>
      </c>
      <c r="U176" s="84">
        <f t="shared" si="69"/>
        <v>0</v>
      </c>
      <c r="V176" s="36" t="e">
        <f t="shared" si="70"/>
        <v>#DIV/0!</v>
      </c>
      <c r="W176" s="36" t="e">
        <f t="shared" si="71"/>
        <v>#DIV/0!</v>
      </c>
      <c r="X176" s="63" t="e">
        <f t="shared" si="73"/>
        <v>#DIV/0!</v>
      </c>
    </row>
    <row r="177" spans="1:24">
      <c r="A177" s="26"/>
      <c r="B177" s="27"/>
      <c r="C177" s="27"/>
      <c r="D177" s="27"/>
      <c r="E177" s="27"/>
      <c r="F177" s="27"/>
      <c r="G177" s="27"/>
      <c r="H177" s="27"/>
      <c r="I177" s="27"/>
      <c r="J177" s="27"/>
      <c r="K177" s="83" t="str">
        <f t="shared" si="61"/>
        <v/>
      </c>
      <c r="L177" s="83" t="str">
        <f t="shared" si="62"/>
        <v/>
      </c>
      <c r="M177" s="266" t="str">
        <f t="shared" si="72"/>
        <v/>
      </c>
      <c r="N177" s="83" t="str">
        <f t="shared" si="63"/>
        <v/>
      </c>
      <c r="O177" s="83" t="str">
        <f t="shared" si="64"/>
        <v/>
      </c>
      <c r="P177" s="266" t="str">
        <f t="shared" si="65"/>
        <v/>
      </c>
      <c r="Q177" s="83" t="str">
        <f t="shared" si="66"/>
        <v/>
      </c>
      <c r="R177" s="83" t="str">
        <f t="shared" si="67"/>
        <v/>
      </c>
      <c r="S177" s="27">
        <f t="shared" si="60"/>
        <v>0</v>
      </c>
      <c r="T177" s="84">
        <f t="shared" si="68"/>
        <v>0</v>
      </c>
      <c r="U177" s="84">
        <f t="shared" si="69"/>
        <v>0</v>
      </c>
      <c r="V177" s="36" t="e">
        <f t="shared" si="70"/>
        <v>#DIV/0!</v>
      </c>
      <c r="W177" s="36" t="e">
        <f t="shared" si="71"/>
        <v>#DIV/0!</v>
      </c>
      <c r="X177" s="63" t="e">
        <f t="shared" si="73"/>
        <v>#DIV/0!</v>
      </c>
    </row>
    <row r="178" spans="1:24">
      <c r="A178" s="26"/>
      <c r="B178" s="27"/>
      <c r="C178" s="27"/>
      <c r="D178" s="27"/>
      <c r="E178" s="27"/>
      <c r="F178" s="27"/>
      <c r="G178" s="27"/>
      <c r="H178" s="27"/>
      <c r="I178" s="27"/>
      <c r="J178" s="27"/>
      <c r="K178" s="83" t="str">
        <f t="shared" si="61"/>
        <v/>
      </c>
      <c r="L178" s="83" t="str">
        <f t="shared" si="62"/>
        <v/>
      </c>
      <c r="M178" s="266" t="str">
        <f t="shared" si="72"/>
        <v/>
      </c>
      <c r="N178" s="83" t="str">
        <f t="shared" si="63"/>
        <v/>
      </c>
      <c r="O178" s="83" t="str">
        <f t="shared" si="64"/>
        <v/>
      </c>
      <c r="P178" s="266" t="str">
        <f t="shared" si="65"/>
        <v/>
      </c>
      <c r="Q178" s="83" t="str">
        <f t="shared" si="66"/>
        <v/>
      </c>
      <c r="R178" s="83" t="str">
        <f t="shared" si="67"/>
        <v/>
      </c>
      <c r="S178" s="27">
        <f t="shared" si="60"/>
        <v>0</v>
      </c>
      <c r="T178" s="84">
        <f t="shared" si="68"/>
        <v>0</v>
      </c>
      <c r="U178" s="84">
        <f t="shared" si="69"/>
        <v>0</v>
      </c>
      <c r="V178" s="36" t="e">
        <f t="shared" si="70"/>
        <v>#DIV/0!</v>
      </c>
      <c r="W178" s="36" t="e">
        <f t="shared" si="71"/>
        <v>#DIV/0!</v>
      </c>
      <c r="X178" s="63" t="e">
        <f t="shared" si="73"/>
        <v>#DIV/0!</v>
      </c>
    </row>
    <row r="179" spans="1:24">
      <c r="A179" s="26"/>
      <c r="B179" s="27"/>
      <c r="C179" s="27"/>
      <c r="D179" s="27"/>
      <c r="E179" s="27"/>
      <c r="F179" s="27"/>
      <c r="G179" s="27"/>
      <c r="H179" s="27"/>
      <c r="I179" s="27"/>
      <c r="J179" s="27"/>
      <c r="K179" s="83" t="str">
        <f t="shared" si="61"/>
        <v/>
      </c>
      <c r="L179" s="83" t="str">
        <f t="shared" si="62"/>
        <v/>
      </c>
      <c r="M179" s="266" t="str">
        <f t="shared" si="72"/>
        <v/>
      </c>
      <c r="N179" s="83" t="str">
        <f t="shared" si="63"/>
        <v/>
      </c>
      <c r="O179" s="83" t="str">
        <f t="shared" si="64"/>
        <v/>
      </c>
      <c r="P179" s="266" t="str">
        <f t="shared" si="65"/>
        <v/>
      </c>
      <c r="Q179" s="83" t="str">
        <f t="shared" si="66"/>
        <v/>
      </c>
      <c r="R179" s="83" t="str">
        <f t="shared" si="67"/>
        <v/>
      </c>
      <c r="S179" s="27">
        <f t="shared" si="60"/>
        <v>0</v>
      </c>
      <c r="T179" s="84">
        <f t="shared" si="68"/>
        <v>0</v>
      </c>
      <c r="U179" s="84">
        <f t="shared" si="69"/>
        <v>0</v>
      </c>
      <c r="V179" s="36" t="e">
        <f t="shared" si="70"/>
        <v>#DIV/0!</v>
      </c>
      <c r="W179" s="36" t="e">
        <f t="shared" si="71"/>
        <v>#DIV/0!</v>
      </c>
      <c r="X179" s="63" t="e">
        <f t="shared" si="73"/>
        <v>#DIV/0!</v>
      </c>
    </row>
    <row r="180" spans="1:24">
      <c r="A180" s="26"/>
      <c r="B180" s="27"/>
      <c r="C180" s="27"/>
      <c r="D180" s="27"/>
      <c r="E180" s="27"/>
      <c r="F180" s="27"/>
      <c r="G180" s="27"/>
      <c r="H180" s="27"/>
      <c r="I180" s="27"/>
      <c r="J180" s="27"/>
      <c r="K180" s="83" t="str">
        <f t="shared" si="61"/>
        <v/>
      </c>
      <c r="L180" s="83" t="str">
        <f t="shared" si="62"/>
        <v/>
      </c>
      <c r="M180" s="266" t="str">
        <f t="shared" si="72"/>
        <v/>
      </c>
      <c r="N180" s="83" t="str">
        <f t="shared" si="63"/>
        <v/>
      </c>
      <c r="O180" s="83" t="str">
        <f t="shared" si="64"/>
        <v/>
      </c>
      <c r="P180" s="83" t="str">
        <f t="shared" ref="P180:P196" si="74">IFERROR(H180*O180,"")</f>
        <v/>
      </c>
      <c r="Q180" s="83" t="str">
        <f t="shared" si="66"/>
        <v/>
      </c>
      <c r="R180" s="83" t="str">
        <f t="shared" si="67"/>
        <v/>
      </c>
      <c r="S180" s="27">
        <f t="shared" si="60"/>
        <v>0</v>
      </c>
      <c r="T180" s="84">
        <f t="shared" si="68"/>
        <v>0</v>
      </c>
      <c r="U180" s="84">
        <f t="shared" si="69"/>
        <v>0</v>
      </c>
      <c r="V180" s="36" t="e">
        <f t="shared" si="70"/>
        <v>#DIV/0!</v>
      </c>
      <c r="W180" s="36" t="e">
        <f t="shared" si="71"/>
        <v>#DIV/0!</v>
      </c>
      <c r="X180" s="63" t="e">
        <f t="shared" si="73"/>
        <v>#DIV/0!</v>
      </c>
    </row>
    <row r="181" spans="1:24">
      <c r="A181" s="26"/>
      <c r="B181" s="27"/>
      <c r="C181" s="27"/>
      <c r="D181" s="27"/>
      <c r="E181" s="27"/>
      <c r="F181" s="27"/>
      <c r="G181" s="27"/>
      <c r="H181" s="27"/>
      <c r="I181" s="27"/>
      <c r="J181" s="27"/>
      <c r="K181" s="83" t="str">
        <f t="shared" si="61"/>
        <v/>
      </c>
      <c r="L181" s="83" t="str">
        <f t="shared" si="62"/>
        <v/>
      </c>
      <c r="M181" s="266" t="str">
        <f t="shared" si="72"/>
        <v/>
      </c>
      <c r="N181" s="83" t="str">
        <f t="shared" si="63"/>
        <v/>
      </c>
      <c r="O181" s="83" t="str">
        <f t="shared" si="64"/>
        <v/>
      </c>
      <c r="P181" s="83" t="str">
        <f t="shared" si="74"/>
        <v/>
      </c>
      <c r="Q181" s="83" t="str">
        <f t="shared" si="66"/>
        <v/>
      </c>
      <c r="R181" s="83" t="str">
        <f t="shared" si="67"/>
        <v/>
      </c>
      <c r="S181" s="27">
        <f t="shared" si="60"/>
        <v>0</v>
      </c>
      <c r="T181" s="84">
        <f t="shared" si="68"/>
        <v>0</v>
      </c>
      <c r="U181" s="84">
        <f t="shared" si="69"/>
        <v>0</v>
      </c>
      <c r="V181" s="36" t="e">
        <f t="shared" si="70"/>
        <v>#DIV/0!</v>
      </c>
      <c r="W181" s="36" t="e">
        <f t="shared" si="71"/>
        <v>#DIV/0!</v>
      </c>
      <c r="X181" s="63" t="e">
        <f t="shared" si="73"/>
        <v>#DIV/0!</v>
      </c>
    </row>
    <row r="182" spans="1:24">
      <c r="A182" s="26"/>
      <c r="B182" s="27"/>
      <c r="C182" s="27"/>
      <c r="D182" s="27"/>
      <c r="E182" s="27"/>
      <c r="F182" s="27"/>
      <c r="G182" s="27"/>
      <c r="H182" s="27"/>
      <c r="I182" s="27"/>
      <c r="J182" s="27"/>
      <c r="K182" s="83" t="str">
        <f t="shared" si="61"/>
        <v/>
      </c>
      <c r="L182" s="83" t="str">
        <f t="shared" si="62"/>
        <v/>
      </c>
      <c r="M182" s="266" t="str">
        <f t="shared" si="72"/>
        <v/>
      </c>
      <c r="N182" s="83" t="str">
        <f t="shared" si="63"/>
        <v/>
      </c>
      <c r="O182" s="83" t="str">
        <f t="shared" si="64"/>
        <v/>
      </c>
      <c r="P182" s="83" t="str">
        <f t="shared" si="74"/>
        <v/>
      </c>
      <c r="Q182" s="83" t="str">
        <f t="shared" si="66"/>
        <v/>
      </c>
      <c r="R182" s="83" t="str">
        <f t="shared" si="67"/>
        <v/>
      </c>
      <c r="S182" s="27">
        <f t="shared" si="60"/>
        <v>0</v>
      </c>
      <c r="T182" s="84">
        <f t="shared" si="68"/>
        <v>0</v>
      </c>
      <c r="U182" s="84">
        <f t="shared" si="69"/>
        <v>0</v>
      </c>
      <c r="V182" s="36" t="e">
        <f t="shared" si="70"/>
        <v>#DIV/0!</v>
      </c>
      <c r="W182" s="36" t="e">
        <f t="shared" si="71"/>
        <v>#DIV/0!</v>
      </c>
      <c r="X182" s="63" t="e">
        <f t="shared" si="73"/>
        <v>#DIV/0!</v>
      </c>
    </row>
    <row r="183" spans="1:24">
      <c r="A183" s="26"/>
      <c r="B183" s="27"/>
      <c r="C183" s="27"/>
      <c r="D183" s="27"/>
      <c r="E183" s="27"/>
      <c r="F183" s="27"/>
      <c r="G183" s="27"/>
      <c r="H183" s="27"/>
      <c r="I183" s="27"/>
      <c r="J183" s="27"/>
      <c r="K183" s="83" t="str">
        <f t="shared" si="61"/>
        <v/>
      </c>
      <c r="L183" s="83" t="str">
        <f t="shared" si="62"/>
        <v/>
      </c>
      <c r="M183" s="266" t="str">
        <f t="shared" si="72"/>
        <v/>
      </c>
      <c r="N183" s="83" t="str">
        <f t="shared" si="63"/>
        <v/>
      </c>
      <c r="O183" s="83" t="str">
        <f t="shared" si="64"/>
        <v/>
      </c>
      <c r="P183" s="83" t="str">
        <f t="shared" si="74"/>
        <v/>
      </c>
      <c r="Q183" s="83" t="str">
        <f t="shared" si="66"/>
        <v/>
      </c>
      <c r="R183" s="83" t="str">
        <f t="shared" si="67"/>
        <v/>
      </c>
      <c r="S183" s="27">
        <f t="shared" si="60"/>
        <v>0</v>
      </c>
      <c r="T183" s="84">
        <f t="shared" si="68"/>
        <v>0</v>
      </c>
      <c r="U183" s="84">
        <f t="shared" si="69"/>
        <v>0</v>
      </c>
      <c r="V183" s="36" t="e">
        <f t="shared" si="70"/>
        <v>#DIV/0!</v>
      </c>
      <c r="W183" s="36" t="e">
        <f t="shared" si="71"/>
        <v>#DIV/0!</v>
      </c>
      <c r="X183" s="63" t="e">
        <f t="shared" si="73"/>
        <v>#DIV/0!</v>
      </c>
    </row>
    <row r="184" spans="1:24">
      <c r="A184" s="26"/>
      <c r="B184" s="27"/>
      <c r="C184" s="27"/>
      <c r="D184" s="27"/>
      <c r="E184" s="27"/>
      <c r="F184" s="27"/>
      <c r="G184" s="27"/>
      <c r="H184" s="27"/>
      <c r="I184" s="27"/>
      <c r="J184" s="27"/>
      <c r="K184" s="83" t="str">
        <f t="shared" si="61"/>
        <v/>
      </c>
      <c r="L184" s="83" t="str">
        <f t="shared" si="62"/>
        <v/>
      </c>
      <c r="M184" s="266" t="str">
        <f t="shared" si="72"/>
        <v/>
      </c>
      <c r="N184" s="83" t="str">
        <f t="shared" si="63"/>
        <v/>
      </c>
      <c r="O184" s="83" t="str">
        <f t="shared" si="64"/>
        <v/>
      </c>
      <c r="P184" s="83" t="str">
        <f t="shared" si="74"/>
        <v/>
      </c>
      <c r="Q184" s="83" t="str">
        <f t="shared" si="66"/>
        <v/>
      </c>
      <c r="R184" s="83" t="str">
        <f t="shared" si="67"/>
        <v/>
      </c>
      <c r="S184" s="27">
        <f t="shared" si="60"/>
        <v>0</v>
      </c>
      <c r="T184" s="84">
        <f t="shared" si="68"/>
        <v>0</v>
      </c>
      <c r="U184" s="84">
        <f t="shared" si="69"/>
        <v>0</v>
      </c>
      <c r="V184" s="36" t="e">
        <f t="shared" si="70"/>
        <v>#DIV/0!</v>
      </c>
      <c r="W184" s="36" t="e">
        <f t="shared" si="71"/>
        <v>#DIV/0!</v>
      </c>
      <c r="X184" s="63" t="e">
        <f t="shared" si="73"/>
        <v>#DIV/0!</v>
      </c>
    </row>
    <row r="185" spans="1:24">
      <c r="A185" s="26"/>
      <c r="B185" s="27"/>
      <c r="C185" s="27"/>
      <c r="D185" s="27"/>
      <c r="E185" s="27"/>
      <c r="F185" s="27"/>
      <c r="G185" s="27"/>
      <c r="H185" s="27"/>
      <c r="I185" s="27"/>
      <c r="J185" s="27"/>
      <c r="K185" s="83" t="str">
        <f t="shared" si="61"/>
        <v/>
      </c>
      <c r="L185" s="83" t="str">
        <f t="shared" si="62"/>
        <v/>
      </c>
      <c r="M185" s="266" t="str">
        <f t="shared" si="72"/>
        <v/>
      </c>
      <c r="N185" s="83" t="str">
        <f t="shared" si="63"/>
        <v/>
      </c>
      <c r="O185" s="83" t="str">
        <f t="shared" si="64"/>
        <v/>
      </c>
      <c r="P185" s="83" t="str">
        <f t="shared" si="74"/>
        <v/>
      </c>
      <c r="Q185" s="83" t="str">
        <f t="shared" si="66"/>
        <v/>
      </c>
      <c r="R185" s="83" t="str">
        <f t="shared" si="67"/>
        <v/>
      </c>
      <c r="S185" s="27">
        <f t="shared" si="60"/>
        <v>0</v>
      </c>
      <c r="T185" s="84">
        <f t="shared" si="68"/>
        <v>0</v>
      </c>
      <c r="U185" s="84">
        <f t="shared" si="69"/>
        <v>0</v>
      </c>
      <c r="V185" s="36" t="e">
        <f t="shared" si="70"/>
        <v>#DIV/0!</v>
      </c>
      <c r="W185" s="36" t="e">
        <f t="shared" si="71"/>
        <v>#DIV/0!</v>
      </c>
      <c r="X185" s="63" t="e">
        <f t="shared" si="73"/>
        <v>#DIV/0!</v>
      </c>
    </row>
    <row r="186" spans="1:24">
      <c r="A186" s="26"/>
      <c r="B186" s="27"/>
      <c r="C186" s="27"/>
      <c r="D186" s="27"/>
      <c r="E186" s="27"/>
      <c r="F186" s="27"/>
      <c r="G186" s="27"/>
      <c r="H186" s="27"/>
      <c r="I186" s="27"/>
      <c r="J186" s="27"/>
      <c r="K186" s="83" t="str">
        <f t="shared" si="61"/>
        <v/>
      </c>
      <c r="L186" s="83" t="str">
        <f t="shared" si="62"/>
        <v/>
      </c>
      <c r="M186" s="266" t="str">
        <f t="shared" si="72"/>
        <v/>
      </c>
      <c r="N186" s="83" t="str">
        <f t="shared" si="63"/>
        <v/>
      </c>
      <c r="O186" s="83" t="str">
        <f t="shared" si="64"/>
        <v/>
      </c>
      <c r="P186" s="83" t="str">
        <f t="shared" si="74"/>
        <v/>
      </c>
      <c r="Q186" s="83" t="str">
        <f t="shared" si="66"/>
        <v/>
      </c>
      <c r="R186" s="83" t="str">
        <f t="shared" si="67"/>
        <v/>
      </c>
      <c r="S186" s="27">
        <f t="shared" si="60"/>
        <v>0</v>
      </c>
      <c r="T186" s="84">
        <f t="shared" si="68"/>
        <v>0</v>
      </c>
      <c r="U186" s="84">
        <f t="shared" si="69"/>
        <v>0</v>
      </c>
      <c r="V186" s="36" t="e">
        <f t="shared" si="70"/>
        <v>#DIV/0!</v>
      </c>
      <c r="W186" s="36" t="e">
        <f t="shared" si="71"/>
        <v>#DIV/0!</v>
      </c>
      <c r="X186" s="63" t="e">
        <f t="shared" si="73"/>
        <v>#DIV/0!</v>
      </c>
    </row>
    <row r="187" spans="1:24">
      <c r="A187" s="26"/>
      <c r="B187" s="27"/>
      <c r="C187" s="27"/>
      <c r="D187" s="27"/>
      <c r="E187" s="27"/>
      <c r="F187" s="27"/>
      <c r="G187" s="27"/>
      <c r="H187" s="27"/>
      <c r="I187" s="27"/>
      <c r="J187" s="27"/>
      <c r="K187" s="83" t="str">
        <f t="shared" si="61"/>
        <v/>
      </c>
      <c r="L187" s="83" t="str">
        <f t="shared" si="62"/>
        <v/>
      </c>
      <c r="M187" s="266" t="str">
        <f t="shared" si="72"/>
        <v/>
      </c>
      <c r="N187" s="83" t="str">
        <f t="shared" si="63"/>
        <v/>
      </c>
      <c r="O187" s="83" t="str">
        <f t="shared" si="64"/>
        <v/>
      </c>
      <c r="P187" s="83" t="str">
        <f t="shared" si="74"/>
        <v/>
      </c>
      <c r="Q187" s="83" t="str">
        <f t="shared" si="66"/>
        <v/>
      </c>
      <c r="R187" s="83" t="str">
        <f t="shared" si="67"/>
        <v/>
      </c>
      <c r="S187" s="27">
        <f t="shared" si="60"/>
        <v>0</v>
      </c>
      <c r="T187" s="84">
        <f t="shared" si="68"/>
        <v>0</v>
      </c>
      <c r="U187" s="84">
        <f t="shared" si="69"/>
        <v>0</v>
      </c>
      <c r="V187" s="36" t="e">
        <f t="shared" si="70"/>
        <v>#DIV/0!</v>
      </c>
      <c r="W187" s="36" t="e">
        <f t="shared" si="71"/>
        <v>#DIV/0!</v>
      </c>
      <c r="X187" s="63" t="e">
        <f t="shared" si="73"/>
        <v>#DIV/0!</v>
      </c>
    </row>
    <row r="188" spans="1:24">
      <c r="A188" s="26"/>
      <c r="B188" s="27"/>
      <c r="C188" s="27"/>
      <c r="D188" s="27"/>
      <c r="E188" s="27"/>
      <c r="F188" s="27"/>
      <c r="G188" s="27"/>
      <c r="H188" s="27"/>
      <c r="I188" s="27"/>
      <c r="J188" s="27"/>
      <c r="K188" s="83" t="str">
        <f t="shared" si="61"/>
        <v/>
      </c>
      <c r="L188" s="83" t="str">
        <f t="shared" si="62"/>
        <v/>
      </c>
      <c r="M188" s="266" t="str">
        <f t="shared" si="72"/>
        <v/>
      </c>
      <c r="N188" s="83" t="str">
        <f t="shared" si="63"/>
        <v/>
      </c>
      <c r="O188" s="83" t="str">
        <f t="shared" si="64"/>
        <v/>
      </c>
      <c r="P188" s="83" t="str">
        <f t="shared" si="74"/>
        <v/>
      </c>
      <c r="Q188" s="83" t="str">
        <f t="shared" si="66"/>
        <v/>
      </c>
      <c r="R188" s="83" t="str">
        <f t="shared" si="67"/>
        <v/>
      </c>
      <c r="S188" s="27">
        <f t="shared" si="60"/>
        <v>0</v>
      </c>
      <c r="T188" s="84">
        <f t="shared" si="68"/>
        <v>0</v>
      </c>
      <c r="U188" s="84">
        <f t="shared" si="69"/>
        <v>0</v>
      </c>
      <c r="V188" s="36" t="e">
        <f t="shared" si="70"/>
        <v>#DIV/0!</v>
      </c>
      <c r="W188" s="36" t="e">
        <f t="shared" si="71"/>
        <v>#DIV/0!</v>
      </c>
      <c r="X188" s="63" t="e">
        <f t="shared" si="73"/>
        <v>#DIV/0!</v>
      </c>
    </row>
    <row r="189" spans="1:24">
      <c r="A189" s="26"/>
      <c r="B189" s="27"/>
      <c r="C189" s="27"/>
      <c r="D189" s="27"/>
      <c r="E189" s="27"/>
      <c r="F189" s="27"/>
      <c r="G189" s="27"/>
      <c r="H189" s="27"/>
      <c r="I189" s="27"/>
      <c r="J189" s="27"/>
      <c r="K189" s="83" t="str">
        <f t="shared" si="61"/>
        <v/>
      </c>
      <c r="L189" s="83" t="str">
        <f t="shared" si="62"/>
        <v/>
      </c>
      <c r="M189" s="266" t="str">
        <f t="shared" si="72"/>
        <v/>
      </c>
      <c r="N189" s="83" t="str">
        <f t="shared" si="63"/>
        <v/>
      </c>
      <c r="O189" s="83" t="str">
        <f t="shared" si="64"/>
        <v/>
      </c>
      <c r="P189" s="83" t="str">
        <f t="shared" si="74"/>
        <v/>
      </c>
      <c r="Q189" s="83" t="str">
        <f t="shared" si="66"/>
        <v/>
      </c>
      <c r="R189" s="83" t="str">
        <f t="shared" si="67"/>
        <v/>
      </c>
      <c r="S189" s="27">
        <f t="shared" si="60"/>
        <v>0</v>
      </c>
      <c r="T189" s="84">
        <f t="shared" si="68"/>
        <v>0</v>
      </c>
      <c r="U189" s="84">
        <f t="shared" si="69"/>
        <v>0</v>
      </c>
      <c r="V189" s="36" t="e">
        <f t="shared" si="70"/>
        <v>#DIV/0!</v>
      </c>
      <c r="W189" s="36" t="e">
        <f t="shared" si="71"/>
        <v>#DIV/0!</v>
      </c>
      <c r="X189" s="63" t="e">
        <f t="shared" si="73"/>
        <v>#DIV/0!</v>
      </c>
    </row>
    <row r="190" spans="1:24">
      <c r="A190" s="26"/>
      <c r="B190" s="27"/>
      <c r="C190" s="27"/>
      <c r="D190" s="27"/>
      <c r="E190" s="27"/>
      <c r="F190" s="27"/>
      <c r="G190" s="27"/>
      <c r="H190" s="27"/>
      <c r="I190" s="27"/>
      <c r="J190" s="27"/>
      <c r="K190" s="83" t="str">
        <f t="shared" si="61"/>
        <v/>
      </c>
      <c r="L190" s="83" t="str">
        <f t="shared" si="62"/>
        <v/>
      </c>
      <c r="M190" s="266" t="str">
        <f t="shared" si="72"/>
        <v/>
      </c>
      <c r="N190" s="83" t="str">
        <f t="shared" si="63"/>
        <v/>
      </c>
      <c r="O190" s="83" t="str">
        <f t="shared" si="64"/>
        <v/>
      </c>
      <c r="P190" s="83" t="str">
        <f t="shared" si="74"/>
        <v/>
      </c>
      <c r="Q190" s="83" t="str">
        <f t="shared" si="66"/>
        <v/>
      </c>
      <c r="R190" s="83" t="str">
        <f t="shared" si="67"/>
        <v/>
      </c>
      <c r="S190" s="27">
        <f t="shared" si="60"/>
        <v>0</v>
      </c>
      <c r="T190" s="84">
        <f t="shared" si="68"/>
        <v>0</v>
      </c>
      <c r="U190" s="84">
        <f t="shared" si="69"/>
        <v>0</v>
      </c>
      <c r="V190" s="36" t="e">
        <f t="shared" si="70"/>
        <v>#DIV/0!</v>
      </c>
      <c r="W190" s="36" t="e">
        <f t="shared" si="71"/>
        <v>#DIV/0!</v>
      </c>
      <c r="X190" s="63" t="e">
        <f t="shared" si="73"/>
        <v>#DIV/0!</v>
      </c>
    </row>
    <row r="191" spans="1:24">
      <c r="A191" s="26"/>
      <c r="B191" s="27"/>
      <c r="C191" s="27"/>
      <c r="D191" s="27"/>
      <c r="E191" s="27"/>
      <c r="F191" s="27"/>
      <c r="G191" s="27"/>
      <c r="H191" s="27"/>
      <c r="I191" s="27"/>
      <c r="J191" s="27"/>
      <c r="K191" s="83" t="str">
        <f t="shared" si="61"/>
        <v/>
      </c>
      <c r="L191" s="83" t="str">
        <f t="shared" si="62"/>
        <v/>
      </c>
      <c r="M191" s="83" t="str">
        <f t="shared" ref="M191:M196" si="75">IF(E191="","",VLOOKUP(E191,成本单价,8,0))</f>
        <v/>
      </c>
      <c r="N191" s="83" t="str">
        <f t="shared" si="63"/>
        <v/>
      </c>
      <c r="O191" s="83" t="str">
        <f t="shared" si="64"/>
        <v/>
      </c>
      <c r="P191" s="83" t="str">
        <f t="shared" si="74"/>
        <v/>
      </c>
      <c r="Q191" s="83" t="str">
        <f t="shared" si="66"/>
        <v/>
      </c>
      <c r="R191" s="83" t="str">
        <f t="shared" si="67"/>
        <v/>
      </c>
      <c r="S191" s="27">
        <f t="shared" ref="S191:S196" si="76">B191*0.1</f>
        <v>0</v>
      </c>
      <c r="T191" s="84">
        <f t="shared" si="68"/>
        <v>0</v>
      </c>
      <c r="U191" s="84">
        <f t="shared" si="69"/>
        <v>0</v>
      </c>
      <c r="V191" s="36" t="e">
        <f t="shared" si="70"/>
        <v>#DIV/0!</v>
      </c>
      <c r="W191" s="36" t="e">
        <f t="shared" si="71"/>
        <v>#DIV/0!</v>
      </c>
      <c r="X191" s="63" t="e">
        <f t="shared" si="73"/>
        <v>#DIV/0!</v>
      </c>
    </row>
    <row r="192" spans="1:24">
      <c r="A192" s="26"/>
      <c r="B192" s="27"/>
      <c r="C192" s="27"/>
      <c r="D192" s="27"/>
      <c r="E192" s="27"/>
      <c r="F192" s="27"/>
      <c r="G192" s="27"/>
      <c r="H192" s="27"/>
      <c r="I192" s="27"/>
      <c r="J192" s="27"/>
      <c r="K192" s="83" t="str">
        <f t="shared" si="61"/>
        <v/>
      </c>
      <c r="L192" s="83" t="str">
        <f t="shared" si="62"/>
        <v/>
      </c>
      <c r="M192" s="83" t="str">
        <f t="shared" si="75"/>
        <v/>
      </c>
      <c r="N192" s="83" t="str">
        <f t="shared" si="63"/>
        <v/>
      </c>
      <c r="O192" s="83" t="str">
        <f t="shared" si="64"/>
        <v/>
      </c>
      <c r="P192" s="83" t="str">
        <f t="shared" si="74"/>
        <v/>
      </c>
      <c r="Q192" s="83" t="str">
        <f t="shared" si="66"/>
        <v/>
      </c>
      <c r="R192" s="83" t="str">
        <f t="shared" si="67"/>
        <v/>
      </c>
      <c r="S192" s="27">
        <f t="shared" si="76"/>
        <v>0</v>
      </c>
      <c r="T192" s="84">
        <f t="shared" si="68"/>
        <v>0</v>
      </c>
      <c r="U192" s="84">
        <f t="shared" si="69"/>
        <v>0</v>
      </c>
      <c r="V192" s="36" t="e">
        <f t="shared" si="70"/>
        <v>#DIV/0!</v>
      </c>
      <c r="W192" s="36" t="e">
        <f t="shared" si="71"/>
        <v>#DIV/0!</v>
      </c>
      <c r="X192" s="63" t="e">
        <f t="shared" si="73"/>
        <v>#DIV/0!</v>
      </c>
    </row>
    <row r="193" spans="1:24">
      <c r="A193" s="26"/>
      <c r="B193" s="27"/>
      <c r="C193" s="27"/>
      <c r="D193" s="27"/>
      <c r="E193" s="27"/>
      <c r="F193" s="27"/>
      <c r="G193" s="27"/>
      <c r="H193" s="27"/>
      <c r="I193" s="27"/>
      <c r="J193" s="27"/>
      <c r="K193" s="83" t="str">
        <f t="shared" si="61"/>
        <v/>
      </c>
      <c r="L193" s="83" t="str">
        <f t="shared" si="62"/>
        <v/>
      </c>
      <c r="M193" s="83" t="str">
        <f t="shared" si="75"/>
        <v/>
      </c>
      <c r="N193" s="83" t="str">
        <f t="shared" si="63"/>
        <v/>
      </c>
      <c r="O193" s="83" t="str">
        <f t="shared" si="64"/>
        <v/>
      </c>
      <c r="P193" s="83" t="str">
        <f t="shared" si="74"/>
        <v/>
      </c>
      <c r="Q193" s="83" t="str">
        <f t="shared" si="66"/>
        <v/>
      </c>
      <c r="R193" s="83" t="str">
        <f t="shared" si="67"/>
        <v/>
      </c>
      <c r="S193" s="27">
        <f t="shared" si="76"/>
        <v>0</v>
      </c>
      <c r="T193" s="84">
        <f t="shared" si="68"/>
        <v>0</v>
      </c>
      <c r="U193" s="84">
        <f t="shared" si="69"/>
        <v>0</v>
      </c>
      <c r="V193" s="36" t="e">
        <f t="shared" si="70"/>
        <v>#DIV/0!</v>
      </c>
      <c r="W193" s="36" t="e">
        <f t="shared" si="71"/>
        <v>#DIV/0!</v>
      </c>
      <c r="X193" s="63" t="e">
        <f t="shared" si="73"/>
        <v>#DIV/0!</v>
      </c>
    </row>
    <row r="194" spans="1:24">
      <c r="A194" s="26"/>
      <c r="B194" s="27"/>
      <c r="C194" s="27"/>
      <c r="D194" s="27"/>
      <c r="E194" s="27"/>
      <c r="F194" s="27"/>
      <c r="G194" s="27"/>
      <c r="H194" s="27"/>
      <c r="I194" s="27"/>
      <c r="J194" s="27"/>
      <c r="K194" s="83" t="str">
        <f t="shared" si="61"/>
        <v/>
      </c>
      <c r="L194" s="83" t="str">
        <f t="shared" si="62"/>
        <v/>
      </c>
      <c r="M194" s="83" t="str">
        <f t="shared" si="75"/>
        <v/>
      </c>
      <c r="N194" s="83" t="str">
        <f t="shared" si="63"/>
        <v/>
      </c>
      <c r="O194" s="83" t="str">
        <f t="shared" si="64"/>
        <v/>
      </c>
      <c r="P194" s="83" t="str">
        <f t="shared" si="74"/>
        <v/>
      </c>
      <c r="Q194" s="83" t="str">
        <f t="shared" si="66"/>
        <v/>
      </c>
      <c r="R194" s="83" t="str">
        <f t="shared" si="67"/>
        <v/>
      </c>
      <c r="S194" s="27">
        <f t="shared" si="76"/>
        <v>0</v>
      </c>
      <c r="T194" s="84">
        <f t="shared" si="68"/>
        <v>0</v>
      </c>
      <c r="U194" s="84">
        <f t="shared" si="69"/>
        <v>0</v>
      </c>
      <c r="V194" s="36" t="e">
        <f t="shared" si="70"/>
        <v>#DIV/0!</v>
      </c>
      <c r="W194" s="36" t="e">
        <f t="shared" si="71"/>
        <v>#DIV/0!</v>
      </c>
      <c r="X194" s="63" t="e">
        <f t="shared" si="73"/>
        <v>#DIV/0!</v>
      </c>
    </row>
    <row r="195" spans="1:24">
      <c r="A195" s="26"/>
      <c r="B195" s="27"/>
      <c r="C195" s="27"/>
      <c r="D195" s="27"/>
      <c r="E195" s="27"/>
      <c r="F195" s="27"/>
      <c r="G195" s="27"/>
      <c r="H195" s="27"/>
      <c r="I195" s="27"/>
      <c r="J195" s="27"/>
      <c r="K195" s="83" t="str">
        <f t="shared" si="61"/>
        <v/>
      </c>
      <c r="L195" s="83" t="str">
        <f t="shared" si="62"/>
        <v/>
      </c>
      <c r="M195" s="83" t="str">
        <f t="shared" si="75"/>
        <v/>
      </c>
      <c r="N195" s="83" t="str">
        <f t="shared" si="63"/>
        <v/>
      </c>
      <c r="O195" s="83" t="str">
        <f t="shared" si="64"/>
        <v/>
      </c>
      <c r="P195" s="83" t="str">
        <f t="shared" si="74"/>
        <v/>
      </c>
      <c r="Q195" s="83" t="str">
        <f t="shared" si="66"/>
        <v/>
      </c>
      <c r="R195" s="83" t="str">
        <f t="shared" si="67"/>
        <v/>
      </c>
      <c r="S195" s="27">
        <f t="shared" si="76"/>
        <v>0</v>
      </c>
      <c r="T195" s="84">
        <f t="shared" si="68"/>
        <v>0</v>
      </c>
      <c r="U195" s="84">
        <f t="shared" si="69"/>
        <v>0</v>
      </c>
      <c r="V195" s="36" t="e">
        <f t="shared" si="70"/>
        <v>#DIV/0!</v>
      </c>
      <c r="W195" s="36" t="e">
        <f t="shared" si="71"/>
        <v>#DIV/0!</v>
      </c>
      <c r="X195" s="63" t="e">
        <f t="shared" si="73"/>
        <v>#DIV/0!</v>
      </c>
    </row>
    <row r="196" spans="1:24">
      <c r="A196" s="26"/>
      <c r="B196" s="27"/>
      <c r="C196" s="27"/>
      <c r="D196" s="27"/>
      <c r="E196" s="27"/>
      <c r="F196" s="27"/>
      <c r="G196" s="27"/>
      <c r="H196" s="27"/>
      <c r="I196" s="27"/>
      <c r="J196" s="27"/>
      <c r="K196" s="83" t="str">
        <f t="shared" si="61"/>
        <v/>
      </c>
      <c r="L196" s="83" t="str">
        <f t="shared" si="62"/>
        <v/>
      </c>
      <c r="M196" s="83" t="str">
        <f t="shared" si="75"/>
        <v/>
      </c>
      <c r="N196" s="83" t="str">
        <f t="shared" si="63"/>
        <v/>
      </c>
      <c r="O196" s="83" t="str">
        <f t="shared" si="64"/>
        <v/>
      </c>
      <c r="P196" s="83" t="str">
        <f t="shared" si="74"/>
        <v/>
      </c>
      <c r="Q196" s="83" t="str">
        <f t="shared" si="66"/>
        <v/>
      </c>
      <c r="R196" s="83" t="str">
        <f t="shared" si="67"/>
        <v/>
      </c>
      <c r="S196" s="27">
        <f t="shared" si="76"/>
        <v>0</v>
      </c>
      <c r="T196" s="84">
        <f t="shared" si="68"/>
        <v>0</v>
      </c>
      <c r="U196" s="84">
        <f t="shared" si="69"/>
        <v>0</v>
      </c>
      <c r="V196" s="36" t="e">
        <f t="shared" si="70"/>
        <v>#DIV/0!</v>
      </c>
      <c r="W196" s="36" t="e">
        <f t="shared" si="71"/>
        <v>#DIV/0!</v>
      </c>
      <c r="X196" s="63" t="e">
        <f t="shared" si="73"/>
        <v>#DIV/0!</v>
      </c>
    </row>
  </sheetData>
  <mergeCells count="8">
    <mergeCell ref="W1:W2"/>
    <mergeCell ref="X1:X2"/>
    <mergeCell ref="A1:A2"/>
    <mergeCell ref="B1:B2"/>
    <mergeCell ref="S1:S2"/>
    <mergeCell ref="T1:T2"/>
    <mergeCell ref="U1:U2"/>
    <mergeCell ref="V1:V2"/>
  </mergeCells>
  <phoneticPr fontId="22" type="noConversion"/>
  <conditionalFormatting sqref="A43:A48 A56:A57 A3:A20 A22:A38 A60:A196">
    <cfRule type="expression" dxfId="66" priority="2">
      <formula>COUNTIF(本周午菜,A3)+COUNTIF(本周晚菜,A3)&gt;0</formula>
    </cfRule>
  </conditionalFormatting>
  <pageMargins left="0.35433070866141736" right="0.35433070866141736" top="0.39370078740157483" bottom="0.39370078740157483" header="0.51181102362204722" footer="0.51181102362204722"/>
  <pageSetup paperSize="12" orientation="landscape" horizontalDpi="4294967292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549"/>
  <sheetViews>
    <sheetView tabSelected="1" workbookViewId="0">
      <pane xSplit="2" ySplit="2" topLeftCell="C72" activePane="bottomRight" state="frozen"/>
      <selection activeCell="V147" sqref="V147"/>
      <selection pane="topRight" activeCell="V147" sqref="V147"/>
      <selection pane="bottomLeft" activeCell="V147" sqref="V147"/>
      <selection pane="bottomRight" activeCell="D72" sqref="D72"/>
    </sheetView>
  </sheetViews>
  <sheetFormatPr defaultRowHeight="14.25"/>
  <cols>
    <col min="1" max="1" width="17.875" style="4" customWidth="1"/>
    <col min="2" max="2" width="9.75" style="2" customWidth="1"/>
    <col min="3" max="3" width="15.5" style="2" customWidth="1"/>
    <col min="4" max="4" width="3.625" style="2" customWidth="1"/>
    <col min="5" max="5" width="28.125" style="2" customWidth="1"/>
    <col min="6" max="6" width="6.875" style="2" customWidth="1"/>
    <col min="7" max="7" width="11.375" style="2" customWidth="1"/>
    <col min="8" max="8" width="6.75" style="2" customWidth="1"/>
    <col min="9" max="9" width="12.25" style="2" customWidth="1"/>
    <col min="10" max="10" width="5.125" style="2" customWidth="1"/>
    <col min="11" max="18" width="5.625" style="2" customWidth="1"/>
    <col min="19" max="19" width="5.625" style="109" customWidth="1"/>
    <col min="20" max="20" width="10.25" style="2" customWidth="1"/>
    <col min="21" max="21" width="10.125" style="2" customWidth="1"/>
    <col min="22" max="22" width="7.75" style="2" customWidth="1"/>
    <col min="23" max="23" width="8.125" style="2" customWidth="1"/>
    <col min="24" max="24" width="8" style="64" customWidth="1"/>
    <col min="25" max="16384" width="9" style="2"/>
  </cols>
  <sheetData>
    <row r="1" spans="1:24" ht="12" customHeight="1">
      <c r="A1" s="288" t="s">
        <v>10</v>
      </c>
      <c r="B1" s="288" t="s">
        <v>53</v>
      </c>
      <c r="C1" s="35" t="s">
        <v>54</v>
      </c>
      <c r="D1" s="23" t="s">
        <v>15</v>
      </c>
      <c r="E1" s="23" t="s">
        <v>388</v>
      </c>
      <c r="F1" s="23" t="s">
        <v>388</v>
      </c>
      <c r="G1" s="23" t="s">
        <v>389</v>
      </c>
      <c r="H1" s="23" t="s">
        <v>389</v>
      </c>
      <c r="I1" s="23" t="s">
        <v>390</v>
      </c>
      <c r="J1" s="23" t="s">
        <v>390</v>
      </c>
      <c r="K1" s="23" t="s">
        <v>387</v>
      </c>
      <c r="L1" s="23" t="s">
        <v>387</v>
      </c>
      <c r="M1" s="23" t="s">
        <v>388</v>
      </c>
      <c r="N1" s="23" t="s">
        <v>388</v>
      </c>
      <c r="O1" s="23" t="s">
        <v>389</v>
      </c>
      <c r="P1" s="23" t="s">
        <v>389</v>
      </c>
      <c r="Q1" s="23" t="s">
        <v>390</v>
      </c>
      <c r="R1" s="23" t="s">
        <v>390</v>
      </c>
      <c r="S1" s="291" t="s">
        <v>16</v>
      </c>
      <c r="T1" s="290" t="s">
        <v>17</v>
      </c>
      <c r="U1" s="290" t="s">
        <v>18</v>
      </c>
      <c r="V1" s="286" t="s">
        <v>19</v>
      </c>
      <c r="W1" s="286" t="s">
        <v>20</v>
      </c>
      <c r="X1" s="287" t="s">
        <v>12</v>
      </c>
    </row>
    <row r="2" spans="1:24" ht="38.25" customHeight="1">
      <c r="A2" s="288"/>
      <c r="B2" s="288"/>
      <c r="C2" s="35" t="s">
        <v>21</v>
      </c>
      <c r="D2" s="25" t="s">
        <v>22</v>
      </c>
      <c r="E2" s="25" t="s">
        <v>391</v>
      </c>
      <c r="F2" s="25" t="s">
        <v>22</v>
      </c>
      <c r="G2" s="25" t="s">
        <v>21</v>
      </c>
      <c r="H2" s="25" t="s">
        <v>22</v>
      </c>
      <c r="I2" s="25" t="s">
        <v>21</v>
      </c>
      <c r="J2" s="25" t="s">
        <v>22</v>
      </c>
      <c r="K2" s="25" t="s">
        <v>13</v>
      </c>
      <c r="L2" s="25" t="s">
        <v>23</v>
      </c>
      <c r="M2" s="25" t="s">
        <v>13</v>
      </c>
      <c r="N2" s="25" t="s">
        <v>23</v>
      </c>
      <c r="O2" s="25" t="s">
        <v>13</v>
      </c>
      <c r="P2" s="25" t="s">
        <v>23</v>
      </c>
      <c r="Q2" s="25" t="s">
        <v>13</v>
      </c>
      <c r="R2" s="25" t="s">
        <v>23</v>
      </c>
      <c r="S2" s="291"/>
      <c r="T2" s="290"/>
      <c r="U2" s="290"/>
      <c r="V2" s="286"/>
      <c r="W2" s="286"/>
      <c r="X2" s="287"/>
    </row>
    <row r="3" spans="1:24">
      <c r="A3" s="37" t="s">
        <v>568</v>
      </c>
      <c r="B3" s="37">
        <v>50</v>
      </c>
      <c r="C3" s="37" t="s">
        <v>575</v>
      </c>
      <c r="D3" s="37">
        <v>25</v>
      </c>
      <c r="E3" s="37" t="s">
        <v>580</v>
      </c>
      <c r="F3" s="37">
        <v>5</v>
      </c>
      <c r="G3" s="9" t="s">
        <v>2792</v>
      </c>
      <c r="H3" s="37">
        <v>8</v>
      </c>
      <c r="I3" s="27"/>
      <c r="J3" s="27"/>
      <c r="K3" s="23">
        <f t="shared" ref="K3:K34" si="0">IF(C3="","",VLOOKUP(C3,成本单价,8,0))</f>
        <v>7.2857142857142856</v>
      </c>
      <c r="L3" s="23">
        <f t="shared" ref="L3:L34" si="1">IFERROR(D3*K3,"")</f>
        <v>182.14285714285714</v>
      </c>
      <c r="M3" s="23">
        <f t="shared" ref="M3:M34" si="2">IF(E3="","",VLOOKUP(E3,成本单价,8,0))</f>
        <v>4.2352941176470589</v>
      </c>
      <c r="N3" s="23">
        <f t="shared" ref="N3:N34" si="3">IFERROR(F3*M3,"")</f>
        <v>21.176470588235293</v>
      </c>
      <c r="O3" s="23">
        <f t="shared" ref="O3:O34" si="4">IF(G3="","",VLOOKUP(G3,成本单价,8,0))</f>
        <v>1.6235294117647059</v>
      </c>
      <c r="P3" s="23">
        <f t="shared" ref="P3:P34" si="5">IFERROR(H3*O3,"")</f>
        <v>12.988235294117647</v>
      </c>
      <c r="Q3" s="23" t="str">
        <f t="shared" ref="Q3:Q34" si="6">IF(I3="","",VLOOKUP(I3,成本单价,8,0))</f>
        <v/>
      </c>
      <c r="R3" s="23" t="str">
        <f t="shared" ref="R3:R34" si="7">IFERROR(J3*Q3,"")</f>
        <v/>
      </c>
      <c r="S3" s="108">
        <f t="shared" ref="S3:S8" si="8">B3*0.2</f>
        <v>10</v>
      </c>
      <c r="T3" s="28">
        <f t="shared" ref="T3:T34" si="9">IFERROR(SUM(L3,N3,P3,R3,S3),"")</f>
        <v>226.3075630252101</v>
      </c>
      <c r="U3" s="28">
        <f t="shared" ref="U3:U34" si="10">T3*(1+物料比)</f>
        <v>237.62294117647062</v>
      </c>
      <c r="V3" s="36">
        <f t="shared" ref="V3:V34" si="11">U3/B3</f>
        <v>4.7524588235294125</v>
      </c>
      <c r="W3" s="36">
        <f t="shared" ref="W3:W34" si="12">D3/B3+F3/B3+H3/B3+J3/B3</f>
        <v>0.76</v>
      </c>
      <c r="X3" s="63">
        <f t="shared" ref="X3:X34" si="13">ROUND(V3*(1+大灶毛利),1)</f>
        <v>5.2</v>
      </c>
    </row>
    <row r="4" spans="1:24">
      <c r="A4" s="37" t="s">
        <v>569</v>
      </c>
      <c r="B4" s="37">
        <v>60</v>
      </c>
      <c r="C4" s="32" t="s">
        <v>2805</v>
      </c>
      <c r="D4" s="37">
        <v>22</v>
      </c>
      <c r="E4" s="18" t="s">
        <v>2575</v>
      </c>
      <c r="F4" s="37">
        <v>1</v>
      </c>
      <c r="G4" s="37"/>
      <c r="H4" s="37"/>
      <c r="I4" s="26"/>
      <c r="J4" s="26"/>
      <c r="K4" s="44">
        <f t="shared" si="0"/>
        <v>14.000000000000002</v>
      </c>
      <c r="L4" s="44">
        <f t="shared" si="1"/>
        <v>308.00000000000006</v>
      </c>
      <c r="M4" s="44">
        <f t="shared" si="2"/>
        <v>25.714285714285715</v>
      </c>
      <c r="N4" s="44">
        <f t="shared" si="3"/>
        <v>25.714285714285715</v>
      </c>
      <c r="O4" s="23" t="str">
        <f t="shared" si="4"/>
        <v/>
      </c>
      <c r="P4" s="23" t="str">
        <f t="shared" si="5"/>
        <v/>
      </c>
      <c r="Q4" s="23" t="str">
        <f t="shared" si="6"/>
        <v/>
      </c>
      <c r="R4" s="23" t="str">
        <f t="shared" si="7"/>
        <v/>
      </c>
      <c r="S4" s="108">
        <f t="shared" si="8"/>
        <v>12</v>
      </c>
      <c r="T4" s="28">
        <f t="shared" si="9"/>
        <v>345.71428571428578</v>
      </c>
      <c r="U4" s="28">
        <f t="shared" si="10"/>
        <v>363.00000000000006</v>
      </c>
      <c r="V4" s="36">
        <f t="shared" si="11"/>
        <v>6.0500000000000007</v>
      </c>
      <c r="W4" s="36">
        <f t="shared" si="12"/>
        <v>0.3833333333333333</v>
      </c>
      <c r="X4" s="63">
        <f t="shared" si="13"/>
        <v>6.7</v>
      </c>
    </row>
    <row r="5" spans="1:24">
      <c r="A5" s="37" t="s">
        <v>1993</v>
      </c>
      <c r="B5" s="37">
        <v>60</v>
      </c>
      <c r="C5" s="47" t="s">
        <v>2805</v>
      </c>
      <c r="D5" s="37">
        <v>20</v>
      </c>
      <c r="E5" s="18" t="s">
        <v>2006</v>
      </c>
      <c r="F5" s="37">
        <v>12</v>
      </c>
      <c r="G5" s="18" t="s">
        <v>2007</v>
      </c>
      <c r="H5" s="37">
        <v>0.3</v>
      </c>
      <c r="I5" s="27" t="s">
        <v>2008</v>
      </c>
      <c r="J5" s="27">
        <v>1</v>
      </c>
      <c r="K5" s="23">
        <f t="shared" si="0"/>
        <v>14.000000000000002</v>
      </c>
      <c r="L5" s="23">
        <f t="shared" si="1"/>
        <v>280.00000000000006</v>
      </c>
      <c r="M5" s="23">
        <f t="shared" si="2"/>
        <v>2.1176470588235294</v>
      </c>
      <c r="N5" s="23">
        <f t="shared" si="3"/>
        <v>25.411764705882355</v>
      </c>
      <c r="O5" s="23">
        <f t="shared" si="4"/>
        <v>61.428571428571431</v>
      </c>
      <c r="P5" s="23">
        <f t="shared" si="5"/>
        <v>18.428571428571427</v>
      </c>
      <c r="Q5" s="23">
        <f t="shared" si="6"/>
        <v>17.647058823529413</v>
      </c>
      <c r="R5" s="23">
        <f t="shared" si="7"/>
        <v>17.647058823529413</v>
      </c>
      <c r="S5" s="108">
        <f t="shared" si="8"/>
        <v>12</v>
      </c>
      <c r="T5" s="28">
        <f t="shared" si="9"/>
        <v>353.48739495798327</v>
      </c>
      <c r="U5" s="28">
        <f t="shared" si="10"/>
        <v>371.16176470588243</v>
      </c>
      <c r="V5" s="36">
        <f t="shared" si="11"/>
        <v>6.1860294117647072</v>
      </c>
      <c r="W5" s="36">
        <f t="shared" si="12"/>
        <v>0.55500000000000005</v>
      </c>
      <c r="X5" s="63">
        <f t="shared" si="13"/>
        <v>6.8</v>
      </c>
    </row>
    <row r="6" spans="1:24">
      <c r="A6" s="37" t="s">
        <v>570</v>
      </c>
      <c r="B6" s="37">
        <v>60</v>
      </c>
      <c r="C6" s="37" t="s">
        <v>576</v>
      </c>
      <c r="D6" s="37">
        <v>24</v>
      </c>
      <c r="E6" s="37" t="s">
        <v>581</v>
      </c>
      <c r="F6" s="37">
        <v>6</v>
      </c>
      <c r="G6" s="37" t="s">
        <v>582</v>
      </c>
      <c r="H6" s="37">
        <v>2</v>
      </c>
      <c r="I6" s="27"/>
      <c r="J6" s="27"/>
      <c r="K6" s="23">
        <f t="shared" si="0"/>
        <v>2.5882352941176472</v>
      </c>
      <c r="L6" s="23">
        <f t="shared" si="1"/>
        <v>62.117647058823536</v>
      </c>
      <c r="M6" s="23">
        <f t="shared" si="2"/>
        <v>15.428571428571431</v>
      </c>
      <c r="N6" s="23">
        <f t="shared" si="3"/>
        <v>92.571428571428584</v>
      </c>
      <c r="O6" s="23">
        <f t="shared" si="4"/>
        <v>8.3529411764705888</v>
      </c>
      <c r="P6" s="23">
        <f t="shared" si="5"/>
        <v>16.705882352941178</v>
      </c>
      <c r="Q6" s="23" t="str">
        <f t="shared" si="6"/>
        <v/>
      </c>
      <c r="R6" s="23" t="str">
        <f t="shared" si="7"/>
        <v/>
      </c>
      <c r="S6" s="108">
        <f t="shared" si="8"/>
        <v>12</v>
      </c>
      <c r="T6" s="28">
        <f t="shared" si="9"/>
        <v>183.39495798319331</v>
      </c>
      <c r="U6" s="28">
        <f t="shared" si="10"/>
        <v>192.56470588235297</v>
      </c>
      <c r="V6" s="36">
        <f t="shared" si="11"/>
        <v>3.2094117647058829</v>
      </c>
      <c r="W6" s="36">
        <f t="shared" si="12"/>
        <v>0.53333333333333333</v>
      </c>
      <c r="X6" s="63">
        <f t="shared" si="13"/>
        <v>3.5</v>
      </c>
    </row>
    <row r="7" spans="1:24">
      <c r="A7" s="37" t="s">
        <v>571</v>
      </c>
      <c r="B7" s="37">
        <v>60</v>
      </c>
      <c r="C7" s="37" t="s">
        <v>577</v>
      </c>
      <c r="D7" s="37">
        <v>30</v>
      </c>
      <c r="E7" s="37" t="s">
        <v>319</v>
      </c>
      <c r="F7" s="37">
        <v>10</v>
      </c>
      <c r="G7" s="26" t="s">
        <v>392</v>
      </c>
      <c r="H7" s="37">
        <v>0.5</v>
      </c>
      <c r="I7" s="27"/>
      <c r="J7" s="27"/>
      <c r="K7" s="23">
        <f t="shared" si="0"/>
        <v>1.8823529411764708</v>
      </c>
      <c r="L7" s="23">
        <f t="shared" si="1"/>
        <v>56.470588235294123</v>
      </c>
      <c r="M7" s="23">
        <f t="shared" si="2"/>
        <v>3.5714285714285716</v>
      </c>
      <c r="N7" s="23">
        <f t="shared" si="3"/>
        <v>35.714285714285715</v>
      </c>
      <c r="O7" s="23">
        <f t="shared" si="4"/>
        <v>61.428571428571431</v>
      </c>
      <c r="P7" s="23">
        <f t="shared" si="5"/>
        <v>30.714285714285715</v>
      </c>
      <c r="Q7" s="23" t="str">
        <f t="shared" si="6"/>
        <v/>
      </c>
      <c r="R7" s="23" t="str">
        <f t="shared" si="7"/>
        <v/>
      </c>
      <c r="S7" s="108">
        <f t="shared" si="8"/>
        <v>12</v>
      </c>
      <c r="T7" s="28">
        <f t="shared" si="9"/>
        <v>134.89915966386556</v>
      </c>
      <c r="U7" s="28">
        <f t="shared" si="10"/>
        <v>141.64411764705883</v>
      </c>
      <c r="V7" s="36">
        <f t="shared" si="11"/>
        <v>2.3607352941176472</v>
      </c>
      <c r="W7" s="36">
        <f t="shared" si="12"/>
        <v>0.67499999999999993</v>
      </c>
      <c r="X7" s="63">
        <f t="shared" si="13"/>
        <v>2.6</v>
      </c>
    </row>
    <row r="8" spans="1:24">
      <c r="A8" s="37" t="s">
        <v>572</v>
      </c>
      <c r="B8" s="37">
        <v>40</v>
      </c>
      <c r="C8" s="31" t="s">
        <v>2329</v>
      </c>
      <c r="D8" s="37">
        <v>20</v>
      </c>
      <c r="E8" s="32" t="s">
        <v>190</v>
      </c>
      <c r="F8" s="37">
        <v>4</v>
      </c>
      <c r="G8" s="37" t="s">
        <v>583</v>
      </c>
      <c r="H8" s="37">
        <v>1</v>
      </c>
      <c r="I8" s="27"/>
      <c r="J8" s="27"/>
      <c r="K8" s="23">
        <f t="shared" si="0"/>
        <v>2.5333333333333332</v>
      </c>
      <c r="L8" s="23">
        <f t="shared" si="1"/>
        <v>50.666666666666664</v>
      </c>
      <c r="M8" s="23">
        <f t="shared" si="2"/>
        <v>13</v>
      </c>
      <c r="N8" s="23">
        <f t="shared" si="3"/>
        <v>52</v>
      </c>
      <c r="O8" s="23">
        <f t="shared" si="4"/>
        <v>2.1176470588235294</v>
      </c>
      <c r="P8" s="23">
        <f t="shared" si="5"/>
        <v>2.1176470588235294</v>
      </c>
      <c r="Q8" s="23" t="str">
        <f t="shared" si="6"/>
        <v/>
      </c>
      <c r="R8" s="23" t="str">
        <f t="shared" si="7"/>
        <v/>
      </c>
      <c r="S8" s="108">
        <f t="shared" si="8"/>
        <v>8</v>
      </c>
      <c r="T8" s="28">
        <f t="shared" si="9"/>
        <v>112.78431372549019</v>
      </c>
      <c r="U8" s="28">
        <f t="shared" si="10"/>
        <v>118.4235294117647</v>
      </c>
      <c r="V8" s="36">
        <f t="shared" si="11"/>
        <v>2.9605882352941175</v>
      </c>
      <c r="W8" s="36">
        <f t="shared" si="12"/>
        <v>0.625</v>
      </c>
      <c r="X8" s="63">
        <f t="shared" si="13"/>
        <v>3.3</v>
      </c>
    </row>
    <row r="9" spans="1:24">
      <c r="A9" s="37" t="s">
        <v>573</v>
      </c>
      <c r="B9" s="37">
        <v>30</v>
      </c>
      <c r="C9" s="37" t="s">
        <v>578</v>
      </c>
      <c r="D9" s="37">
        <v>20</v>
      </c>
      <c r="E9" s="37"/>
      <c r="F9" s="37"/>
      <c r="G9" s="37"/>
      <c r="H9" s="37"/>
      <c r="I9" s="27"/>
      <c r="J9" s="27"/>
      <c r="K9" s="23">
        <f t="shared" si="0"/>
        <v>1</v>
      </c>
      <c r="L9" s="23">
        <f t="shared" si="1"/>
        <v>20</v>
      </c>
      <c r="M9" s="23" t="str">
        <f t="shared" si="2"/>
        <v/>
      </c>
      <c r="N9" s="23" t="str">
        <f t="shared" si="3"/>
        <v/>
      </c>
      <c r="O9" s="23" t="str">
        <f t="shared" si="4"/>
        <v/>
      </c>
      <c r="P9" s="23" t="str">
        <f t="shared" si="5"/>
        <v/>
      </c>
      <c r="Q9" s="23" t="str">
        <f t="shared" si="6"/>
        <v/>
      </c>
      <c r="R9" s="23" t="str">
        <f t="shared" si="7"/>
        <v/>
      </c>
      <c r="S9" s="108">
        <f>B9*0.3</f>
        <v>9</v>
      </c>
      <c r="T9" s="28">
        <f t="shared" si="9"/>
        <v>29</v>
      </c>
      <c r="U9" s="28">
        <f t="shared" si="10"/>
        <v>30.450000000000003</v>
      </c>
      <c r="V9" s="36">
        <f t="shared" si="11"/>
        <v>1.0150000000000001</v>
      </c>
      <c r="W9" s="36">
        <f t="shared" si="12"/>
        <v>0.66666666666666663</v>
      </c>
      <c r="X9" s="63">
        <f t="shared" si="13"/>
        <v>1.1000000000000001</v>
      </c>
    </row>
    <row r="10" spans="1:24">
      <c r="A10" s="37" t="s">
        <v>574</v>
      </c>
      <c r="B10" s="37">
        <v>20</v>
      </c>
      <c r="C10" s="37" t="s">
        <v>579</v>
      </c>
      <c r="D10" s="37">
        <v>14</v>
      </c>
      <c r="E10" s="37"/>
      <c r="F10" s="37"/>
      <c r="G10" s="37"/>
      <c r="H10" s="37"/>
      <c r="I10" s="26"/>
      <c r="J10" s="26"/>
      <c r="K10" s="44">
        <f t="shared" si="0"/>
        <v>1</v>
      </c>
      <c r="L10" s="44">
        <f t="shared" si="1"/>
        <v>14</v>
      </c>
      <c r="M10" s="44" t="str">
        <f t="shared" si="2"/>
        <v/>
      </c>
      <c r="N10" s="44" t="str">
        <f t="shared" si="3"/>
        <v/>
      </c>
      <c r="O10" s="44" t="str">
        <f t="shared" si="4"/>
        <v/>
      </c>
      <c r="P10" s="44" t="str">
        <f t="shared" si="5"/>
        <v/>
      </c>
      <c r="Q10" s="44" t="str">
        <f t="shared" si="6"/>
        <v/>
      </c>
      <c r="R10" s="44" t="str">
        <f t="shared" si="7"/>
        <v/>
      </c>
      <c r="S10" s="108">
        <f>B10*0.2</f>
        <v>4</v>
      </c>
      <c r="T10" s="28">
        <f t="shared" si="9"/>
        <v>18</v>
      </c>
      <c r="U10" s="28">
        <f t="shared" si="10"/>
        <v>18.900000000000002</v>
      </c>
      <c r="V10" s="36">
        <f t="shared" si="11"/>
        <v>0.94500000000000006</v>
      </c>
      <c r="W10" s="36">
        <f t="shared" si="12"/>
        <v>0.7</v>
      </c>
      <c r="X10" s="63">
        <f t="shared" si="13"/>
        <v>1</v>
      </c>
    </row>
    <row r="11" spans="1:24">
      <c r="A11" s="37" t="s">
        <v>584</v>
      </c>
      <c r="B11" s="37">
        <v>50</v>
      </c>
      <c r="C11" s="37" t="s">
        <v>594</v>
      </c>
      <c r="D11" s="37">
        <v>25</v>
      </c>
      <c r="E11" s="37" t="s">
        <v>600</v>
      </c>
      <c r="F11" s="37">
        <v>1</v>
      </c>
      <c r="G11" s="37" t="s">
        <v>603</v>
      </c>
      <c r="H11" s="37">
        <v>1</v>
      </c>
      <c r="I11" s="37" t="s">
        <v>582</v>
      </c>
      <c r="J11" s="37">
        <v>0.5</v>
      </c>
      <c r="K11" s="23">
        <f t="shared" si="0"/>
        <v>10.714285714285715</v>
      </c>
      <c r="L11" s="23">
        <f t="shared" si="1"/>
        <v>267.85714285714289</v>
      </c>
      <c r="M11" s="23">
        <f t="shared" si="2"/>
        <v>3.4117647058823528</v>
      </c>
      <c r="N11" s="23">
        <f t="shared" si="3"/>
        <v>3.4117647058823528</v>
      </c>
      <c r="O11" s="23">
        <f t="shared" si="4"/>
        <v>1.2941176470588236</v>
      </c>
      <c r="P11" s="23">
        <f t="shared" si="5"/>
        <v>1.2941176470588236</v>
      </c>
      <c r="Q11" s="23">
        <f t="shared" si="6"/>
        <v>8.3529411764705888</v>
      </c>
      <c r="R11" s="23">
        <f t="shared" si="7"/>
        <v>4.1764705882352944</v>
      </c>
      <c r="S11" s="108">
        <f>B11*0.2</f>
        <v>10</v>
      </c>
      <c r="T11" s="28">
        <f t="shared" si="9"/>
        <v>286.73949579831941</v>
      </c>
      <c r="U11" s="28">
        <f t="shared" si="10"/>
        <v>301.0764705882354</v>
      </c>
      <c r="V11" s="28">
        <f t="shared" si="11"/>
        <v>6.0215294117647078</v>
      </c>
      <c r="W11" s="28">
        <f t="shared" si="12"/>
        <v>0.55000000000000004</v>
      </c>
      <c r="X11" s="63">
        <f t="shared" si="13"/>
        <v>6.6</v>
      </c>
    </row>
    <row r="12" spans="1:24" s="3" customFormat="1">
      <c r="A12" s="37" t="s">
        <v>585</v>
      </c>
      <c r="B12" s="37">
        <v>60</v>
      </c>
      <c r="C12" s="18" t="s">
        <v>1485</v>
      </c>
      <c r="D12" s="37">
        <v>20</v>
      </c>
      <c r="E12" s="37" t="s">
        <v>601</v>
      </c>
      <c r="F12" s="37">
        <v>6</v>
      </c>
      <c r="G12" s="37" t="s">
        <v>604</v>
      </c>
      <c r="H12" s="37">
        <v>6</v>
      </c>
      <c r="I12" s="37"/>
      <c r="J12" s="37"/>
      <c r="K12" s="23">
        <f t="shared" si="0"/>
        <v>33.000000000000007</v>
      </c>
      <c r="L12" s="23">
        <f t="shared" si="1"/>
        <v>660.00000000000011</v>
      </c>
      <c r="M12" s="23">
        <f t="shared" si="2"/>
        <v>0.94117647058823539</v>
      </c>
      <c r="N12" s="23">
        <f t="shared" si="3"/>
        <v>5.6470588235294121</v>
      </c>
      <c r="O12" s="23">
        <f t="shared" si="4"/>
        <v>1.6470588235294117</v>
      </c>
      <c r="P12" s="23">
        <f t="shared" si="5"/>
        <v>9.882352941176471</v>
      </c>
      <c r="Q12" s="23" t="str">
        <f t="shared" si="6"/>
        <v/>
      </c>
      <c r="R12" s="23" t="str">
        <f t="shared" si="7"/>
        <v/>
      </c>
      <c r="S12" s="108">
        <f>B12*0.2</f>
        <v>12</v>
      </c>
      <c r="T12" s="28">
        <f t="shared" si="9"/>
        <v>687.52941176470597</v>
      </c>
      <c r="U12" s="28">
        <f t="shared" si="10"/>
        <v>721.90588235294126</v>
      </c>
      <c r="V12" s="25">
        <f t="shared" si="11"/>
        <v>12.031764705882354</v>
      </c>
      <c r="W12" s="28">
        <f t="shared" si="12"/>
        <v>0.53333333333333333</v>
      </c>
      <c r="X12" s="63">
        <f t="shared" si="13"/>
        <v>13.2</v>
      </c>
    </row>
    <row r="13" spans="1:24">
      <c r="A13" s="37" t="s">
        <v>586</v>
      </c>
      <c r="B13" s="37">
        <v>80</v>
      </c>
      <c r="C13" s="26" t="s">
        <v>206</v>
      </c>
      <c r="D13" s="37">
        <v>28</v>
      </c>
      <c r="E13" s="15" t="s">
        <v>2758</v>
      </c>
      <c r="F13" s="37">
        <v>25</v>
      </c>
      <c r="G13" s="37"/>
      <c r="H13" s="37"/>
      <c r="I13" s="37"/>
      <c r="J13" s="37"/>
      <c r="K13" s="23">
        <f t="shared" si="0"/>
        <v>14.428571428571429</v>
      </c>
      <c r="L13" s="23">
        <f t="shared" si="1"/>
        <v>404</v>
      </c>
      <c r="M13" s="23">
        <f t="shared" si="2"/>
        <v>1.6235294117647059</v>
      </c>
      <c r="N13" s="23">
        <f t="shared" si="3"/>
        <v>40.588235294117645</v>
      </c>
      <c r="O13" s="23" t="str">
        <f t="shared" si="4"/>
        <v/>
      </c>
      <c r="P13" s="23" t="str">
        <f t="shared" si="5"/>
        <v/>
      </c>
      <c r="Q13" s="23" t="str">
        <f t="shared" si="6"/>
        <v/>
      </c>
      <c r="R13" s="23" t="str">
        <f t="shared" si="7"/>
        <v/>
      </c>
      <c r="S13" s="108">
        <f>B13*0.4</f>
        <v>32</v>
      </c>
      <c r="T13" s="28">
        <f t="shared" si="9"/>
        <v>476.58823529411762</v>
      </c>
      <c r="U13" s="28">
        <f t="shared" si="10"/>
        <v>500.41764705882355</v>
      </c>
      <c r="V13" s="25">
        <f t="shared" si="11"/>
        <v>6.2552205882352947</v>
      </c>
      <c r="W13" s="28">
        <f t="shared" si="12"/>
        <v>0.66249999999999998</v>
      </c>
      <c r="X13" s="63">
        <f t="shared" si="13"/>
        <v>6.9</v>
      </c>
    </row>
    <row r="14" spans="1:24">
      <c r="A14" s="37" t="s">
        <v>587</v>
      </c>
      <c r="B14" s="37">
        <v>50</v>
      </c>
      <c r="C14" s="49" t="s">
        <v>249</v>
      </c>
      <c r="D14" s="37">
        <v>25</v>
      </c>
      <c r="E14" s="37"/>
      <c r="F14" s="37"/>
      <c r="G14" s="37"/>
      <c r="H14" s="37"/>
      <c r="I14" s="37"/>
      <c r="J14" s="37"/>
      <c r="K14" s="23">
        <f t="shared" si="0"/>
        <v>10.142857142857142</v>
      </c>
      <c r="L14" s="23">
        <f t="shared" si="1"/>
        <v>253.57142857142856</v>
      </c>
      <c r="M14" s="23" t="str">
        <f t="shared" si="2"/>
        <v/>
      </c>
      <c r="N14" s="23" t="str">
        <f t="shared" si="3"/>
        <v/>
      </c>
      <c r="O14" s="23" t="str">
        <f t="shared" si="4"/>
        <v/>
      </c>
      <c r="P14" s="23" t="str">
        <f t="shared" si="5"/>
        <v/>
      </c>
      <c r="Q14" s="23" t="str">
        <f t="shared" si="6"/>
        <v/>
      </c>
      <c r="R14" s="23" t="str">
        <f t="shared" si="7"/>
        <v/>
      </c>
      <c r="S14" s="108">
        <f t="shared" ref="S14:S23" si="14">B14*0.2</f>
        <v>10</v>
      </c>
      <c r="T14" s="28">
        <f t="shared" si="9"/>
        <v>263.57142857142856</v>
      </c>
      <c r="U14" s="28">
        <f t="shared" si="10"/>
        <v>276.75</v>
      </c>
      <c r="V14" s="28">
        <f t="shared" si="11"/>
        <v>5.5350000000000001</v>
      </c>
      <c r="W14" s="28">
        <f t="shared" si="12"/>
        <v>0.5</v>
      </c>
      <c r="X14" s="63">
        <f t="shared" si="13"/>
        <v>6.1</v>
      </c>
    </row>
    <row r="15" spans="1:24">
      <c r="A15" s="37" t="s">
        <v>588</v>
      </c>
      <c r="B15" s="37">
        <v>50</v>
      </c>
      <c r="C15" s="37" t="s">
        <v>177</v>
      </c>
      <c r="D15" s="37">
        <v>20</v>
      </c>
      <c r="E15" s="26" t="s">
        <v>392</v>
      </c>
      <c r="F15" s="37">
        <v>0.5</v>
      </c>
      <c r="G15" s="32" t="s">
        <v>190</v>
      </c>
      <c r="H15" s="37">
        <v>5</v>
      </c>
      <c r="I15" s="37"/>
      <c r="J15" s="37"/>
      <c r="K15" s="23">
        <f t="shared" si="0"/>
        <v>3.5294117647058822</v>
      </c>
      <c r="L15" s="23">
        <f t="shared" si="1"/>
        <v>70.588235294117652</v>
      </c>
      <c r="M15" s="23">
        <f t="shared" si="2"/>
        <v>61.428571428571431</v>
      </c>
      <c r="N15" s="23">
        <f t="shared" si="3"/>
        <v>30.714285714285715</v>
      </c>
      <c r="O15" s="23">
        <f t="shared" si="4"/>
        <v>13</v>
      </c>
      <c r="P15" s="23">
        <f t="shared" si="5"/>
        <v>65</v>
      </c>
      <c r="Q15" s="23" t="str">
        <f t="shared" si="6"/>
        <v/>
      </c>
      <c r="R15" s="23" t="str">
        <f t="shared" si="7"/>
        <v/>
      </c>
      <c r="S15" s="108">
        <f t="shared" si="14"/>
        <v>10</v>
      </c>
      <c r="T15" s="28">
        <f t="shared" si="9"/>
        <v>176.30252100840337</v>
      </c>
      <c r="U15" s="28">
        <f t="shared" si="10"/>
        <v>185.11764705882356</v>
      </c>
      <c r="V15" s="28">
        <f t="shared" si="11"/>
        <v>3.7023529411764713</v>
      </c>
      <c r="W15" s="28">
        <f t="shared" si="12"/>
        <v>0.51</v>
      </c>
      <c r="X15" s="63">
        <f t="shared" si="13"/>
        <v>4.0999999999999996</v>
      </c>
    </row>
    <row r="16" spans="1:24" ht="15">
      <c r="A16" s="18" t="s">
        <v>1018</v>
      </c>
      <c r="B16" s="37">
        <v>40</v>
      </c>
      <c r="C16" s="37" t="s">
        <v>595</v>
      </c>
      <c r="D16" s="37">
        <v>16</v>
      </c>
      <c r="E16" s="30" t="s">
        <v>363</v>
      </c>
      <c r="F16" s="37">
        <v>2</v>
      </c>
      <c r="G16" s="32" t="s">
        <v>190</v>
      </c>
      <c r="H16" s="37">
        <v>4</v>
      </c>
      <c r="I16" s="37"/>
      <c r="J16" s="37"/>
      <c r="K16" s="23">
        <f t="shared" si="0"/>
        <v>2.1176470588235294</v>
      </c>
      <c r="L16" s="23">
        <f t="shared" si="1"/>
        <v>33.882352941176471</v>
      </c>
      <c r="M16" s="23">
        <f t="shared" si="2"/>
        <v>6.4285714285714288</v>
      </c>
      <c r="N16" s="23">
        <f t="shared" si="3"/>
        <v>12.857142857142858</v>
      </c>
      <c r="O16" s="23">
        <f t="shared" si="4"/>
        <v>13</v>
      </c>
      <c r="P16" s="23">
        <f t="shared" si="5"/>
        <v>52</v>
      </c>
      <c r="Q16" s="23" t="str">
        <f t="shared" si="6"/>
        <v/>
      </c>
      <c r="R16" s="23" t="str">
        <f t="shared" si="7"/>
        <v/>
      </c>
      <c r="S16" s="108">
        <f t="shared" si="14"/>
        <v>8</v>
      </c>
      <c r="T16" s="28">
        <f t="shared" si="9"/>
        <v>106.73949579831933</v>
      </c>
      <c r="U16" s="28">
        <f t="shared" si="10"/>
        <v>112.0764705882353</v>
      </c>
      <c r="V16" s="28">
        <f t="shared" si="11"/>
        <v>2.8019117647058822</v>
      </c>
      <c r="W16" s="28">
        <f t="shared" si="12"/>
        <v>0.55000000000000004</v>
      </c>
      <c r="X16" s="63">
        <f t="shared" si="13"/>
        <v>3.1</v>
      </c>
    </row>
    <row r="17" spans="1:24">
      <c r="A17" s="18" t="s">
        <v>2540</v>
      </c>
      <c r="B17" s="37">
        <v>50</v>
      </c>
      <c r="C17" s="37" t="s">
        <v>596</v>
      </c>
      <c r="D17" s="37">
        <v>30</v>
      </c>
      <c r="E17" s="37" t="s">
        <v>319</v>
      </c>
      <c r="F17" s="37">
        <v>20</v>
      </c>
      <c r="G17" s="37"/>
      <c r="H17" s="37"/>
      <c r="I17" s="37"/>
      <c r="J17" s="37"/>
      <c r="K17" s="23">
        <f t="shared" si="0"/>
        <v>1.2941176470588236</v>
      </c>
      <c r="L17" s="23">
        <f t="shared" si="1"/>
        <v>38.82352941176471</v>
      </c>
      <c r="M17" s="23">
        <f t="shared" si="2"/>
        <v>3.5714285714285716</v>
      </c>
      <c r="N17" s="23">
        <f t="shared" si="3"/>
        <v>71.428571428571431</v>
      </c>
      <c r="O17" s="23" t="str">
        <f t="shared" si="4"/>
        <v/>
      </c>
      <c r="P17" s="23" t="str">
        <f t="shared" si="5"/>
        <v/>
      </c>
      <c r="Q17" s="23" t="str">
        <f t="shared" si="6"/>
        <v/>
      </c>
      <c r="R17" s="23" t="str">
        <f t="shared" si="7"/>
        <v/>
      </c>
      <c r="S17" s="108">
        <f t="shared" si="14"/>
        <v>10</v>
      </c>
      <c r="T17" s="28">
        <f t="shared" si="9"/>
        <v>120.25210084033614</v>
      </c>
      <c r="U17" s="28">
        <f t="shared" si="10"/>
        <v>126.26470588235296</v>
      </c>
      <c r="V17" s="28">
        <f t="shared" si="11"/>
        <v>2.5252941176470589</v>
      </c>
      <c r="W17" s="28">
        <f t="shared" si="12"/>
        <v>1</v>
      </c>
      <c r="X17" s="63">
        <f t="shared" si="13"/>
        <v>2.8</v>
      </c>
    </row>
    <row r="18" spans="1:24">
      <c r="A18" s="37" t="s">
        <v>589</v>
      </c>
      <c r="B18" s="37">
        <v>40</v>
      </c>
      <c r="C18" s="31" t="s">
        <v>2329</v>
      </c>
      <c r="D18" s="37">
        <v>20</v>
      </c>
      <c r="E18" s="32" t="s">
        <v>190</v>
      </c>
      <c r="F18" s="37">
        <v>4</v>
      </c>
      <c r="G18" s="37" t="s">
        <v>583</v>
      </c>
      <c r="H18" s="37">
        <v>2</v>
      </c>
      <c r="I18" s="37"/>
      <c r="J18" s="37"/>
      <c r="K18" s="23">
        <f t="shared" si="0"/>
        <v>2.5333333333333332</v>
      </c>
      <c r="L18" s="23">
        <f t="shared" si="1"/>
        <v>50.666666666666664</v>
      </c>
      <c r="M18" s="23">
        <f t="shared" si="2"/>
        <v>13</v>
      </c>
      <c r="N18" s="23">
        <f t="shared" si="3"/>
        <v>52</v>
      </c>
      <c r="O18" s="23">
        <f t="shared" si="4"/>
        <v>2.1176470588235294</v>
      </c>
      <c r="P18" s="23">
        <f t="shared" si="5"/>
        <v>4.2352941176470589</v>
      </c>
      <c r="Q18" s="23" t="str">
        <f t="shared" si="6"/>
        <v/>
      </c>
      <c r="R18" s="23" t="str">
        <f t="shared" si="7"/>
        <v/>
      </c>
      <c r="S18" s="108">
        <f t="shared" si="14"/>
        <v>8</v>
      </c>
      <c r="T18" s="28">
        <f t="shared" si="9"/>
        <v>114.90196078431372</v>
      </c>
      <c r="U18" s="28">
        <f t="shared" si="10"/>
        <v>120.64705882352941</v>
      </c>
      <c r="V18" s="28">
        <f t="shared" si="11"/>
        <v>3.0161764705882352</v>
      </c>
      <c r="W18" s="28">
        <f t="shared" si="12"/>
        <v>0.65</v>
      </c>
      <c r="X18" s="63">
        <f t="shared" si="13"/>
        <v>3.3</v>
      </c>
    </row>
    <row r="19" spans="1:24">
      <c r="A19" s="37" t="s">
        <v>590</v>
      </c>
      <c r="B19" s="37">
        <v>50</v>
      </c>
      <c r="C19" s="37" t="s">
        <v>597</v>
      </c>
      <c r="D19" s="37">
        <v>30</v>
      </c>
      <c r="E19" s="37" t="s">
        <v>596</v>
      </c>
      <c r="F19" s="37">
        <v>5</v>
      </c>
      <c r="G19" s="37"/>
      <c r="H19" s="37"/>
      <c r="I19" s="37"/>
      <c r="J19" s="37"/>
      <c r="K19" s="23">
        <f t="shared" si="0"/>
        <v>1.2941176470588236</v>
      </c>
      <c r="L19" s="23">
        <f t="shared" si="1"/>
        <v>38.82352941176471</v>
      </c>
      <c r="M19" s="23">
        <f t="shared" si="2"/>
        <v>1.2941176470588236</v>
      </c>
      <c r="N19" s="23">
        <f t="shared" si="3"/>
        <v>6.4705882352941178</v>
      </c>
      <c r="O19" s="23" t="str">
        <f t="shared" si="4"/>
        <v/>
      </c>
      <c r="P19" s="23" t="str">
        <f t="shared" si="5"/>
        <v/>
      </c>
      <c r="Q19" s="23" t="str">
        <f t="shared" si="6"/>
        <v/>
      </c>
      <c r="R19" s="23" t="str">
        <f t="shared" si="7"/>
        <v/>
      </c>
      <c r="S19" s="108">
        <f t="shared" si="14"/>
        <v>10</v>
      </c>
      <c r="T19" s="28">
        <f t="shared" si="9"/>
        <v>55.294117647058826</v>
      </c>
      <c r="U19" s="28">
        <f t="shared" si="10"/>
        <v>58.058823529411768</v>
      </c>
      <c r="V19" s="28">
        <f t="shared" si="11"/>
        <v>1.1611764705882353</v>
      </c>
      <c r="W19" s="28">
        <f t="shared" si="12"/>
        <v>0.7</v>
      </c>
      <c r="X19" s="63">
        <f t="shared" si="13"/>
        <v>1.3</v>
      </c>
    </row>
    <row r="20" spans="1:24">
      <c r="A20" s="37" t="s">
        <v>591</v>
      </c>
      <c r="B20" s="37">
        <v>60</v>
      </c>
      <c r="C20" s="9" t="s">
        <v>2800</v>
      </c>
      <c r="D20" s="37">
        <v>36</v>
      </c>
      <c r="E20" s="37" t="s">
        <v>602</v>
      </c>
      <c r="F20" s="37">
        <v>6</v>
      </c>
      <c r="G20" s="37"/>
      <c r="H20" s="37"/>
      <c r="I20" s="37"/>
      <c r="J20" s="37"/>
      <c r="K20" s="23">
        <f t="shared" si="0"/>
        <v>1.6235294117647059</v>
      </c>
      <c r="L20" s="23">
        <f t="shared" si="1"/>
        <v>58.44705882352941</v>
      </c>
      <c r="M20" s="23">
        <f t="shared" si="2"/>
        <v>1.6470588235294117</v>
      </c>
      <c r="N20" s="23">
        <f t="shared" si="3"/>
        <v>9.882352941176471</v>
      </c>
      <c r="O20" s="23" t="str">
        <f t="shared" si="4"/>
        <v/>
      </c>
      <c r="P20" s="23" t="str">
        <f t="shared" si="5"/>
        <v/>
      </c>
      <c r="Q20" s="23" t="str">
        <f t="shared" si="6"/>
        <v/>
      </c>
      <c r="R20" s="23" t="str">
        <f t="shared" si="7"/>
        <v/>
      </c>
      <c r="S20" s="108">
        <f>B20*0.4</f>
        <v>24</v>
      </c>
      <c r="T20" s="28">
        <f t="shared" si="9"/>
        <v>92.329411764705881</v>
      </c>
      <c r="U20" s="28">
        <f t="shared" si="10"/>
        <v>96.945882352941183</v>
      </c>
      <c r="V20" s="28">
        <f t="shared" si="11"/>
        <v>1.615764705882353</v>
      </c>
      <c r="W20" s="28">
        <f t="shared" si="12"/>
        <v>0.7</v>
      </c>
      <c r="X20" s="63">
        <f t="shared" si="13"/>
        <v>1.8</v>
      </c>
    </row>
    <row r="21" spans="1:24">
      <c r="A21" s="37" t="s">
        <v>592</v>
      </c>
      <c r="B21" s="37">
        <v>40</v>
      </c>
      <c r="C21" s="37" t="s">
        <v>598</v>
      </c>
      <c r="D21" s="37">
        <v>24</v>
      </c>
      <c r="E21" s="37"/>
      <c r="F21" s="37"/>
      <c r="G21" s="37"/>
      <c r="H21" s="37"/>
      <c r="I21" s="37"/>
      <c r="J21" s="37"/>
      <c r="K21" s="23">
        <f t="shared" si="0"/>
        <v>0.88235294117647056</v>
      </c>
      <c r="L21" s="23">
        <f t="shared" si="1"/>
        <v>21.176470588235293</v>
      </c>
      <c r="M21" s="23" t="str">
        <f t="shared" si="2"/>
        <v/>
      </c>
      <c r="N21" s="23" t="str">
        <f t="shared" si="3"/>
        <v/>
      </c>
      <c r="O21" s="23" t="str">
        <f t="shared" si="4"/>
        <v/>
      </c>
      <c r="P21" s="23" t="str">
        <f t="shared" si="5"/>
        <v/>
      </c>
      <c r="Q21" s="23" t="str">
        <f t="shared" si="6"/>
        <v/>
      </c>
      <c r="R21" s="23" t="str">
        <f t="shared" si="7"/>
        <v/>
      </c>
      <c r="S21" s="108">
        <f t="shared" si="14"/>
        <v>8</v>
      </c>
      <c r="T21" s="28">
        <f t="shared" si="9"/>
        <v>29.176470588235293</v>
      </c>
      <c r="U21" s="28">
        <f t="shared" si="10"/>
        <v>30.63529411764706</v>
      </c>
      <c r="V21" s="28">
        <f t="shared" si="11"/>
        <v>0.76588235294117646</v>
      </c>
      <c r="W21" s="28">
        <f t="shared" si="12"/>
        <v>0.6</v>
      </c>
      <c r="X21" s="63">
        <f t="shared" si="13"/>
        <v>0.8</v>
      </c>
    </row>
    <row r="22" spans="1:24">
      <c r="A22" s="37" t="s">
        <v>593</v>
      </c>
      <c r="B22" s="37">
        <v>30</v>
      </c>
      <c r="C22" s="37" t="s">
        <v>599</v>
      </c>
      <c r="D22" s="37">
        <v>30</v>
      </c>
      <c r="E22" s="37"/>
      <c r="F22" s="37"/>
      <c r="G22" s="37"/>
      <c r="H22" s="37"/>
      <c r="I22" s="37"/>
      <c r="J22" s="37"/>
      <c r="K22" s="23">
        <f t="shared" si="0"/>
        <v>0.94117647058823539</v>
      </c>
      <c r="L22" s="23">
        <f t="shared" si="1"/>
        <v>28.235294117647062</v>
      </c>
      <c r="M22" s="23" t="str">
        <f t="shared" si="2"/>
        <v/>
      </c>
      <c r="N22" s="23" t="str">
        <f t="shared" si="3"/>
        <v/>
      </c>
      <c r="O22" s="23" t="str">
        <f t="shared" si="4"/>
        <v/>
      </c>
      <c r="P22" s="23" t="str">
        <f t="shared" si="5"/>
        <v/>
      </c>
      <c r="Q22" s="23" t="str">
        <f t="shared" si="6"/>
        <v/>
      </c>
      <c r="R22" s="23" t="str">
        <f t="shared" si="7"/>
        <v/>
      </c>
      <c r="S22" s="108">
        <f t="shared" si="14"/>
        <v>6</v>
      </c>
      <c r="T22" s="28">
        <f t="shared" si="9"/>
        <v>34.235294117647058</v>
      </c>
      <c r="U22" s="28">
        <f t="shared" si="10"/>
        <v>35.94705882352941</v>
      </c>
      <c r="V22" s="28">
        <f t="shared" si="11"/>
        <v>1.1982352941176471</v>
      </c>
      <c r="W22" s="28">
        <f t="shared" si="12"/>
        <v>1</v>
      </c>
      <c r="X22" s="63">
        <f t="shared" si="13"/>
        <v>1.3</v>
      </c>
    </row>
    <row r="23" spans="1:24">
      <c r="A23" s="26"/>
      <c r="B23" s="27"/>
      <c r="C23" s="27"/>
      <c r="D23" s="27"/>
      <c r="E23" s="27"/>
      <c r="F23" s="27"/>
      <c r="G23" s="27"/>
      <c r="H23" s="27"/>
      <c r="I23" s="27"/>
      <c r="J23" s="27"/>
      <c r="K23" s="23" t="str">
        <f t="shared" si="0"/>
        <v/>
      </c>
      <c r="L23" s="23" t="str">
        <f t="shared" si="1"/>
        <v/>
      </c>
      <c r="M23" s="23" t="str">
        <f t="shared" si="2"/>
        <v/>
      </c>
      <c r="N23" s="23" t="str">
        <f t="shared" si="3"/>
        <v/>
      </c>
      <c r="O23" s="23" t="str">
        <f t="shared" si="4"/>
        <v/>
      </c>
      <c r="P23" s="23" t="str">
        <f t="shared" si="5"/>
        <v/>
      </c>
      <c r="Q23" s="23" t="str">
        <f t="shared" si="6"/>
        <v/>
      </c>
      <c r="R23" s="23" t="str">
        <f t="shared" si="7"/>
        <v/>
      </c>
      <c r="S23" s="108">
        <f t="shared" si="14"/>
        <v>0</v>
      </c>
      <c r="T23" s="28">
        <f t="shared" si="9"/>
        <v>0</v>
      </c>
      <c r="U23" s="36">
        <f t="shared" si="10"/>
        <v>0</v>
      </c>
      <c r="V23" s="36" t="e">
        <f t="shared" si="11"/>
        <v>#DIV/0!</v>
      </c>
      <c r="W23" s="36" t="e">
        <f t="shared" si="12"/>
        <v>#DIV/0!</v>
      </c>
      <c r="X23" s="63" t="e">
        <f t="shared" si="13"/>
        <v>#DIV/0!</v>
      </c>
    </row>
    <row r="24" spans="1:24">
      <c r="A24" s="18" t="s">
        <v>605</v>
      </c>
      <c r="B24" s="18">
        <v>40</v>
      </c>
      <c r="C24" s="32" t="s">
        <v>2806</v>
      </c>
      <c r="D24" s="18">
        <v>12</v>
      </c>
      <c r="E24" s="18" t="s">
        <v>618</v>
      </c>
      <c r="F24" s="18">
        <v>10</v>
      </c>
      <c r="G24" s="47" t="s">
        <v>2330</v>
      </c>
      <c r="H24" s="18">
        <v>5</v>
      </c>
      <c r="I24" s="18"/>
      <c r="J24" s="18"/>
      <c r="K24" s="23">
        <f t="shared" si="0"/>
        <v>14.000000000000002</v>
      </c>
      <c r="L24" s="23">
        <f t="shared" si="1"/>
        <v>168.00000000000003</v>
      </c>
      <c r="M24" s="23">
        <f t="shared" si="2"/>
        <v>2.5882352941176472</v>
      </c>
      <c r="N24" s="23">
        <f t="shared" si="3"/>
        <v>25.882352941176471</v>
      </c>
      <c r="O24" s="22">
        <f t="shared" si="4"/>
        <v>2.5</v>
      </c>
      <c r="P24" s="23">
        <f t="shared" si="5"/>
        <v>12.5</v>
      </c>
      <c r="Q24" s="23" t="str">
        <f t="shared" si="6"/>
        <v/>
      </c>
      <c r="R24" s="23" t="str">
        <f t="shared" si="7"/>
        <v/>
      </c>
      <c r="S24" s="108">
        <f>B24*0.3</f>
        <v>12</v>
      </c>
      <c r="T24" s="28">
        <f t="shared" si="9"/>
        <v>218.38235294117649</v>
      </c>
      <c r="U24" s="28">
        <f t="shared" si="10"/>
        <v>229.30147058823533</v>
      </c>
      <c r="V24" s="28">
        <f t="shared" si="11"/>
        <v>5.7325367647058831</v>
      </c>
      <c r="W24" s="28">
        <f t="shared" si="12"/>
        <v>0.67500000000000004</v>
      </c>
      <c r="X24" s="63">
        <f t="shared" si="13"/>
        <v>6.3</v>
      </c>
    </row>
    <row r="25" spans="1:24">
      <c r="A25" s="18" t="s">
        <v>606</v>
      </c>
      <c r="B25" s="18">
        <v>50</v>
      </c>
      <c r="C25" s="32" t="s">
        <v>278</v>
      </c>
      <c r="D25" s="18">
        <v>30</v>
      </c>
      <c r="E25" s="18"/>
      <c r="F25" s="18"/>
      <c r="G25" s="18"/>
      <c r="H25" s="18"/>
      <c r="I25" s="18"/>
      <c r="J25" s="18"/>
      <c r="K25" s="23" t="e">
        <f t="shared" si="0"/>
        <v>#N/A</v>
      </c>
      <c r="L25" s="23" t="str">
        <f t="shared" si="1"/>
        <v/>
      </c>
      <c r="M25" s="23" t="str">
        <f t="shared" si="2"/>
        <v/>
      </c>
      <c r="N25" s="23" t="str">
        <f t="shared" si="3"/>
        <v/>
      </c>
      <c r="O25" s="23" t="str">
        <f t="shared" si="4"/>
        <v/>
      </c>
      <c r="P25" s="23" t="str">
        <f t="shared" si="5"/>
        <v/>
      </c>
      <c r="Q25" s="23" t="str">
        <f t="shared" si="6"/>
        <v/>
      </c>
      <c r="R25" s="23" t="str">
        <f t="shared" si="7"/>
        <v/>
      </c>
      <c r="S25" s="108">
        <f t="shared" ref="S25:S31" si="15">B25*0.2</f>
        <v>10</v>
      </c>
      <c r="T25" s="28">
        <f t="shared" si="9"/>
        <v>10</v>
      </c>
      <c r="U25" s="28">
        <f t="shared" si="10"/>
        <v>10.5</v>
      </c>
      <c r="V25" s="28">
        <f t="shared" si="11"/>
        <v>0.21</v>
      </c>
      <c r="W25" s="28">
        <f t="shared" si="12"/>
        <v>0.6</v>
      </c>
      <c r="X25" s="63">
        <f t="shared" si="13"/>
        <v>0.2</v>
      </c>
    </row>
    <row r="26" spans="1:24" ht="28.5">
      <c r="A26" s="18" t="s">
        <v>607</v>
      </c>
      <c r="B26" s="18">
        <v>30</v>
      </c>
      <c r="C26" s="18" t="s">
        <v>613</v>
      </c>
      <c r="D26" s="18">
        <v>12</v>
      </c>
      <c r="E26" s="47" t="s">
        <v>619</v>
      </c>
      <c r="F26" s="18">
        <v>3.2</v>
      </c>
      <c r="G26" s="18" t="s">
        <v>621</v>
      </c>
      <c r="H26" s="18">
        <v>2</v>
      </c>
      <c r="I26" s="47" t="s">
        <v>624</v>
      </c>
      <c r="J26" s="18">
        <v>3</v>
      </c>
      <c r="K26" s="23">
        <f t="shared" si="0"/>
        <v>10.857142857142858</v>
      </c>
      <c r="L26" s="23">
        <f t="shared" si="1"/>
        <v>130.28571428571428</v>
      </c>
      <c r="M26" s="22" t="e">
        <f t="shared" si="2"/>
        <v>#N/A</v>
      </c>
      <c r="N26" s="23" t="str">
        <f t="shared" si="3"/>
        <v/>
      </c>
      <c r="O26" s="23">
        <f t="shared" si="4"/>
        <v>6.4285714285714288</v>
      </c>
      <c r="P26" s="23">
        <f t="shared" si="5"/>
        <v>12.857142857142858</v>
      </c>
      <c r="Q26" s="22" t="e">
        <f t="shared" si="6"/>
        <v>#N/A</v>
      </c>
      <c r="R26" s="23" t="str">
        <f t="shared" si="7"/>
        <v/>
      </c>
      <c r="S26" s="108">
        <f t="shared" si="15"/>
        <v>6</v>
      </c>
      <c r="T26" s="28">
        <f t="shared" si="9"/>
        <v>149.14285714285714</v>
      </c>
      <c r="U26" s="28">
        <f t="shared" si="10"/>
        <v>156.6</v>
      </c>
      <c r="V26" s="28">
        <f t="shared" si="11"/>
        <v>5.22</v>
      </c>
      <c r="W26" s="28">
        <f t="shared" si="12"/>
        <v>0.67333333333333334</v>
      </c>
      <c r="X26" s="63">
        <f t="shared" si="13"/>
        <v>5.7</v>
      </c>
    </row>
    <row r="27" spans="1:24">
      <c r="A27" s="18" t="s">
        <v>608</v>
      </c>
      <c r="B27" s="18">
        <v>50</v>
      </c>
      <c r="C27" s="18" t="s">
        <v>614</v>
      </c>
      <c r="D27" s="18">
        <v>5</v>
      </c>
      <c r="E27" s="18" t="s">
        <v>319</v>
      </c>
      <c r="F27" s="18">
        <v>10</v>
      </c>
      <c r="G27" s="18" t="s">
        <v>622</v>
      </c>
      <c r="H27" s="18">
        <v>10</v>
      </c>
      <c r="I27" s="18" t="s">
        <v>1009</v>
      </c>
      <c r="J27" s="18">
        <v>0.5</v>
      </c>
      <c r="K27" s="23">
        <f t="shared" si="0"/>
        <v>15.428571428571431</v>
      </c>
      <c r="L27" s="23">
        <f t="shared" si="1"/>
        <v>77.142857142857153</v>
      </c>
      <c r="M27" s="23">
        <f t="shared" si="2"/>
        <v>3.5714285714285716</v>
      </c>
      <c r="N27" s="23">
        <f t="shared" si="3"/>
        <v>35.714285714285715</v>
      </c>
      <c r="O27" s="23">
        <f t="shared" si="4"/>
        <v>1.1176470588235294</v>
      </c>
      <c r="P27" s="23">
        <f t="shared" si="5"/>
        <v>11.176470588235293</v>
      </c>
      <c r="Q27" s="22">
        <f t="shared" si="6"/>
        <v>61.428571428571431</v>
      </c>
      <c r="R27" s="23">
        <f t="shared" si="7"/>
        <v>30.714285714285715</v>
      </c>
      <c r="S27" s="108">
        <f t="shared" si="15"/>
        <v>10</v>
      </c>
      <c r="T27" s="28">
        <f t="shared" si="9"/>
        <v>164.74789915966386</v>
      </c>
      <c r="U27" s="28">
        <f t="shared" si="10"/>
        <v>172.98529411764707</v>
      </c>
      <c r="V27" s="28">
        <f t="shared" si="11"/>
        <v>3.4597058823529414</v>
      </c>
      <c r="W27" s="28">
        <f t="shared" si="12"/>
        <v>0.51</v>
      </c>
      <c r="X27" s="63">
        <f t="shared" si="13"/>
        <v>3.8</v>
      </c>
    </row>
    <row r="28" spans="1:24">
      <c r="A28" s="18" t="s">
        <v>609</v>
      </c>
      <c r="B28" s="18">
        <v>50</v>
      </c>
      <c r="C28" s="18" t="s">
        <v>615</v>
      </c>
      <c r="D28" s="18">
        <v>25</v>
      </c>
      <c r="E28" s="26" t="s">
        <v>392</v>
      </c>
      <c r="F28" s="18">
        <v>0.5</v>
      </c>
      <c r="G28" s="18" t="s">
        <v>623</v>
      </c>
      <c r="H28" s="18">
        <v>1</v>
      </c>
      <c r="I28" s="18"/>
      <c r="J28" s="18"/>
      <c r="K28" s="23">
        <f t="shared" si="0"/>
        <v>1.1764705882352942</v>
      </c>
      <c r="L28" s="23">
        <f t="shared" si="1"/>
        <v>29.411764705882355</v>
      </c>
      <c r="M28" s="23">
        <f t="shared" si="2"/>
        <v>61.428571428571431</v>
      </c>
      <c r="N28" s="23">
        <f t="shared" si="3"/>
        <v>30.714285714285715</v>
      </c>
      <c r="O28" s="23">
        <f t="shared" si="4"/>
        <v>9.4117647058823533</v>
      </c>
      <c r="P28" s="23">
        <f t="shared" si="5"/>
        <v>9.4117647058823533</v>
      </c>
      <c r="Q28" s="23" t="str">
        <f t="shared" si="6"/>
        <v/>
      </c>
      <c r="R28" s="23" t="str">
        <f t="shared" si="7"/>
        <v/>
      </c>
      <c r="S28" s="108">
        <f t="shared" si="15"/>
        <v>10</v>
      </c>
      <c r="T28" s="28">
        <f t="shared" si="9"/>
        <v>79.537815126050418</v>
      </c>
      <c r="U28" s="28">
        <f t="shared" si="10"/>
        <v>83.514705882352942</v>
      </c>
      <c r="V28" s="28">
        <f t="shared" si="11"/>
        <v>1.6702941176470589</v>
      </c>
      <c r="W28" s="28">
        <f t="shared" si="12"/>
        <v>0.53</v>
      </c>
      <c r="X28" s="63">
        <f t="shared" si="13"/>
        <v>1.8</v>
      </c>
    </row>
    <row r="29" spans="1:24" ht="15">
      <c r="A29" s="18" t="s">
        <v>610</v>
      </c>
      <c r="B29" s="18">
        <v>50</v>
      </c>
      <c r="C29" s="26" t="s">
        <v>385</v>
      </c>
      <c r="D29" s="18">
        <v>20</v>
      </c>
      <c r="E29" s="31" t="s">
        <v>2329</v>
      </c>
      <c r="F29" s="18">
        <v>10</v>
      </c>
      <c r="G29" s="30" t="s">
        <v>363</v>
      </c>
      <c r="H29" s="18">
        <v>2</v>
      </c>
      <c r="I29" s="18"/>
      <c r="J29" s="18"/>
      <c r="K29" s="23">
        <f t="shared" si="0"/>
        <v>0.94117647058823539</v>
      </c>
      <c r="L29" s="23">
        <f t="shared" si="1"/>
        <v>18.823529411764707</v>
      </c>
      <c r="M29" s="23">
        <f t="shared" si="2"/>
        <v>2.5333333333333332</v>
      </c>
      <c r="N29" s="23">
        <f t="shared" si="3"/>
        <v>25.333333333333332</v>
      </c>
      <c r="O29" s="23">
        <f t="shared" si="4"/>
        <v>6.4285714285714288</v>
      </c>
      <c r="P29" s="23">
        <f t="shared" si="5"/>
        <v>12.857142857142858</v>
      </c>
      <c r="Q29" s="23" t="str">
        <f t="shared" si="6"/>
        <v/>
      </c>
      <c r="R29" s="23" t="str">
        <f t="shared" si="7"/>
        <v/>
      </c>
      <c r="S29" s="108">
        <f t="shared" si="15"/>
        <v>10</v>
      </c>
      <c r="T29" s="28">
        <f t="shared" si="9"/>
        <v>67.0140056022409</v>
      </c>
      <c r="U29" s="28">
        <f t="shared" si="10"/>
        <v>70.364705882352951</v>
      </c>
      <c r="V29" s="28">
        <f t="shared" si="11"/>
        <v>1.407294117647059</v>
      </c>
      <c r="W29" s="28">
        <f t="shared" si="12"/>
        <v>0.64000000000000012</v>
      </c>
      <c r="X29" s="63">
        <f t="shared" si="13"/>
        <v>1.5</v>
      </c>
    </row>
    <row r="30" spans="1:24">
      <c r="A30" s="18" t="s">
        <v>611</v>
      </c>
      <c r="B30" s="18">
        <v>40</v>
      </c>
      <c r="C30" s="18" t="s">
        <v>616</v>
      </c>
      <c r="D30" s="18">
        <v>24</v>
      </c>
      <c r="E30" s="18"/>
      <c r="F30" s="18"/>
      <c r="G30" s="18"/>
      <c r="H30" s="18"/>
      <c r="I30" s="18"/>
      <c r="J30" s="18"/>
      <c r="K30" s="23">
        <f t="shared" si="0"/>
        <v>2.2941176470588234</v>
      </c>
      <c r="L30" s="23">
        <f t="shared" si="1"/>
        <v>55.058823529411761</v>
      </c>
      <c r="M30" s="23" t="str">
        <f t="shared" si="2"/>
        <v/>
      </c>
      <c r="N30" s="23" t="str">
        <f t="shared" si="3"/>
        <v/>
      </c>
      <c r="O30" s="23" t="str">
        <f t="shared" si="4"/>
        <v/>
      </c>
      <c r="P30" s="23" t="str">
        <f t="shared" si="5"/>
        <v/>
      </c>
      <c r="Q30" s="23" t="str">
        <f t="shared" si="6"/>
        <v/>
      </c>
      <c r="R30" s="23" t="str">
        <f t="shared" si="7"/>
        <v/>
      </c>
      <c r="S30" s="108">
        <f t="shared" si="15"/>
        <v>8</v>
      </c>
      <c r="T30" s="28">
        <f t="shared" si="9"/>
        <v>63.058823529411761</v>
      </c>
      <c r="U30" s="28">
        <f t="shared" si="10"/>
        <v>66.211764705882345</v>
      </c>
      <c r="V30" s="28">
        <f t="shared" si="11"/>
        <v>1.6552941176470586</v>
      </c>
      <c r="W30" s="28">
        <f t="shared" si="12"/>
        <v>0.6</v>
      </c>
      <c r="X30" s="63">
        <f t="shared" si="13"/>
        <v>1.8</v>
      </c>
    </row>
    <row r="31" spans="1:24">
      <c r="A31" s="18" t="s">
        <v>612</v>
      </c>
      <c r="B31" s="18">
        <v>20</v>
      </c>
      <c r="C31" s="18" t="s">
        <v>617</v>
      </c>
      <c r="D31" s="18">
        <v>14</v>
      </c>
      <c r="E31" s="18" t="s">
        <v>620</v>
      </c>
      <c r="F31" s="18">
        <v>0.2</v>
      </c>
      <c r="G31" s="18"/>
      <c r="H31" s="18"/>
      <c r="I31" s="18"/>
      <c r="J31" s="18"/>
      <c r="K31" s="23">
        <f t="shared" si="0"/>
        <v>1</v>
      </c>
      <c r="L31" s="23">
        <f t="shared" si="1"/>
        <v>14</v>
      </c>
      <c r="M31" s="23">
        <f t="shared" si="2"/>
        <v>14.285714285714286</v>
      </c>
      <c r="N31" s="23">
        <f t="shared" si="3"/>
        <v>2.8571428571428577</v>
      </c>
      <c r="O31" s="23" t="str">
        <f t="shared" si="4"/>
        <v/>
      </c>
      <c r="P31" s="23" t="str">
        <f t="shared" si="5"/>
        <v/>
      </c>
      <c r="Q31" s="23" t="str">
        <f t="shared" si="6"/>
        <v/>
      </c>
      <c r="R31" s="23" t="str">
        <f t="shared" si="7"/>
        <v/>
      </c>
      <c r="S31" s="108">
        <f t="shared" si="15"/>
        <v>4</v>
      </c>
      <c r="T31" s="28">
        <f t="shared" si="9"/>
        <v>20.857142857142858</v>
      </c>
      <c r="U31" s="28">
        <f t="shared" si="10"/>
        <v>21.900000000000002</v>
      </c>
      <c r="V31" s="28">
        <f t="shared" si="11"/>
        <v>1.0950000000000002</v>
      </c>
      <c r="W31" s="28">
        <f t="shared" si="12"/>
        <v>0.71</v>
      </c>
      <c r="X31" s="63">
        <f t="shared" si="13"/>
        <v>1.2</v>
      </c>
    </row>
    <row r="32" spans="1:24">
      <c r="A32" s="89" t="s">
        <v>625</v>
      </c>
      <c r="B32" s="89">
        <v>40</v>
      </c>
      <c r="C32" s="32" t="s">
        <v>278</v>
      </c>
      <c r="D32" s="89">
        <v>24</v>
      </c>
      <c r="E32" s="89"/>
      <c r="F32" s="89"/>
      <c r="G32" s="89"/>
      <c r="H32" s="89"/>
      <c r="I32" s="89"/>
      <c r="J32" s="89"/>
      <c r="K32" s="23" t="e">
        <f t="shared" si="0"/>
        <v>#N/A</v>
      </c>
      <c r="L32" s="23" t="str">
        <f t="shared" si="1"/>
        <v/>
      </c>
      <c r="M32" s="23" t="str">
        <f t="shared" si="2"/>
        <v/>
      </c>
      <c r="N32" s="23" t="str">
        <f t="shared" si="3"/>
        <v/>
      </c>
      <c r="O32" s="23" t="str">
        <f t="shared" si="4"/>
        <v/>
      </c>
      <c r="P32" s="23" t="str">
        <f t="shared" si="5"/>
        <v/>
      </c>
      <c r="Q32" s="23" t="str">
        <f t="shared" si="6"/>
        <v/>
      </c>
      <c r="R32" s="23" t="str">
        <f t="shared" si="7"/>
        <v/>
      </c>
      <c r="S32" s="108">
        <f>B32*0.1</f>
        <v>4</v>
      </c>
      <c r="T32" s="28">
        <f t="shared" si="9"/>
        <v>4</v>
      </c>
      <c r="U32" s="28">
        <f t="shared" si="10"/>
        <v>4.2</v>
      </c>
      <c r="V32" s="128">
        <f t="shared" si="11"/>
        <v>0.10500000000000001</v>
      </c>
      <c r="W32" s="128">
        <f t="shared" si="12"/>
        <v>0.6</v>
      </c>
      <c r="X32" s="63">
        <f t="shared" si="13"/>
        <v>0.1</v>
      </c>
    </row>
    <row r="33" spans="1:24" ht="28.5">
      <c r="A33" s="19" t="s">
        <v>626</v>
      </c>
      <c r="B33" s="19">
        <v>70</v>
      </c>
      <c r="C33" s="89" t="s">
        <v>614</v>
      </c>
      <c r="D33" s="19">
        <v>21</v>
      </c>
      <c r="E33" s="19" t="s">
        <v>621</v>
      </c>
      <c r="F33" s="19">
        <v>4</v>
      </c>
      <c r="G33" s="20" t="s">
        <v>641</v>
      </c>
      <c r="H33" s="19">
        <v>3.5</v>
      </c>
      <c r="I33" s="26" t="s">
        <v>392</v>
      </c>
      <c r="J33" s="19">
        <v>0.5</v>
      </c>
      <c r="K33" s="23">
        <f t="shared" si="0"/>
        <v>15.428571428571431</v>
      </c>
      <c r="L33" s="23">
        <f t="shared" si="1"/>
        <v>324.00000000000006</v>
      </c>
      <c r="M33" s="23">
        <f t="shared" si="2"/>
        <v>6.4285714285714288</v>
      </c>
      <c r="N33" s="23">
        <f t="shared" si="3"/>
        <v>25.714285714285715</v>
      </c>
      <c r="O33" s="22" t="e">
        <f t="shared" si="4"/>
        <v>#N/A</v>
      </c>
      <c r="P33" s="23" t="str">
        <f t="shared" si="5"/>
        <v/>
      </c>
      <c r="Q33" s="22">
        <f t="shared" si="6"/>
        <v>61.428571428571431</v>
      </c>
      <c r="R33" s="23">
        <f t="shared" si="7"/>
        <v>30.714285714285715</v>
      </c>
      <c r="S33" s="108">
        <f t="shared" ref="S33:S74" si="16">B33*0.2</f>
        <v>14</v>
      </c>
      <c r="T33" s="28">
        <f t="shared" si="9"/>
        <v>394.4285714285715</v>
      </c>
      <c r="U33" s="28">
        <f t="shared" si="10"/>
        <v>414.15000000000009</v>
      </c>
      <c r="V33" s="28">
        <f t="shared" si="11"/>
        <v>5.9164285714285727</v>
      </c>
      <c r="W33" s="28">
        <f t="shared" si="12"/>
        <v>0.41428571428571426</v>
      </c>
      <c r="X33" s="63">
        <f t="shared" si="13"/>
        <v>6.5</v>
      </c>
    </row>
    <row r="34" spans="1:24">
      <c r="A34" s="19" t="s">
        <v>627</v>
      </c>
      <c r="B34" s="19">
        <v>50</v>
      </c>
      <c r="C34" s="19" t="s">
        <v>634</v>
      </c>
      <c r="D34" s="19">
        <v>30</v>
      </c>
      <c r="E34" s="19" t="s">
        <v>639</v>
      </c>
      <c r="F34" s="19">
        <v>1</v>
      </c>
      <c r="G34" s="89" t="s">
        <v>642</v>
      </c>
      <c r="H34" s="19">
        <v>0.3</v>
      </c>
      <c r="I34" s="89"/>
      <c r="J34" s="19"/>
      <c r="K34" s="23">
        <f t="shared" si="0"/>
        <v>7.2857142857142856</v>
      </c>
      <c r="L34" s="23">
        <f t="shared" si="1"/>
        <v>218.57142857142856</v>
      </c>
      <c r="M34" s="23">
        <f t="shared" si="2"/>
        <v>3.4117647058823528</v>
      </c>
      <c r="N34" s="23">
        <f t="shared" si="3"/>
        <v>3.4117647058823528</v>
      </c>
      <c r="O34" s="127">
        <f t="shared" si="4"/>
        <v>1.2941176470588236</v>
      </c>
      <c r="P34" s="23">
        <f t="shared" si="5"/>
        <v>0.38823529411764707</v>
      </c>
      <c r="Q34" s="127" t="str">
        <f t="shared" si="6"/>
        <v/>
      </c>
      <c r="R34" s="23" t="str">
        <f t="shared" si="7"/>
        <v/>
      </c>
      <c r="S34" s="108">
        <f t="shared" si="16"/>
        <v>10</v>
      </c>
      <c r="T34" s="28">
        <f t="shared" si="9"/>
        <v>232.37142857142854</v>
      </c>
      <c r="U34" s="28">
        <f t="shared" si="10"/>
        <v>243.98999999999998</v>
      </c>
      <c r="V34" s="28">
        <f t="shared" si="11"/>
        <v>4.8797999999999995</v>
      </c>
      <c r="W34" s="28">
        <f t="shared" si="12"/>
        <v>0.626</v>
      </c>
      <c r="X34" s="63">
        <f t="shared" si="13"/>
        <v>5.4</v>
      </c>
    </row>
    <row r="35" spans="1:24">
      <c r="A35" s="19" t="s">
        <v>628</v>
      </c>
      <c r="B35" s="19">
        <v>30</v>
      </c>
      <c r="C35" s="49" t="s">
        <v>207</v>
      </c>
      <c r="D35" s="19">
        <v>12</v>
      </c>
      <c r="E35" s="20" t="s">
        <v>640</v>
      </c>
      <c r="F35" s="19">
        <v>3</v>
      </c>
      <c r="G35" s="19"/>
      <c r="H35" s="19"/>
      <c r="I35" s="19"/>
      <c r="J35" s="19"/>
      <c r="K35" s="23">
        <f t="shared" ref="K35:K66" si="17">IF(C35="","",VLOOKUP(C35,成本单价,8,0))</f>
        <v>14.428571428571429</v>
      </c>
      <c r="L35" s="23">
        <f t="shared" ref="L35:L66" si="18">IFERROR(D35*K35,"")</f>
        <v>173.14285714285714</v>
      </c>
      <c r="M35" s="22">
        <f t="shared" ref="M35:M66" si="19">IF(E35="","",VLOOKUP(E35,成本单价,8,0))</f>
        <v>9.3000000000000007</v>
      </c>
      <c r="N35" s="23">
        <f t="shared" ref="N35:N66" si="20">IFERROR(F35*M35,"")</f>
        <v>27.900000000000002</v>
      </c>
      <c r="O35" s="23" t="str">
        <f t="shared" ref="O35:O66" si="21">IF(G35="","",VLOOKUP(G35,成本单价,8,0))</f>
        <v/>
      </c>
      <c r="P35" s="23" t="str">
        <f t="shared" ref="P35:P66" si="22">IFERROR(H35*O35,"")</f>
        <v/>
      </c>
      <c r="Q35" s="23" t="str">
        <f t="shared" ref="Q35:Q66" si="23">IF(I35="","",VLOOKUP(I35,成本单价,8,0))</f>
        <v/>
      </c>
      <c r="R35" s="23" t="str">
        <f t="shared" ref="R35:R66" si="24">IFERROR(J35*Q35,"")</f>
        <v/>
      </c>
      <c r="S35" s="108">
        <f t="shared" si="16"/>
        <v>6</v>
      </c>
      <c r="T35" s="28">
        <f t="shared" ref="T35:T66" si="25">IFERROR(SUM(L35,N35,P35,R35,S35),"")</f>
        <v>207.04285714285714</v>
      </c>
      <c r="U35" s="28">
        <f t="shared" ref="U35:U66" si="26">T35*(1+物料比)</f>
        <v>217.39500000000001</v>
      </c>
      <c r="V35" s="28">
        <f t="shared" ref="V35:V66" si="27">U35/B35</f>
        <v>7.2465000000000002</v>
      </c>
      <c r="W35" s="28">
        <f t="shared" ref="W35:W66" si="28">D35/B35+F35/B35+H35/B35+J35/B35</f>
        <v>0.5</v>
      </c>
      <c r="X35" s="63">
        <f t="shared" ref="X35:X66" si="29">ROUND(V35*(1+大灶毛利),1)</f>
        <v>8</v>
      </c>
    </row>
    <row r="36" spans="1:24">
      <c r="A36" s="19" t="s">
        <v>629</v>
      </c>
      <c r="B36" s="19">
        <v>30</v>
      </c>
      <c r="C36" s="89" t="s">
        <v>635</v>
      </c>
      <c r="D36" s="19">
        <v>12</v>
      </c>
      <c r="E36" s="26" t="s">
        <v>392</v>
      </c>
      <c r="F36" s="19">
        <v>0.5</v>
      </c>
      <c r="G36" s="32" t="s">
        <v>190</v>
      </c>
      <c r="H36" s="19">
        <v>3</v>
      </c>
      <c r="I36" s="19"/>
      <c r="J36" s="19"/>
      <c r="K36" s="23">
        <f t="shared" si="17"/>
        <v>1.8823529411764708</v>
      </c>
      <c r="L36" s="23">
        <f t="shared" si="18"/>
        <v>22.588235294117649</v>
      </c>
      <c r="M36" s="127">
        <f t="shared" si="19"/>
        <v>61.428571428571431</v>
      </c>
      <c r="N36" s="23">
        <f t="shared" si="20"/>
        <v>30.714285714285715</v>
      </c>
      <c r="O36" s="23">
        <f t="shared" si="21"/>
        <v>13</v>
      </c>
      <c r="P36" s="23">
        <f t="shared" si="22"/>
        <v>39</v>
      </c>
      <c r="Q36" s="23" t="str">
        <f t="shared" si="23"/>
        <v/>
      </c>
      <c r="R36" s="23" t="str">
        <f t="shared" si="24"/>
        <v/>
      </c>
      <c r="S36" s="108">
        <f t="shared" si="16"/>
        <v>6</v>
      </c>
      <c r="T36" s="28">
        <f t="shared" si="25"/>
        <v>98.30252100840336</v>
      </c>
      <c r="U36" s="28">
        <f t="shared" si="26"/>
        <v>103.21764705882353</v>
      </c>
      <c r="V36" s="28">
        <f t="shared" si="27"/>
        <v>3.4405882352941175</v>
      </c>
      <c r="W36" s="28">
        <f t="shared" si="28"/>
        <v>0.51666666666666672</v>
      </c>
      <c r="X36" s="63">
        <f t="shared" si="29"/>
        <v>3.8</v>
      </c>
    </row>
    <row r="37" spans="1:24">
      <c r="A37" s="19" t="s">
        <v>630</v>
      </c>
      <c r="B37" s="19">
        <v>40</v>
      </c>
      <c r="C37" s="31" t="s">
        <v>2143</v>
      </c>
      <c r="D37" s="19">
        <v>20</v>
      </c>
      <c r="E37" s="32" t="s">
        <v>190</v>
      </c>
      <c r="F37" s="19">
        <v>4</v>
      </c>
      <c r="G37" s="89"/>
      <c r="H37" s="19"/>
      <c r="I37" s="19"/>
      <c r="J37" s="19"/>
      <c r="K37" s="23">
        <f t="shared" si="17"/>
        <v>2.5333333333333332</v>
      </c>
      <c r="L37" s="23">
        <f t="shared" si="18"/>
        <v>50.666666666666664</v>
      </c>
      <c r="M37" s="133">
        <f t="shared" si="19"/>
        <v>13</v>
      </c>
      <c r="N37" s="23">
        <f t="shared" si="20"/>
        <v>52</v>
      </c>
      <c r="O37" s="23" t="str">
        <f t="shared" si="21"/>
        <v/>
      </c>
      <c r="P37" s="23" t="str">
        <f t="shared" si="22"/>
        <v/>
      </c>
      <c r="Q37" s="23" t="str">
        <f t="shared" si="23"/>
        <v/>
      </c>
      <c r="R37" s="23" t="str">
        <f t="shared" si="24"/>
        <v/>
      </c>
      <c r="S37" s="108">
        <f t="shared" si="16"/>
        <v>8</v>
      </c>
      <c r="T37" s="28">
        <f t="shared" si="25"/>
        <v>110.66666666666666</v>
      </c>
      <c r="U37" s="28">
        <f t="shared" si="26"/>
        <v>116.19999999999999</v>
      </c>
      <c r="V37" s="28">
        <f t="shared" si="27"/>
        <v>2.9049999999999998</v>
      </c>
      <c r="W37" s="28">
        <f t="shared" si="28"/>
        <v>0.6</v>
      </c>
      <c r="X37" s="63">
        <f t="shared" si="29"/>
        <v>3.2</v>
      </c>
    </row>
    <row r="38" spans="1:24">
      <c r="A38" s="19" t="s">
        <v>631</v>
      </c>
      <c r="B38" s="19">
        <v>20</v>
      </c>
      <c r="C38" s="89" t="s">
        <v>636</v>
      </c>
      <c r="D38" s="19">
        <v>10</v>
      </c>
      <c r="E38" s="89" t="s">
        <v>321</v>
      </c>
      <c r="F38" s="19">
        <v>1</v>
      </c>
      <c r="G38" s="33" t="s">
        <v>297</v>
      </c>
      <c r="H38" s="19">
        <v>1</v>
      </c>
      <c r="I38" s="19"/>
      <c r="J38" s="19"/>
      <c r="K38" s="23">
        <f t="shared" si="17"/>
        <v>2.7058823529411762</v>
      </c>
      <c r="L38" s="23">
        <f t="shared" si="18"/>
        <v>27.058823529411761</v>
      </c>
      <c r="M38" s="133">
        <f t="shared" si="19"/>
        <v>9.4285714285714288</v>
      </c>
      <c r="N38" s="23">
        <f t="shared" si="20"/>
        <v>9.4285714285714288</v>
      </c>
      <c r="O38" s="23">
        <f t="shared" si="21"/>
        <v>31.571428571428577</v>
      </c>
      <c r="P38" s="23">
        <f t="shared" si="22"/>
        <v>31.571428571428577</v>
      </c>
      <c r="Q38" s="23" t="str">
        <f t="shared" si="23"/>
        <v/>
      </c>
      <c r="R38" s="23" t="str">
        <f t="shared" si="24"/>
        <v/>
      </c>
      <c r="S38" s="108">
        <f t="shared" si="16"/>
        <v>4</v>
      </c>
      <c r="T38" s="28">
        <f t="shared" si="25"/>
        <v>72.058823529411768</v>
      </c>
      <c r="U38" s="28">
        <f t="shared" si="26"/>
        <v>75.661764705882362</v>
      </c>
      <c r="V38" s="28">
        <f t="shared" si="27"/>
        <v>3.7830882352941182</v>
      </c>
      <c r="W38" s="28">
        <f t="shared" si="28"/>
        <v>0.60000000000000009</v>
      </c>
      <c r="X38" s="63">
        <f t="shared" si="29"/>
        <v>4.2</v>
      </c>
    </row>
    <row r="39" spans="1:24" ht="15">
      <c r="A39" s="19" t="s">
        <v>632</v>
      </c>
      <c r="B39" s="19">
        <v>30</v>
      </c>
      <c r="C39" s="19" t="s">
        <v>637</v>
      </c>
      <c r="D39" s="19">
        <v>20</v>
      </c>
      <c r="E39" s="50" t="s">
        <v>354</v>
      </c>
      <c r="F39" s="19">
        <v>2</v>
      </c>
      <c r="G39" s="89"/>
      <c r="H39" s="19"/>
      <c r="I39" s="19"/>
      <c r="J39" s="19"/>
      <c r="K39" s="23">
        <f t="shared" si="17"/>
        <v>1.7647058823529411</v>
      </c>
      <c r="L39" s="23">
        <f t="shared" si="18"/>
        <v>35.294117647058826</v>
      </c>
      <c r="M39" s="23">
        <f t="shared" si="19"/>
        <v>2.8571428571428572</v>
      </c>
      <c r="N39" s="23">
        <f t="shared" si="20"/>
        <v>5.7142857142857144</v>
      </c>
      <c r="O39" s="23" t="str">
        <f t="shared" si="21"/>
        <v/>
      </c>
      <c r="P39" s="23" t="str">
        <f t="shared" si="22"/>
        <v/>
      </c>
      <c r="Q39" s="23" t="str">
        <f t="shared" si="23"/>
        <v/>
      </c>
      <c r="R39" s="23" t="str">
        <f t="shared" si="24"/>
        <v/>
      </c>
      <c r="S39" s="108">
        <f t="shared" si="16"/>
        <v>6</v>
      </c>
      <c r="T39" s="28">
        <f t="shared" si="25"/>
        <v>47.008403361344541</v>
      </c>
      <c r="U39" s="28">
        <f t="shared" si="26"/>
        <v>49.358823529411772</v>
      </c>
      <c r="V39" s="28">
        <f t="shared" si="27"/>
        <v>1.645294117647059</v>
      </c>
      <c r="W39" s="28">
        <f t="shared" si="28"/>
        <v>0.73333333333333328</v>
      </c>
      <c r="X39" s="63">
        <f t="shared" si="29"/>
        <v>1.8</v>
      </c>
    </row>
    <row r="40" spans="1:24" ht="15">
      <c r="A40" s="19" t="s">
        <v>633</v>
      </c>
      <c r="B40" s="19">
        <v>20</v>
      </c>
      <c r="C40" s="19" t="s">
        <v>638</v>
      </c>
      <c r="D40" s="19">
        <v>12</v>
      </c>
      <c r="E40" s="50" t="s">
        <v>364</v>
      </c>
      <c r="F40" s="19">
        <v>2</v>
      </c>
      <c r="G40" s="19"/>
      <c r="H40" s="19"/>
      <c r="I40" s="19"/>
      <c r="J40" s="19"/>
      <c r="K40" s="23">
        <f t="shared" si="17"/>
        <v>1.0588235294117647</v>
      </c>
      <c r="L40" s="23">
        <f t="shared" si="18"/>
        <v>12.705882352941178</v>
      </c>
      <c r="M40" s="23">
        <f t="shared" si="19"/>
        <v>6.4285714285714288</v>
      </c>
      <c r="N40" s="23">
        <f t="shared" si="20"/>
        <v>12.857142857142858</v>
      </c>
      <c r="O40" s="23" t="str">
        <f t="shared" si="21"/>
        <v/>
      </c>
      <c r="P40" s="23" t="str">
        <f t="shared" si="22"/>
        <v/>
      </c>
      <c r="Q40" s="23" t="str">
        <f t="shared" si="23"/>
        <v/>
      </c>
      <c r="R40" s="23" t="str">
        <f t="shared" si="24"/>
        <v/>
      </c>
      <c r="S40" s="108">
        <f t="shared" si="16"/>
        <v>4</v>
      </c>
      <c r="T40" s="28">
        <f t="shared" si="25"/>
        <v>29.563025210084035</v>
      </c>
      <c r="U40" s="28">
        <f t="shared" si="26"/>
        <v>31.041176470588237</v>
      </c>
      <c r="V40" s="28">
        <f t="shared" si="27"/>
        <v>1.5520588235294119</v>
      </c>
      <c r="W40" s="28">
        <f t="shared" si="28"/>
        <v>0.7</v>
      </c>
      <c r="X40" s="63">
        <f t="shared" si="29"/>
        <v>1.7</v>
      </c>
    </row>
    <row r="41" spans="1:24">
      <c r="A41" s="19" t="s">
        <v>643</v>
      </c>
      <c r="B41" s="19">
        <v>30</v>
      </c>
      <c r="C41" s="19" t="s">
        <v>649</v>
      </c>
      <c r="D41" s="19">
        <v>15</v>
      </c>
      <c r="E41" s="89" t="s">
        <v>654</v>
      </c>
      <c r="F41" s="19">
        <v>5</v>
      </c>
      <c r="G41" s="26"/>
      <c r="H41" s="26"/>
      <c r="I41" s="26"/>
      <c r="J41" s="26"/>
      <c r="K41" s="23">
        <f t="shared" si="17"/>
        <v>10.857142857142858</v>
      </c>
      <c r="L41" s="23">
        <f t="shared" si="18"/>
        <v>162.85714285714286</v>
      </c>
      <c r="M41" s="23">
        <f t="shared" si="19"/>
        <v>1.1176470588235294</v>
      </c>
      <c r="N41" s="23">
        <f t="shared" si="20"/>
        <v>5.5882352941176467</v>
      </c>
      <c r="O41" s="23" t="str">
        <f t="shared" si="21"/>
        <v/>
      </c>
      <c r="P41" s="23" t="str">
        <f t="shared" si="22"/>
        <v/>
      </c>
      <c r="Q41" s="23" t="str">
        <f t="shared" si="23"/>
        <v/>
      </c>
      <c r="R41" s="23" t="str">
        <f t="shared" si="24"/>
        <v/>
      </c>
      <c r="S41" s="108">
        <f t="shared" si="16"/>
        <v>6</v>
      </c>
      <c r="T41" s="28">
        <f t="shared" si="25"/>
        <v>174.44537815126051</v>
      </c>
      <c r="U41" s="28">
        <f t="shared" si="26"/>
        <v>183.16764705882355</v>
      </c>
      <c r="V41" s="28">
        <f t="shared" si="27"/>
        <v>6.1055882352941184</v>
      </c>
      <c r="W41" s="28">
        <f t="shared" si="28"/>
        <v>0.66666666666666663</v>
      </c>
      <c r="X41" s="63">
        <f t="shared" si="29"/>
        <v>6.7</v>
      </c>
    </row>
    <row r="42" spans="1:24">
      <c r="A42" s="89" t="s">
        <v>644</v>
      </c>
      <c r="B42" s="89">
        <v>40</v>
      </c>
      <c r="C42" s="89" t="s">
        <v>650</v>
      </c>
      <c r="D42" s="89">
        <v>20</v>
      </c>
      <c r="E42" s="31" t="s">
        <v>2143</v>
      </c>
      <c r="F42" s="89">
        <v>8</v>
      </c>
      <c r="G42" s="26"/>
      <c r="H42" s="26"/>
      <c r="I42" s="26"/>
      <c r="J42" s="26"/>
      <c r="K42" s="23">
        <f t="shared" si="17"/>
        <v>7.0000000000000009</v>
      </c>
      <c r="L42" s="23">
        <f t="shared" si="18"/>
        <v>140.00000000000003</v>
      </c>
      <c r="M42" s="23">
        <f t="shared" si="19"/>
        <v>2.5333333333333332</v>
      </c>
      <c r="N42" s="23">
        <f t="shared" si="20"/>
        <v>20.266666666666666</v>
      </c>
      <c r="O42" s="23" t="str">
        <f t="shared" si="21"/>
        <v/>
      </c>
      <c r="P42" s="23" t="str">
        <f t="shared" si="22"/>
        <v/>
      </c>
      <c r="Q42" s="23" t="str">
        <f t="shared" si="23"/>
        <v/>
      </c>
      <c r="R42" s="23" t="str">
        <f t="shared" si="24"/>
        <v/>
      </c>
      <c r="S42" s="108">
        <f t="shared" si="16"/>
        <v>8</v>
      </c>
      <c r="T42" s="28">
        <f t="shared" si="25"/>
        <v>168.26666666666671</v>
      </c>
      <c r="U42" s="28">
        <f t="shared" si="26"/>
        <v>176.68000000000006</v>
      </c>
      <c r="V42" s="128">
        <f t="shared" si="27"/>
        <v>4.4170000000000016</v>
      </c>
      <c r="W42" s="128">
        <f t="shared" si="28"/>
        <v>0.7</v>
      </c>
      <c r="X42" s="63">
        <f t="shared" si="29"/>
        <v>4.9000000000000004</v>
      </c>
    </row>
    <row r="43" spans="1:24">
      <c r="A43" s="19" t="s">
        <v>645</v>
      </c>
      <c r="B43" s="19">
        <v>50</v>
      </c>
      <c r="C43" s="32" t="s">
        <v>157</v>
      </c>
      <c r="D43" s="19">
        <v>15</v>
      </c>
      <c r="E43" s="19" t="s">
        <v>600</v>
      </c>
      <c r="F43" s="19">
        <v>18</v>
      </c>
      <c r="G43" s="26"/>
      <c r="H43" s="26"/>
      <c r="I43" s="26"/>
      <c r="J43" s="26"/>
      <c r="K43" s="23">
        <f t="shared" si="17"/>
        <v>19.428571428571431</v>
      </c>
      <c r="L43" s="23">
        <f t="shared" si="18"/>
        <v>291.42857142857144</v>
      </c>
      <c r="M43" s="23">
        <f t="shared" si="19"/>
        <v>3.4117647058823528</v>
      </c>
      <c r="N43" s="23">
        <f t="shared" si="20"/>
        <v>61.411764705882348</v>
      </c>
      <c r="O43" s="23" t="str">
        <f t="shared" si="21"/>
        <v/>
      </c>
      <c r="P43" s="23" t="str">
        <f t="shared" si="22"/>
        <v/>
      </c>
      <c r="Q43" s="23" t="str">
        <f t="shared" si="23"/>
        <v/>
      </c>
      <c r="R43" s="23" t="str">
        <f t="shared" si="24"/>
        <v/>
      </c>
      <c r="S43" s="108">
        <f t="shared" si="16"/>
        <v>10</v>
      </c>
      <c r="T43" s="28">
        <f t="shared" si="25"/>
        <v>362.84033613445376</v>
      </c>
      <c r="U43" s="28">
        <f t="shared" si="26"/>
        <v>380.98235294117649</v>
      </c>
      <c r="V43" s="28">
        <f t="shared" si="27"/>
        <v>7.6196470588235297</v>
      </c>
      <c r="W43" s="28">
        <f t="shared" si="28"/>
        <v>0.65999999999999992</v>
      </c>
      <c r="X43" s="63">
        <f t="shared" si="29"/>
        <v>8.4</v>
      </c>
    </row>
    <row r="44" spans="1:24">
      <c r="A44" s="19" t="s">
        <v>646</v>
      </c>
      <c r="B44" s="19">
        <v>40</v>
      </c>
      <c r="C44" s="19" t="s">
        <v>651</v>
      </c>
      <c r="D44" s="19">
        <v>20</v>
      </c>
      <c r="E44" s="32" t="s">
        <v>2805</v>
      </c>
      <c r="F44" s="19">
        <v>8</v>
      </c>
      <c r="G44" s="26"/>
      <c r="H44" s="26"/>
      <c r="I44" s="26"/>
      <c r="J44" s="26"/>
      <c r="K44" s="23">
        <f t="shared" si="17"/>
        <v>1.2857142857142858</v>
      </c>
      <c r="L44" s="23">
        <f t="shared" si="18"/>
        <v>25.714285714285715</v>
      </c>
      <c r="M44" s="23">
        <f t="shared" si="19"/>
        <v>14.000000000000002</v>
      </c>
      <c r="N44" s="23">
        <f t="shared" si="20"/>
        <v>112.00000000000001</v>
      </c>
      <c r="O44" s="23" t="str">
        <f t="shared" si="21"/>
        <v/>
      </c>
      <c r="P44" s="23" t="str">
        <f t="shared" si="22"/>
        <v/>
      </c>
      <c r="Q44" s="23" t="str">
        <f t="shared" si="23"/>
        <v/>
      </c>
      <c r="R44" s="23" t="str">
        <f t="shared" si="24"/>
        <v/>
      </c>
      <c r="S44" s="108">
        <f t="shared" si="16"/>
        <v>8</v>
      </c>
      <c r="T44" s="28">
        <f t="shared" si="25"/>
        <v>145.71428571428572</v>
      </c>
      <c r="U44" s="28">
        <f t="shared" si="26"/>
        <v>153.00000000000003</v>
      </c>
      <c r="V44" s="28">
        <f t="shared" si="27"/>
        <v>3.8250000000000006</v>
      </c>
      <c r="W44" s="28">
        <f t="shared" si="28"/>
        <v>0.7</v>
      </c>
      <c r="X44" s="63">
        <f t="shared" si="29"/>
        <v>4.2</v>
      </c>
    </row>
    <row r="45" spans="1:24" ht="15">
      <c r="A45" s="19" t="s">
        <v>647</v>
      </c>
      <c r="B45" s="19">
        <v>40</v>
      </c>
      <c r="C45" s="89" t="s">
        <v>652</v>
      </c>
      <c r="D45" s="19">
        <v>20</v>
      </c>
      <c r="E45" s="30" t="s">
        <v>363</v>
      </c>
      <c r="F45" s="19">
        <v>4</v>
      </c>
      <c r="G45" s="26"/>
      <c r="H45" s="26"/>
      <c r="I45" s="26"/>
      <c r="J45" s="26"/>
      <c r="K45" s="23">
        <f t="shared" si="17"/>
        <v>0.94117647058823539</v>
      </c>
      <c r="L45" s="23">
        <f t="shared" si="18"/>
        <v>18.823529411764707</v>
      </c>
      <c r="M45" s="23">
        <f t="shared" si="19"/>
        <v>6.4285714285714288</v>
      </c>
      <c r="N45" s="23">
        <f t="shared" si="20"/>
        <v>25.714285714285715</v>
      </c>
      <c r="O45" s="23" t="str">
        <f t="shared" si="21"/>
        <v/>
      </c>
      <c r="P45" s="23" t="str">
        <f t="shared" si="22"/>
        <v/>
      </c>
      <c r="Q45" s="23" t="str">
        <f t="shared" si="23"/>
        <v/>
      </c>
      <c r="R45" s="23" t="str">
        <f t="shared" si="24"/>
        <v/>
      </c>
      <c r="S45" s="108">
        <f t="shared" si="16"/>
        <v>8</v>
      </c>
      <c r="T45" s="28">
        <f t="shared" si="25"/>
        <v>52.537815126050418</v>
      </c>
      <c r="U45" s="28">
        <f t="shared" si="26"/>
        <v>55.164705882352941</v>
      </c>
      <c r="V45" s="28">
        <f t="shared" si="27"/>
        <v>1.3791176470588236</v>
      </c>
      <c r="W45" s="28">
        <f t="shared" si="28"/>
        <v>0.6</v>
      </c>
      <c r="X45" s="63">
        <f t="shared" si="29"/>
        <v>1.5</v>
      </c>
    </row>
    <row r="46" spans="1:24">
      <c r="A46" s="19" t="s">
        <v>648</v>
      </c>
      <c r="B46" s="19">
        <v>30</v>
      </c>
      <c r="C46" s="19" t="s">
        <v>653</v>
      </c>
      <c r="D46" s="19">
        <v>20</v>
      </c>
      <c r="E46" s="18" t="s">
        <v>1484</v>
      </c>
      <c r="F46" s="19">
        <v>3</v>
      </c>
      <c r="G46" s="26"/>
      <c r="H46" s="26"/>
      <c r="I46" s="26"/>
      <c r="J46" s="26"/>
      <c r="K46" s="23">
        <f t="shared" si="17"/>
        <v>0.94117647058823539</v>
      </c>
      <c r="L46" s="23">
        <f t="shared" si="18"/>
        <v>18.823529411764707</v>
      </c>
      <c r="M46" s="23">
        <f t="shared" si="19"/>
        <v>7</v>
      </c>
      <c r="N46" s="23">
        <f t="shared" si="20"/>
        <v>21</v>
      </c>
      <c r="O46" s="23" t="str">
        <f t="shared" si="21"/>
        <v/>
      </c>
      <c r="P46" s="23" t="str">
        <f t="shared" si="22"/>
        <v/>
      </c>
      <c r="Q46" s="23" t="str">
        <f t="shared" si="23"/>
        <v/>
      </c>
      <c r="R46" s="23" t="str">
        <f t="shared" si="24"/>
        <v/>
      </c>
      <c r="S46" s="108">
        <f t="shared" si="16"/>
        <v>6</v>
      </c>
      <c r="T46" s="28">
        <f t="shared" si="25"/>
        <v>45.82352941176471</v>
      </c>
      <c r="U46" s="28">
        <f t="shared" si="26"/>
        <v>48.114705882352951</v>
      </c>
      <c r="V46" s="28">
        <f t="shared" si="27"/>
        <v>1.6038235294117651</v>
      </c>
      <c r="W46" s="36">
        <f t="shared" si="28"/>
        <v>0.76666666666666661</v>
      </c>
      <c r="X46" s="63">
        <f t="shared" si="29"/>
        <v>1.8</v>
      </c>
    </row>
    <row r="47" spans="1:24">
      <c r="A47" s="19" t="s">
        <v>655</v>
      </c>
      <c r="B47" s="19">
        <v>70</v>
      </c>
      <c r="C47" s="19" t="s">
        <v>594</v>
      </c>
      <c r="D47" s="19">
        <v>42</v>
      </c>
      <c r="E47" s="89"/>
      <c r="F47" s="19"/>
      <c r="G47" s="89"/>
      <c r="H47" s="89"/>
      <c r="I47" s="89"/>
      <c r="J47" s="89"/>
      <c r="K47" s="23">
        <f t="shared" si="17"/>
        <v>10.714285714285715</v>
      </c>
      <c r="L47" s="23">
        <f t="shared" si="18"/>
        <v>450.00000000000006</v>
      </c>
      <c r="M47" s="23" t="str">
        <f t="shared" si="19"/>
        <v/>
      </c>
      <c r="N47" s="23" t="str">
        <f t="shared" si="20"/>
        <v/>
      </c>
      <c r="O47" s="23" t="str">
        <f t="shared" si="21"/>
        <v/>
      </c>
      <c r="P47" s="23" t="str">
        <f t="shared" si="22"/>
        <v/>
      </c>
      <c r="Q47" s="23" t="str">
        <f t="shared" si="23"/>
        <v/>
      </c>
      <c r="R47" s="23" t="str">
        <f t="shared" si="24"/>
        <v/>
      </c>
      <c r="S47" s="108">
        <f t="shared" si="16"/>
        <v>14</v>
      </c>
      <c r="T47" s="28">
        <f t="shared" si="25"/>
        <v>464.00000000000006</v>
      </c>
      <c r="U47" s="28">
        <f t="shared" si="26"/>
        <v>487.2000000000001</v>
      </c>
      <c r="V47" s="28">
        <f t="shared" si="27"/>
        <v>6.9600000000000017</v>
      </c>
      <c r="W47" s="28">
        <f t="shared" si="28"/>
        <v>0.6</v>
      </c>
      <c r="X47" s="63">
        <f t="shared" si="29"/>
        <v>7.7</v>
      </c>
    </row>
    <row r="48" spans="1:24">
      <c r="A48" s="19" t="s">
        <v>656</v>
      </c>
      <c r="B48" s="19">
        <v>50</v>
      </c>
      <c r="C48" s="49" t="s">
        <v>1029</v>
      </c>
      <c r="D48" s="19">
        <v>15</v>
      </c>
      <c r="E48" s="19" t="s">
        <v>601</v>
      </c>
      <c r="F48" s="19">
        <v>15</v>
      </c>
      <c r="G48" s="89" t="s">
        <v>670</v>
      </c>
      <c r="H48" s="89">
        <v>3</v>
      </c>
      <c r="I48" s="89"/>
      <c r="J48" s="89"/>
      <c r="K48" s="23">
        <f t="shared" si="17"/>
        <v>19.428571428571431</v>
      </c>
      <c r="L48" s="23">
        <f t="shared" si="18"/>
        <v>291.42857142857144</v>
      </c>
      <c r="M48" s="23">
        <f t="shared" si="19"/>
        <v>0.94117647058823539</v>
      </c>
      <c r="N48" s="23">
        <f t="shared" si="20"/>
        <v>14.117647058823531</v>
      </c>
      <c r="O48" s="23">
        <f t="shared" si="21"/>
        <v>2.2352941176470589</v>
      </c>
      <c r="P48" s="23">
        <f t="shared" si="22"/>
        <v>6.7058823529411766</v>
      </c>
      <c r="Q48" s="23" t="str">
        <f t="shared" si="23"/>
        <v/>
      </c>
      <c r="R48" s="23" t="str">
        <f t="shared" si="24"/>
        <v/>
      </c>
      <c r="S48" s="108">
        <f t="shared" si="16"/>
        <v>10</v>
      </c>
      <c r="T48" s="28">
        <f t="shared" si="25"/>
        <v>322.25210084033614</v>
      </c>
      <c r="U48" s="28">
        <f t="shared" si="26"/>
        <v>338.36470588235295</v>
      </c>
      <c r="V48" s="28">
        <f t="shared" si="27"/>
        <v>6.7672941176470589</v>
      </c>
      <c r="W48" s="128">
        <f t="shared" si="28"/>
        <v>0.65999999999999992</v>
      </c>
      <c r="X48" s="63">
        <f t="shared" si="29"/>
        <v>7.4</v>
      </c>
    </row>
    <row r="49" spans="1:24">
      <c r="A49" s="89" t="s">
        <v>657</v>
      </c>
      <c r="B49" s="89">
        <v>60</v>
      </c>
      <c r="C49" s="89" t="s">
        <v>665</v>
      </c>
      <c r="D49" s="89">
        <v>30</v>
      </c>
      <c r="E49" s="89" t="s">
        <v>604</v>
      </c>
      <c r="F49" s="89">
        <v>6</v>
      </c>
      <c r="G49" s="89"/>
      <c r="H49" s="89"/>
      <c r="I49" s="89"/>
      <c r="J49" s="89"/>
      <c r="K49" s="23">
        <f t="shared" si="17"/>
        <v>9.4285714285714288</v>
      </c>
      <c r="L49" s="23">
        <f t="shared" si="18"/>
        <v>282.85714285714289</v>
      </c>
      <c r="M49" s="23">
        <f t="shared" si="19"/>
        <v>1.6470588235294117</v>
      </c>
      <c r="N49" s="23">
        <f t="shared" si="20"/>
        <v>9.882352941176471</v>
      </c>
      <c r="O49" s="23" t="str">
        <f t="shared" si="21"/>
        <v/>
      </c>
      <c r="P49" s="23" t="str">
        <f t="shared" si="22"/>
        <v/>
      </c>
      <c r="Q49" s="23" t="str">
        <f t="shared" si="23"/>
        <v/>
      </c>
      <c r="R49" s="23" t="str">
        <f t="shared" si="24"/>
        <v/>
      </c>
      <c r="S49" s="108">
        <f t="shared" si="16"/>
        <v>12</v>
      </c>
      <c r="T49" s="28">
        <f t="shared" si="25"/>
        <v>304.73949579831935</v>
      </c>
      <c r="U49" s="28">
        <f t="shared" si="26"/>
        <v>319.97647058823532</v>
      </c>
      <c r="V49" s="128">
        <f t="shared" si="27"/>
        <v>5.3329411764705883</v>
      </c>
      <c r="W49" s="128">
        <f t="shared" si="28"/>
        <v>0.6</v>
      </c>
      <c r="X49" s="63">
        <f t="shared" si="29"/>
        <v>5.9</v>
      </c>
    </row>
    <row r="50" spans="1:24">
      <c r="A50" s="19" t="s">
        <v>658</v>
      </c>
      <c r="B50" s="19">
        <v>40</v>
      </c>
      <c r="C50" s="26" t="s">
        <v>206</v>
      </c>
      <c r="D50" s="19">
        <v>15</v>
      </c>
      <c r="E50" s="19" t="s">
        <v>668</v>
      </c>
      <c r="F50" s="19">
        <v>8</v>
      </c>
      <c r="G50" s="19"/>
      <c r="H50" s="19"/>
      <c r="I50" s="19"/>
      <c r="J50" s="19"/>
      <c r="K50" s="23">
        <f t="shared" si="17"/>
        <v>14.428571428571429</v>
      </c>
      <c r="L50" s="23">
        <f t="shared" si="18"/>
        <v>216.42857142857144</v>
      </c>
      <c r="M50" s="23">
        <f t="shared" si="19"/>
        <v>3.2941176470588234</v>
      </c>
      <c r="N50" s="23">
        <f t="shared" si="20"/>
        <v>26.352941176470587</v>
      </c>
      <c r="O50" s="23" t="str">
        <f t="shared" si="21"/>
        <v/>
      </c>
      <c r="P50" s="23" t="str">
        <f t="shared" si="22"/>
        <v/>
      </c>
      <c r="Q50" s="23" t="str">
        <f t="shared" si="23"/>
        <v/>
      </c>
      <c r="R50" s="23" t="str">
        <f t="shared" si="24"/>
        <v/>
      </c>
      <c r="S50" s="108">
        <f t="shared" si="16"/>
        <v>8</v>
      </c>
      <c r="T50" s="28">
        <f t="shared" si="25"/>
        <v>250.78151260504202</v>
      </c>
      <c r="U50" s="28">
        <f t="shared" si="26"/>
        <v>263.32058823529411</v>
      </c>
      <c r="V50" s="28">
        <f t="shared" si="27"/>
        <v>6.5830147058823529</v>
      </c>
      <c r="W50" s="28">
        <f t="shared" si="28"/>
        <v>0.57499999999999996</v>
      </c>
      <c r="X50" s="63">
        <f t="shared" si="29"/>
        <v>7.2</v>
      </c>
    </row>
    <row r="51" spans="1:24">
      <c r="A51" s="19" t="s">
        <v>659</v>
      </c>
      <c r="B51" s="19">
        <v>40</v>
      </c>
      <c r="C51" s="89" t="s">
        <v>319</v>
      </c>
      <c r="D51" s="19">
        <v>16</v>
      </c>
      <c r="E51" s="19" t="s">
        <v>1278</v>
      </c>
      <c r="F51" s="19">
        <v>2</v>
      </c>
      <c r="G51" s="19"/>
      <c r="H51" s="19"/>
      <c r="I51" s="19"/>
      <c r="J51" s="19"/>
      <c r="K51" s="23">
        <f t="shared" si="17"/>
        <v>3.5714285714285716</v>
      </c>
      <c r="L51" s="23">
        <f t="shared" si="18"/>
        <v>57.142857142857146</v>
      </c>
      <c r="M51" s="23" t="e">
        <f t="shared" si="19"/>
        <v>#N/A</v>
      </c>
      <c r="N51" s="23" t="str">
        <f t="shared" si="20"/>
        <v/>
      </c>
      <c r="O51" s="23" t="str">
        <f t="shared" si="21"/>
        <v/>
      </c>
      <c r="P51" s="23" t="str">
        <f t="shared" si="22"/>
        <v/>
      </c>
      <c r="Q51" s="23" t="str">
        <f t="shared" si="23"/>
        <v/>
      </c>
      <c r="R51" s="23" t="str">
        <f t="shared" si="24"/>
        <v/>
      </c>
      <c r="S51" s="108">
        <f t="shared" si="16"/>
        <v>8</v>
      </c>
      <c r="T51" s="28">
        <f t="shared" si="25"/>
        <v>65.142857142857139</v>
      </c>
      <c r="U51" s="28">
        <f t="shared" si="26"/>
        <v>68.400000000000006</v>
      </c>
      <c r="V51" s="28">
        <f t="shared" si="27"/>
        <v>1.7100000000000002</v>
      </c>
      <c r="W51" s="28">
        <f t="shared" si="28"/>
        <v>0.45</v>
      </c>
      <c r="X51" s="63">
        <f t="shared" si="29"/>
        <v>1.9</v>
      </c>
    </row>
    <row r="52" spans="1:24">
      <c r="A52" s="19" t="s">
        <v>660</v>
      </c>
      <c r="B52" s="19">
        <v>50</v>
      </c>
      <c r="C52" s="19" t="s">
        <v>597</v>
      </c>
      <c r="D52" s="19">
        <v>25</v>
      </c>
      <c r="E52" s="19" t="s">
        <v>581</v>
      </c>
      <c r="F52" s="19">
        <v>5</v>
      </c>
      <c r="G52" s="19"/>
      <c r="H52" s="19"/>
      <c r="I52" s="19"/>
      <c r="J52" s="19"/>
      <c r="K52" s="23">
        <f t="shared" si="17"/>
        <v>1.2941176470588236</v>
      </c>
      <c r="L52" s="23">
        <f t="shared" si="18"/>
        <v>32.352941176470587</v>
      </c>
      <c r="M52" s="23">
        <f t="shared" si="19"/>
        <v>15.428571428571431</v>
      </c>
      <c r="N52" s="23">
        <f t="shared" si="20"/>
        <v>77.142857142857153</v>
      </c>
      <c r="O52" s="23" t="str">
        <f t="shared" si="21"/>
        <v/>
      </c>
      <c r="P52" s="23" t="str">
        <f t="shared" si="22"/>
        <v/>
      </c>
      <c r="Q52" s="23" t="str">
        <f t="shared" si="23"/>
        <v/>
      </c>
      <c r="R52" s="23" t="str">
        <f t="shared" si="24"/>
        <v/>
      </c>
      <c r="S52" s="108">
        <f t="shared" si="16"/>
        <v>10</v>
      </c>
      <c r="T52" s="28">
        <f t="shared" si="25"/>
        <v>119.49579831932775</v>
      </c>
      <c r="U52" s="28">
        <f t="shared" si="26"/>
        <v>125.47058823529414</v>
      </c>
      <c r="V52" s="28">
        <f t="shared" si="27"/>
        <v>2.5094117647058827</v>
      </c>
      <c r="W52" s="28">
        <f t="shared" si="28"/>
        <v>0.6</v>
      </c>
      <c r="X52" s="63">
        <f t="shared" si="29"/>
        <v>2.8</v>
      </c>
    </row>
    <row r="53" spans="1:24">
      <c r="A53" s="19" t="s">
        <v>661</v>
      </c>
      <c r="B53" s="19">
        <v>40</v>
      </c>
      <c r="C53" s="33" t="s">
        <v>2802</v>
      </c>
      <c r="D53" s="19">
        <v>24</v>
      </c>
      <c r="E53" s="19" t="s">
        <v>596</v>
      </c>
      <c r="F53" s="19">
        <v>6</v>
      </c>
      <c r="G53" s="19" t="s">
        <v>604</v>
      </c>
      <c r="H53" s="19">
        <v>6</v>
      </c>
      <c r="I53" s="19"/>
      <c r="J53" s="19"/>
      <c r="K53" s="23">
        <f t="shared" si="17"/>
        <v>1.1764705882352942</v>
      </c>
      <c r="L53" s="23">
        <f t="shared" si="18"/>
        <v>28.235294117647058</v>
      </c>
      <c r="M53" s="23">
        <f t="shared" si="19"/>
        <v>1.2941176470588236</v>
      </c>
      <c r="N53" s="23">
        <f t="shared" si="20"/>
        <v>7.764705882352942</v>
      </c>
      <c r="O53" s="23">
        <f t="shared" si="21"/>
        <v>1.6470588235294117</v>
      </c>
      <c r="P53" s="23">
        <f t="shared" si="22"/>
        <v>9.882352941176471</v>
      </c>
      <c r="Q53" s="23" t="str">
        <f t="shared" si="23"/>
        <v/>
      </c>
      <c r="R53" s="23" t="str">
        <f t="shared" si="24"/>
        <v/>
      </c>
      <c r="S53" s="108">
        <f>B53*0.4</f>
        <v>16</v>
      </c>
      <c r="T53" s="28">
        <f t="shared" si="25"/>
        <v>61.882352941176471</v>
      </c>
      <c r="U53" s="28">
        <f t="shared" si="26"/>
        <v>64.976470588235301</v>
      </c>
      <c r="V53" s="28">
        <f t="shared" si="27"/>
        <v>1.6244117647058824</v>
      </c>
      <c r="W53" s="28">
        <f t="shared" si="28"/>
        <v>0.9</v>
      </c>
      <c r="X53" s="63">
        <f t="shared" si="29"/>
        <v>1.8</v>
      </c>
    </row>
    <row r="54" spans="1:24">
      <c r="A54" s="19" t="s">
        <v>662</v>
      </c>
      <c r="B54" s="19">
        <v>40</v>
      </c>
      <c r="C54" s="31" t="s">
        <v>2143</v>
      </c>
      <c r="D54" s="19">
        <v>24</v>
      </c>
      <c r="E54" s="19" t="s">
        <v>669</v>
      </c>
      <c r="F54" s="19">
        <v>4</v>
      </c>
      <c r="G54" s="19" t="s">
        <v>583</v>
      </c>
      <c r="H54" s="19">
        <v>2</v>
      </c>
      <c r="I54" s="26" t="s">
        <v>392</v>
      </c>
      <c r="J54" s="19">
        <v>0.2</v>
      </c>
      <c r="K54" s="23">
        <f t="shared" si="17"/>
        <v>2.5333333333333332</v>
      </c>
      <c r="L54" s="23">
        <f t="shared" si="18"/>
        <v>60.8</v>
      </c>
      <c r="M54" s="23">
        <f t="shared" si="19"/>
        <v>2.1176470588235294</v>
      </c>
      <c r="N54" s="23">
        <f t="shared" si="20"/>
        <v>8.4705882352941178</v>
      </c>
      <c r="O54" s="23">
        <f t="shared" si="21"/>
        <v>2.1176470588235294</v>
      </c>
      <c r="P54" s="23">
        <f t="shared" si="22"/>
        <v>4.2352941176470589</v>
      </c>
      <c r="Q54" s="23">
        <f t="shared" si="23"/>
        <v>61.428571428571431</v>
      </c>
      <c r="R54" s="23">
        <f t="shared" si="24"/>
        <v>12.285714285714286</v>
      </c>
      <c r="S54" s="108">
        <f t="shared" si="16"/>
        <v>8</v>
      </c>
      <c r="T54" s="28">
        <f t="shared" si="25"/>
        <v>93.791596638655463</v>
      </c>
      <c r="U54" s="28">
        <f t="shared" si="26"/>
        <v>98.481176470588238</v>
      </c>
      <c r="V54" s="28">
        <f t="shared" si="27"/>
        <v>2.4620294117647061</v>
      </c>
      <c r="W54" s="28">
        <f t="shared" si="28"/>
        <v>0.755</v>
      </c>
      <c r="X54" s="63">
        <f t="shared" si="29"/>
        <v>2.7</v>
      </c>
    </row>
    <row r="55" spans="1:24" ht="15">
      <c r="A55" s="19" t="s">
        <v>663</v>
      </c>
      <c r="B55" s="19">
        <v>30</v>
      </c>
      <c r="C55" s="19" t="s">
        <v>666</v>
      </c>
      <c r="D55" s="19">
        <v>15</v>
      </c>
      <c r="E55" s="50" t="s">
        <v>671</v>
      </c>
      <c r="F55" s="19">
        <v>0.1</v>
      </c>
      <c r="G55" s="19"/>
      <c r="H55" s="19"/>
      <c r="I55" s="19"/>
      <c r="J55" s="19"/>
      <c r="K55" s="23">
        <f t="shared" si="17"/>
        <v>0.70588235294117652</v>
      </c>
      <c r="L55" s="23">
        <f t="shared" si="18"/>
        <v>10.588235294117649</v>
      </c>
      <c r="M55" s="23">
        <f t="shared" si="19"/>
        <v>42.857142857142861</v>
      </c>
      <c r="N55" s="23">
        <f t="shared" si="20"/>
        <v>4.2857142857142865</v>
      </c>
      <c r="O55" s="23" t="str">
        <f t="shared" si="21"/>
        <v/>
      </c>
      <c r="P55" s="23" t="str">
        <f t="shared" si="22"/>
        <v/>
      </c>
      <c r="Q55" s="23" t="str">
        <f t="shared" si="23"/>
        <v/>
      </c>
      <c r="R55" s="23" t="str">
        <f t="shared" si="24"/>
        <v/>
      </c>
      <c r="S55" s="108">
        <f t="shared" si="16"/>
        <v>6</v>
      </c>
      <c r="T55" s="28">
        <f t="shared" si="25"/>
        <v>20.873949579831937</v>
      </c>
      <c r="U55" s="28">
        <f t="shared" si="26"/>
        <v>21.917647058823533</v>
      </c>
      <c r="V55" s="28">
        <f t="shared" si="27"/>
        <v>0.73058823529411776</v>
      </c>
      <c r="W55" s="28">
        <f t="shared" si="28"/>
        <v>0.5033333333333333</v>
      </c>
      <c r="X55" s="63">
        <f t="shared" si="29"/>
        <v>0.8</v>
      </c>
    </row>
    <row r="56" spans="1:24">
      <c r="A56" s="19" t="s">
        <v>664</v>
      </c>
      <c r="B56" s="19">
        <v>30</v>
      </c>
      <c r="C56" s="89" t="s">
        <v>667</v>
      </c>
      <c r="D56" s="19">
        <v>30</v>
      </c>
      <c r="E56" s="19"/>
      <c r="F56" s="19"/>
      <c r="G56" s="19"/>
      <c r="H56" s="19"/>
      <c r="I56" s="19"/>
      <c r="J56" s="19"/>
      <c r="K56" s="23">
        <f t="shared" si="17"/>
        <v>0.88235294117647056</v>
      </c>
      <c r="L56" s="23">
        <f t="shared" si="18"/>
        <v>26.470588235294116</v>
      </c>
      <c r="M56" s="23" t="str">
        <f t="shared" si="19"/>
        <v/>
      </c>
      <c r="N56" s="23" t="str">
        <f t="shared" si="20"/>
        <v/>
      </c>
      <c r="O56" s="23" t="str">
        <f t="shared" si="21"/>
        <v/>
      </c>
      <c r="P56" s="23" t="str">
        <f t="shared" si="22"/>
        <v/>
      </c>
      <c r="Q56" s="23" t="str">
        <f t="shared" si="23"/>
        <v/>
      </c>
      <c r="R56" s="23" t="str">
        <f t="shared" si="24"/>
        <v/>
      </c>
      <c r="S56" s="108">
        <f t="shared" si="16"/>
        <v>6</v>
      </c>
      <c r="T56" s="28">
        <f t="shared" si="25"/>
        <v>32.470588235294116</v>
      </c>
      <c r="U56" s="28">
        <f t="shared" si="26"/>
        <v>34.094117647058823</v>
      </c>
      <c r="V56" s="28">
        <f t="shared" si="27"/>
        <v>1.1364705882352941</v>
      </c>
      <c r="W56" s="28">
        <f t="shared" si="28"/>
        <v>1</v>
      </c>
      <c r="X56" s="63">
        <f t="shared" si="29"/>
        <v>1.3</v>
      </c>
    </row>
    <row r="57" spans="1:24">
      <c r="A57" s="19" t="s">
        <v>672</v>
      </c>
      <c r="B57" s="19">
        <v>40</v>
      </c>
      <c r="C57" s="49" t="s">
        <v>272</v>
      </c>
      <c r="D57" s="19">
        <v>24</v>
      </c>
      <c r="E57" s="19"/>
      <c r="F57" s="19"/>
      <c r="G57" s="26"/>
      <c r="H57" s="26"/>
      <c r="I57" s="26"/>
      <c r="J57" s="26"/>
      <c r="K57" s="23">
        <f t="shared" si="17"/>
        <v>6.5714285714285712</v>
      </c>
      <c r="L57" s="23">
        <f t="shared" si="18"/>
        <v>157.71428571428572</v>
      </c>
      <c r="M57" s="23" t="str">
        <f t="shared" si="19"/>
        <v/>
      </c>
      <c r="N57" s="23" t="str">
        <f t="shared" si="20"/>
        <v/>
      </c>
      <c r="O57" s="23" t="str">
        <f t="shared" si="21"/>
        <v/>
      </c>
      <c r="P57" s="23" t="str">
        <f t="shared" si="22"/>
        <v/>
      </c>
      <c r="Q57" s="55" t="str">
        <f t="shared" si="23"/>
        <v/>
      </c>
      <c r="R57" s="23" t="str">
        <f t="shared" si="24"/>
        <v/>
      </c>
      <c r="S57" s="108">
        <f t="shared" si="16"/>
        <v>8</v>
      </c>
      <c r="T57" s="28">
        <f t="shared" si="25"/>
        <v>165.71428571428572</v>
      </c>
      <c r="U57" s="28">
        <f t="shared" si="26"/>
        <v>174.00000000000003</v>
      </c>
      <c r="V57" s="28">
        <f t="shared" si="27"/>
        <v>4.3500000000000005</v>
      </c>
      <c r="W57" s="28">
        <f t="shared" si="28"/>
        <v>0.6</v>
      </c>
      <c r="X57" s="63">
        <f t="shared" si="29"/>
        <v>4.8</v>
      </c>
    </row>
    <row r="58" spans="1:24">
      <c r="A58" s="19" t="s">
        <v>673</v>
      </c>
      <c r="B58" s="19">
        <v>60</v>
      </c>
      <c r="C58" s="16" t="s">
        <v>2805</v>
      </c>
      <c r="D58" s="19">
        <v>18</v>
      </c>
      <c r="E58" s="89" t="s">
        <v>678</v>
      </c>
      <c r="F58" s="19">
        <v>6</v>
      </c>
      <c r="G58" s="26"/>
      <c r="H58" s="26"/>
      <c r="I58" s="26"/>
      <c r="J58" s="26"/>
      <c r="K58" s="23">
        <f t="shared" si="17"/>
        <v>14.000000000000002</v>
      </c>
      <c r="L58" s="23">
        <f t="shared" si="18"/>
        <v>252.00000000000003</v>
      </c>
      <c r="M58" s="23">
        <f t="shared" si="19"/>
        <v>24.285714285714288</v>
      </c>
      <c r="N58" s="23">
        <f t="shared" si="20"/>
        <v>145.71428571428572</v>
      </c>
      <c r="O58" s="23" t="str">
        <f t="shared" si="21"/>
        <v/>
      </c>
      <c r="P58" s="23" t="str">
        <f t="shared" si="22"/>
        <v/>
      </c>
      <c r="Q58" s="23" t="str">
        <f t="shared" si="23"/>
        <v/>
      </c>
      <c r="R58" s="23" t="str">
        <f t="shared" si="24"/>
        <v/>
      </c>
      <c r="S58" s="108">
        <f t="shared" si="16"/>
        <v>12</v>
      </c>
      <c r="T58" s="28">
        <f t="shared" si="25"/>
        <v>409.71428571428578</v>
      </c>
      <c r="U58" s="28">
        <f t="shared" si="26"/>
        <v>430.2000000000001</v>
      </c>
      <c r="V58" s="28">
        <f t="shared" si="27"/>
        <v>7.1700000000000017</v>
      </c>
      <c r="W58" s="28">
        <f t="shared" si="28"/>
        <v>0.4</v>
      </c>
      <c r="X58" s="63">
        <f t="shared" si="29"/>
        <v>7.9</v>
      </c>
    </row>
    <row r="59" spans="1:24">
      <c r="A59" s="19" t="s">
        <v>674</v>
      </c>
      <c r="B59" s="19">
        <v>40</v>
      </c>
      <c r="C59" s="33" t="s">
        <v>1486</v>
      </c>
      <c r="D59" s="19">
        <v>20</v>
      </c>
      <c r="E59" s="32" t="s">
        <v>190</v>
      </c>
      <c r="F59" s="19">
        <v>4</v>
      </c>
      <c r="G59" s="26"/>
      <c r="H59" s="26"/>
      <c r="I59" s="26"/>
      <c r="J59" s="26"/>
      <c r="K59" s="133">
        <f t="shared" si="17"/>
        <v>6</v>
      </c>
      <c r="L59" s="133">
        <f t="shared" si="18"/>
        <v>120</v>
      </c>
      <c r="M59" s="23">
        <f t="shared" si="19"/>
        <v>13</v>
      </c>
      <c r="N59" s="23">
        <f t="shared" si="20"/>
        <v>52</v>
      </c>
      <c r="O59" s="23" t="str">
        <f t="shared" si="21"/>
        <v/>
      </c>
      <c r="P59" s="23" t="str">
        <f t="shared" si="22"/>
        <v/>
      </c>
      <c r="Q59" s="23" t="str">
        <f t="shared" si="23"/>
        <v/>
      </c>
      <c r="R59" s="23" t="str">
        <f t="shared" si="24"/>
        <v/>
      </c>
      <c r="S59" s="108">
        <f t="shared" si="16"/>
        <v>8</v>
      </c>
      <c r="T59" s="28">
        <f t="shared" si="25"/>
        <v>180</v>
      </c>
      <c r="U59" s="28">
        <f t="shared" si="26"/>
        <v>189</v>
      </c>
      <c r="V59" s="28">
        <f t="shared" si="27"/>
        <v>4.7249999999999996</v>
      </c>
      <c r="W59" s="28">
        <f t="shared" si="28"/>
        <v>0.6</v>
      </c>
      <c r="X59" s="63">
        <f t="shared" si="29"/>
        <v>5.2</v>
      </c>
    </row>
    <row r="60" spans="1:24">
      <c r="A60" s="89" t="s">
        <v>675</v>
      </c>
      <c r="B60" s="89">
        <v>20</v>
      </c>
      <c r="C60" s="89" t="s">
        <v>638</v>
      </c>
      <c r="D60" s="89">
        <v>12</v>
      </c>
      <c r="E60" s="89" t="s">
        <v>620</v>
      </c>
      <c r="F60" s="89">
        <v>0.1</v>
      </c>
      <c r="G60" s="26"/>
      <c r="H60" s="26"/>
      <c r="I60" s="26"/>
      <c r="J60" s="26"/>
      <c r="K60" s="23">
        <f t="shared" si="17"/>
        <v>1.0588235294117647</v>
      </c>
      <c r="L60" s="23">
        <f t="shared" si="18"/>
        <v>12.705882352941178</v>
      </c>
      <c r="M60" s="23">
        <f t="shared" si="19"/>
        <v>14.285714285714286</v>
      </c>
      <c r="N60" s="23">
        <f t="shared" si="20"/>
        <v>1.4285714285714288</v>
      </c>
      <c r="O60" s="23" t="str">
        <f t="shared" si="21"/>
        <v/>
      </c>
      <c r="P60" s="23" t="str">
        <f t="shared" si="22"/>
        <v/>
      </c>
      <c r="Q60" s="23" t="str">
        <f t="shared" si="23"/>
        <v/>
      </c>
      <c r="R60" s="23" t="str">
        <f t="shared" si="24"/>
        <v/>
      </c>
      <c r="S60" s="108">
        <f t="shared" si="16"/>
        <v>4</v>
      </c>
      <c r="T60" s="28">
        <f t="shared" si="25"/>
        <v>18.134453781512605</v>
      </c>
      <c r="U60" s="28">
        <f t="shared" si="26"/>
        <v>19.041176470588237</v>
      </c>
      <c r="V60" s="128">
        <f t="shared" si="27"/>
        <v>0.95205882352941185</v>
      </c>
      <c r="W60" s="128">
        <f t="shared" si="28"/>
        <v>0.60499999999999998</v>
      </c>
      <c r="X60" s="63">
        <f t="shared" si="29"/>
        <v>1</v>
      </c>
    </row>
    <row r="61" spans="1:24">
      <c r="A61" s="19" t="s">
        <v>676</v>
      </c>
      <c r="B61" s="19">
        <v>20</v>
      </c>
      <c r="C61" s="89" t="s">
        <v>637</v>
      </c>
      <c r="D61" s="19">
        <v>15</v>
      </c>
      <c r="E61" s="19"/>
      <c r="F61" s="19"/>
      <c r="G61" s="26"/>
      <c r="H61" s="26"/>
      <c r="I61" s="26"/>
      <c r="J61" s="26"/>
      <c r="K61" s="23">
        <f t="shared" si="17"/>
        <v>1.7647058823529411</v>
      </c>
      <c r="L61" s="23">
        <f t="shared" si="18"/>
        <v>26.470588235294116</v>
      </c>
      <c r="M61" s="23" t="str">
        <f t="shared" si="19"/>
        <v/>
      </c>
      <c r="N61" s="23" t="str">
        <f t="shared" si="20"/>
        <v/>
      </c>
      <c r="O61" s="23" t="str">
        <f t="shared" si="21"/>
        <v/>
      </c>
      <c r="P61" s="23" t="str">
        <f t="shared" si="22"/>
        <v/>
      </c>
      <c r="Q61" s="23" t="str">
        <f t="shared" si="23"/>
        <v/>
      </c>
      <c r="R61" s="23" t="str">
        <f t="shared" si="24"/>
        <v/>
      </c>
      <c r="S61" s="108">
        <f t="shared" si="16"/>
        <v>4</v>
      </c>
      <c r="T61" s="28">
        <f t="shared" si="25"/>
        <v>30.470588235294116</v>
      </c>
      <c r="U61" s="28">
        <f t="shared" si="26"/>
        <v>31.994117647058822</v>
      </c>
      <c r="V61" s="28">
        <f t="shared" si="27"/>
        <v>1.5997058823529411</v>
      </c>
      <c r="W61" s="28">
        <f t="shared" si="28"/>
        <v>0.75</v>
      </c>
      <c r="X61" s="63">
        <f t="shared" si="29"/>
        <v>1.8</v>
      </c>
    </row>
    <row r="62" spans="1:24">
      <c r="A62" s="19" t="s">
        <v>679</v>
      </c>
      <c r="B62" s="19">
        <v>70</v>
      </c>
      <c r="C62" s="89" t="s">
        <v>634</v>
      </c>
      <c r="D62" s="19">
        <v>42</v>
      </c>
      <c r="E62" s="19" t="s">
        <v>692</v>
      </c>
      <c r="F62" s="19">
        <v>10</v>
      </c>
      <c r="G62" s="89"/>
      <c r="H62" s="89"/>
      <c r="I62" s="89"/>
      <c r="J62" s="89"/>
      <c r="K62" s="23">
        <f t="shared" si="17"/>
        <v>7.2857142857142856</v>
      </c>
      <c r="L62" s="23">
        <f t="shared" si="18"/>
        <v>306</v>
      </c>
      <c r="M62" s="23">
        <f t="shared" si="19"/>
        <v>1.6470588235294117</v>
      </c>
      <c r="N62" s="23">
        <f t="shared" si="20"/>
        <v>16.470588235294116</v>
      </c>
      <c r="O62" s="23" t="str">
        <f t="shared" si="21"/>
        <v/>
      </c>
      <c r="P62" s="23" t="str">
        <f t="shared" si="22"/>
        <v/>
      </c>
      <c r="Q62" s="23" t="str">
        <f t="shared" si="23"/>
        <v/>
      </c>
      <c r="R62" s="23" t="str">
        <f t="shared" si="24"/>
        <v/>
      </c>
      <c r="S62" s="108">
        <f t="shared" si="16"/>
        <v>14</v>
      </c>
      <c r="T62" s="28">
        <f t="shared" si="25"/>
        <v>336.47058823529414</v>
      </c>
      <c r="U62" s="28">
        <f t="shared" si="26"/>
        <v>353.29411764705884</v>
      </c>
      <c r="V62" s="28">
        <f t="shared" si="27"/>
        <v>5.0470588235294116</v>
      </c>
      <c r="W62" s="28">
        <f t="shared" si="28"/>
        <v>0.74285714285714288</v>
      </c>
      <c r="X62" s="63">
        <f t="shared" si="29"/>
        <v>5.6</v>
      </c>
    </row>
    <row r="63" spans="1:24">
      <c r="A63" s="19" t="s">
        <v>680</v>
      </c>
      <c r="B63" s="19">
        <v>80</v>
      </c>
      <c r="C63" s="18" t="s">
        <v>222</v>
      </c>
      <c r="D63" s="19">
        <v>23</v>
      </c>
      <c r="E63" s="89" t="s">
        <v>693</v>
      </c>
      <c r="F63" s="19">
        <v>21</v>
      </c>
      <c r="G63" s="89" t="s">
        <v>677</v>
      </c>
      <c r="H63" s="89">
        <v>4</v>
      </c>
      <c r="I63" s="89"/>
      <c r="J63" s="89"/>
      <c r="K63" s="23">
        <f t="shared" si="17"/>
        <v>24.142857142857142</v>
      </c>
      <c r="L63" s="23">
        <f t="shared" si="18"/>
        <v>555.28571428571422</v>
      </c>
      <c r="M63" s="23">
        <f t="shared" si="19"/>
        <v>2.1176470588235294</v>
      </c>
      <c r="N63" s="23">
        <f t="shared" si="20"/>
        <v>44.470588235294116</v>
      </c>
      <c r="O63" s="23">
        <f t="shared" si="21"/>
        <v>1.2941176470588236</v>
      </c>
      <c r="P63" s="23">
        <f t="shared" si="22"/>
        <v>5.1764705882352944</v>
      </c>
      <c r="Q63" s="23" t="str">
        <f t="shared" si="23"/>
        <v/>
      </c>
      <c r="R63" s="23" t="str">
        <f t="shared" si="24"/>
        <v/>
      </c>
      <c r="S63" s="108">
        <f>B63*0.1</f>
        <v>8</v>
      </c>
      <c r="T63" s="28">
        <f t="shared" si="25"/>
        <v>612.93277310924361</v>
      </c>
      <c r="U63" s="28">
        <f t="shared" si="26"/>
        <v>643.57941176470581</v>
      </c>
      <c r="V63" s="28">
        <f t="shared" si="27"/>
        <v>8.0447426470588219</v>
      </c>
      <c r="W63" s="28">
        <f t="shared" si="28"/>
        <v>0.60000000000000009</v>
      </c>
      <c r="X63" s="63">
        <f t="shared" si="29"/>
        <v>8.8000000000000007</v>
      </c>
    </row>
    <row r="64" spans="1:24">
      <c r="A64" s="19" t="s">
        <v>681</v>
      </c>
      <c r="B64" s="19">
        <v>40</v>
      </c>
      <c r="C64" s="19" t="s">
        <v>688</v>
      </c>
      <c r="D64" s="19">
        <v>24</v>
      </c>
      <c r="E64" s="19"/>
      <c r="F64" s="19"/>
      <c r="G64" s="89"/>
      <c r="H64" s="89"/>
      <c r="I64" s="89"/>
      <c r="J64" s="89"/>
      <c r="K64" s="23">
        <f t="shared" si="17"/>
        <v>5</v>
      </c>
      <c r="L64" s="23">
        <f t="shared" si="18"/>
        <v>120</v>
      </c>
      <c r="M64" s="23" t="str">
        <f t="shared" si="19"/>
        <v/>
      </c>
      <c r="N64" s="23" t="str">
        <f t="shared" si="20"/>
        <v/>
      </c>
      <c r="O64" s="23" t="str">
        <f t="shared" si="21"/>
        <v/>
      </c>
      <c r="P64" s="23" t="str">
        <f t="shared" si="22"/>
        <v/>
      </c>
      <c r="Q64" s="23" t="str">
        <f t="shared" si="23"/>
        <v/>
      </c>
      <c r="R64" s="23" t="str">
        <f t="shared" si="24"/>
        <v/>
      </c>
      <c r="S64" s="108">
        <f t="shared" si="16"/>
        <v>8</v>
      </c>
      <c r="T64" s="28">
        <f t="shared" si="25"/>
        <v>128</v>
      </c>
      <c r="U64" s="28">
        <f t="shared" si="26"/>
        <v>134.4</v>
      </c>
      <c r="V64" s="28">
        <f t="shared" si="27"/>
        <v>3.3600000000000003</v>
      </c>
      <c r="W64" s="28">
        <f t="shared" si="28"/>
        <v>0.6</v>
      </c>
      <c r="X64" s="63">
        <f t="shared" si="29"/>
        <v>3.7</v>
      </c>
    </row>
    <row r="65" spans="1:24">
      <c r="A65" s="19" t="s">
        <v>682</v>
      </c>
      <c r="B65" s="19">
        <v>40</v>
      </c>
      <c r="C65" s="31" t="s">
        <v>2144</v>
      </c>
      <c r="D65" s="19">
        <v>12</v>
      </c>
      <c r="E65" s="19" t="s">
        <v>694</v>
      </c>
      <c r="F65" s="19">
        <v>8</v>
      </c>
      <c r="G65" s="89" t="s">
        <v>614</v>
      </c>
      <c r="H65" s="89">
        <v>4</v>
      </c>
      <c r="I65" s="89"/>
      <c r="J65" s="89"/>
      <c r="K65" s="23">
        <f t="shared" si="17"/>
        <v>4.3999999999999995</v>
      </c>
      <c r="L65" s="23">
        <f t="shared" si="18"/>
        <v>52.8</v>
      </c>
      <c r="M65" s="23">
        <f t="shared" si="19"/>
        <v>1.6470588235294117</v>
      </c>
      <c r="N65" s="23">
        <f t="shared" si="20"/>
        <v>13.176470588235293</v>
      </c>
      <c r="O65" s="23">
        <f t="shared" si="21"/>
        <v>15.428571428571431</v>
      </c>
      <c r="P65" s="23">
        <f t="shared" si="22"/>
        <v>61.714285714285722</v>
      </c>
      <c r="Q65" s="23" t="str">
        <f t="shared" si="23"/>
        <v/>
      </c>
      <c r="R65" s="23" t="str">
        <f t="shared" si="24"/>
        <v/>
      </c>
      <c r="S65" s="108">
        <f t="shared" si="16"/>
        <v>8</v>
      </c>
      <c r="T65" s="28">
        <f t="shared" si="25"/>
        <v>135.69075630252101</v>
      </c>
      <c r="U65" s="28">
        <f t="shared" si="26"/>
        <v>142.47529411764705</v>
      </c>
      <c r="V65" s="28">
        <f t="shared" si="27"/>
        <v>3.5618823529411765</v>
      </c>
      <c r="W65" s="28">
        <f t="shared" si="28"/>
        <v>0.6</v>
      </c>
      <c r="X65" s="63">
        <f t="shared" si="29"/>
        <v>3.9</v>
      </c>
    </row>
    <row r="66" spans="1:24">
      <c r="A66" s="19" t="s">
        <v>683</v>
      </c>
      <c r="B66" s="19">
        <v>40</v>
      </c>
      <c r="C66" s="19" t="s">
        <v>689</v>
      </c>
      <c r="D66" s="19">
        <v>20</v>
      </c>
      <c r="E66" s="32" t="s">
        <v>2805</v>
      </c>
      <c r="F66" s="19">
        <v>4</v>
      </c>
      <c r="G66" s="89" t="s">
        <v>697</v>
      </c>
      <c r="H66" s="89">
        <v>2</v>
      </c>
      <c r="I66" s="89"/>
      <c r="J66" s="89"/>
      <c r="K66" s="23">
        <f t="shared" si="17"/>
        <v>0.70588235294117652</v>
      </c>
      <c r="L66" s="23">
        <f t="shared" si="18"/>
        <v>14.117647058823531</v>
      </c>
      <c r="M66" s="23">
        <f t="shared" si="19"/>
        <v>14.000000000000002</v>
      </c>
      <c r="N66" s="23">
        <f t="shared" si="20"/>
        <v>56.000000000000007</v>
      </c>
      <c r="O66" s="23">
        <f t="shared" si="21"/>
        <v>2.1176470588235294</v>
      </c>
      <c r="P66" s="23">
        <f t="shared" si="22"/>
        <v>4.2352941176470589</v>
      </c>
      <c r="Q66" s="23" t="str">
        <f t="shared" si="23"/>
        <v/>
      </c>
      <c r="R66" s="23" t="str">
        <f t="shared" si="24"/>
        <v/>
      </c>
      <c r="S66" s="108">
        <f t="shared" si="16"/>
        <v>8</v>
      </c>
      <c r="T66" s="28">
        <f t="shared" si="25"/>
        <v>82.352941176470594</v>
      </c>
      <c r="U66" s="28">
        <f t="shared" si="26"/>
        <v>86.47058823529413</v>
      </c>
      <c r="V66" s="28">
        <f t="shared" si="27"/>
        <v>2.1617647058823533</v>
      </c>
      <c r="W66" s="28">
        <f t="shared" si="28"/>
        <v>0.65</v>
      </c>
      <c r="X66" s="63">
        <f t="shared" si="29"/>
        <v>2.4</v>
      </c>
    </row>
    <row r="67" spans="1:24">
      <c r="A67" s="89" t="s">
        <v>684</v>
      </c>
      <c r="B67" s="89">
        <v>40</v>
      </c>
      <c r="C67" s="33" t="s">
        <v>2802</v>
      </c>
      <c r="D67" s="89">
        <v>28</v>
      </c>
      <c r="E67" s="9" t="s">
        <v>2801</v>
      </c>
      <c r="F67" s="89">
        <v>8</v>
      </c>
      <c r="G67" s="18" t="s">
        <v>1487</v>
      </c>
      <c r="H67" s="89">
        <v>8</v>
      </c>
      <c r="I67" s="89"/>
      <c r="J67" s="89"/>
      <c r="K67" s="23">
        <f t="shared" ref="K67:K98" si="30">IF(C67="","",VLOOKUP(C67,成本单价,8,0))</f>
        <v>1.1764705882352942</v>
      </c>
      <c r="L67" s="23">
        <f t="shared" ref="L67:L98" si="31">IFERROR(D67*K67,"")</f>
        <v>32.941176470588239</v>
      </c>
      <c r="M67" s="23">
        <f t="shared" ref="M67:M98" si="32">IF(E67="","",VLOOKUP(E67,成本单价,8,0))</f>
        <v>1.6235294117647059</v>
      </c>
      <c r="N67" s="23">
        <f t="shared" ref="N67:N98" si="33">IFERROR(F67*M67,"")</f>
        <v>12.988235294117647</v>
      </c>
      <c r="O67" s="23">
        <f t="shared" ref="O67:O98" si="34">IF(G67="","",VLOOKUP(G67,成本单价,8,0))</f>
        <v>1.2941176470588236</v>
      </c>
      <c r="P67" s="23">
        <f t="shared" ref="P67:P98" si="35">IFERROR(H67*O67,"")</f>
        <v>10.352941176470589</v>
      </c>
      <c r="Q67" s="23" t="str">
        <f t="shared" ref="Q67:Q98" si="36">IF(I67="","",VLOOKUP(I67,成本单价,8,0))</f>
        <v/>
      </c>
      <c r="R67" s="23" t="str">
        <f t="shared" ref="R67:R98" si="37">IFERROR(J67*Q67,"")</f>
        <v/>
      </c>
      <c r="S67" s="108">
        <f t="shared" si="16"/>
        <v>8</v>
      </c>
      <c r="T67" s="28">
        <f t="shared" ref="T67:T98" si="38">IFERROR(SUM(L67,N67,P67,R67,S67),"")</f>
        <v>64.28235294117647</v>
      </c>
      <c r="U67" s="28">
        <f t="shared" ref="U67:U98" si="39">T67*(1+物料比)</f>
        <v>67.496470588235297</v>
      </c>
      <c r="V67" s="128">
        <f t="shared" ref="V67:V98" si="40">U67/B67</f>
        <v>1.6874117647058824</v>
      </c>
      <c r="W67" s="128">
        <f t="shared" ref="W67:W98" si="41">D67/B67+F67/B67+H67/B67+J67/B67</f>
        <v>1.0999999999999999</v>
      </c>
      <c r="X67" s="63">
        <f t="shared" ref="X67:X98" si="42">ROUND(V67*(1+大灶毛利),1)</f>
        <v>1.9</v>
      </c>
    </row>
    <row r="68" spans="1:24">
      <c r="A68" s="19" t="s">
        <v>685</v>
      </c>
      <c r="B68" s="19">
        <v>40</v>
      </c>
      <c r="C68" s="19" t="s">
        <v>319</v>
      </c>
      <c r="D68" s="19">
        <v>16</v>
      </c>
      <c r="E68" s="19" t="s">
        <v>695</v>
      </c>
      <c r="F68" s="19">
        <v>8</v>
      </c>
      <c r="G68" s="19"/>
      <c r="H68" s="19"/>
      <c r="I68" s="19"/>
      <c r="J68" s="19"/>
      <c r="K68" s="23">
        <f t="shared" si="30"/>
        <v>3.5714285714285716</v>
      </c>
      <c r="L68" s="23">
        <f t="shared" si="31"/>
        <v>57.142857142857146</v>
      </c>
      <c r="M68" s="23">
        <f t="shared" si="32"/>
        <v>2.1176470588235294</v>
      </c>
      <c r="N68" s="23">
        <f t="shared" si="33"/>
        <v>16.941176470588236</v>
      </c>
      <c r="O68" s="23" t="str">
        <f t="shared" si="34"/>
        <v/>
      </c>
      <c r="P68" s="23" t="str">
        <f t="shared" si="35"/>
        <v/>
      </c>
      <c r="Q68" s="23" t="str">
        <f t="shared" si="36"/>
        <v/>
      </c>
      <c r="R68" s="23" t="str">
        <f t="shared" si="37"/>
        <v/>
      </c>
      <c r="S68" s="108">
        <f t="shared" si="16"/>
        <v>8</v>
      </c>
      <c r="T68" s="28">
        <f t="shared" si="38"/>
        <v>82.084033613445385</v>
      </c>
      <c r="U68" s="28">
        <f t="shared" si="39"/>
        <v>86.188235294117661</v>
      </c>
      <c r="V68" s="28">
        <f t="shared" si="40"/>
        <v>2.1547058823529417</v>
      </c>
      <c r="W68" s="28">
        <f t="shared" si="41"/>
        <v>0.60000000000000009</v>
      </c>
      <c r="X68" s="63">
        <f t="shared" si="42"/>
        <v>2.4</v>
      </c>
    </row>
    <row r="69" spans="1:24">
      <c r="A69" s="19" t="s">
        <v>686</v>
      </c>
      <c r="B69" s="19">
        <v>40</v>
      </c>
      <c r="C69" s="19" t="s">
        <v>690</v>
      </c>
      <c r="D69" s="19">
        <v>20</v>
      </c>
      <c r="E69" s="26" t="s">
        <v>392</v>
      </c>
      <c r="F69" s="19">
        <v>0.5</v>
      </c>
      <c r="G69" s="19"/>
      <c r="H69" s="19"/>
      <c r="I69" s="19"/>
      <c r="J69" s="19"/>
      <c r="K69" s="23">
        <f t="shared" si="30"/>
        <v>0.94117647058823539</v>
      </c>
      <c r="L69" s="23">
        <f t="shared" si="31"/>
        <v>18.823529411764707</v>
      </c>
      <c r="M69" s="23">
        <f t="shared" si="32"/>
        <v>61.428571428571431</v>
      </c>
      <c r="N69" s="23">
        <f t="shared" si="33"/>
        <v>30.714285714285715</v>
      </c>
      <c r="O69" s="23" t="str">
        <f t="shared" si="34"/>
        <v/>
      </c>
      <c r="P69" s="23" t="str">
        <f t="shared" si="35"/>
        <v/>
      </c>
      <c r="Q69" s="23" t="str">
        <f t="shared" si="36"/>
        <v/>
      </c>
      <c r="R69" s="23" t="str">
        <f t="shared" si="37"/>
        <v/>
      </c>
      <c r="S69" s="108">
        <f t="shared" si="16"/>
        <v>8</v>
      </c>
      <c r="T69" s="28">
        <f t="shared" si="38"/>
        <v>57.537815126050418</v>
      </c>
      <c r="U69" s="28">
        <f t="shared" si="39"/>
        <v>60.414705882352941</v>
      </c>
      <c r="V69" s="28">
        <f t="shared" si="40"/>
        <v>1.5103676470588234</v>
      </c>
      <c r="W69" s="28">
        <f t="shared" si="41"/>
        <v>0.51249999999999996</v>
      </c>
      <c r="X69" s="63">
        <f t="shared" si="42"/>
        <v>1.7</v>
      </c>
    </row>
    <row r="70" spans="1:24">
      <c r="A70" s="19" t="s">
        <v>687</v>
      </c>
      <c r="B70" s="19">
        <v>30</v>
      </c>
      <c r="C70" s="19" t="s">
        <v>691</v>
      </c>
      <c r="D70" s="19">
        <v>21</v>
      </c>
      <c r="E70" s="19" t="s">
        <v>696</v>
      </c>
      <c r="F70" s="19">
        <v>3</v>
      </c>
      <c r="G70" s="19"/>
      <c r="H70" s="19"/>
      <c r="I70" s="19"/>
      <c r="J70" s="19"/>
      <c r="K70" s="23">
        <f t="shared" si="30"/>
        <v>0.94117647058823539</v>
      </c>
      <c r="L70" s="23">
        <f t="shared" si="31"/>
        <v>19.764705882352942</v>
      </c>
      <c r="M70" s="23">
        <f t="shared" si="32"/>
        <v>4.2352941176470589</v>
      </c>
      <c r="N70" s="23">
        <f t="shared" si="33"/>
        <v>12.705882352941178</v>
      </c>
      <c r="O70" s="23" t="str">
        <f t="shared" si="34"/>
        <v/>
      </c>
      <c r="P70" s="23" t="str">
        <f t="shared" si="35"/>
        <v/>
      </c>
      <c r="Q70" s="23" t="str">
        <f t="shared" si="36"/>
        <v/>
      </c>
      <c r="R70" s="23" t="str">
        <f t="shared" si="37"/>
        <v/>
      </c>
      <c r="S70" s="108">
        <f t="shared" si="16"/>
        <v>6</v>
      </c>
      <c r="T70" s="28">
        <f t="shared" si="38"/>
        <v>38.470588235294116</v>
      </c>
      <c r="U70" s="28">
        <f t="shared" si="39"/>
        <v>40.39411764705882</v>
      </c>
      <c r="V70" s="28">
        <f t="shared" si="40"/>
        <v>1.3464705882352941</v>
      </c>
      <c r="W70" s="28">
        <f t="shared" si="41"/>
        <v>0.79999999999999993</v>
      </c>
      <c r="X70" s="63">
        <f t="shared" si="42"/>
        <v>1.5</v>
      </c>
    </row>
    <row r="71" spans="1:24">
      <c r="A71" s="19" t="s">
        <v>700</v>
      </c>
      <c r="B71" s="89">
        <v>80</v>
      </c>
      <c r="C71" s="89" t="s">
        <v>707</v>
      </c>
      <c r="D71" s="89">
        <v>36</v>
      </c>
      <c r="E71" s="89" t="s">
        <v>692</v>
      </c>
      <c r="F71" s="89">
        <v>12</v>
      </c>
      <c r="G71" s="89"/>
      <c r="H71" s="89"/>
      <c r="I71" s="89"/>
      <c r="J71" s="89"/>
      <c r="K71" s="23">
        <f t="shared" si="30"/>
        <v>13</v>
      </c>
      <c r="L71" s="23">
        <f t="shared" si="31"/>
        <v>468</v>
      </c>
      <c r="M71" s="127">
        <f t="shared" si="32"/>
        <v>1.6470588235294117</v>
      </c>
      <c r="N71" s="23">
        <f t="shared" si="33"/>
        <v>19.764705882352942</v>
      </c>
      <c r="O71" s="23" t="str">
        <f t="shared" si="34"/>
        <v/>
      </c>
      <c r="P71" s="23" t="str">
        <f t="shared" si="35"/>
        <v/>
      </c>
      <c r="Q71" s="127" t="str">
        <f t="shared" si="36"/>
        <v/>
      </c>
      <c r="R71" s="23" t="str">
        <f t="shared" si="37"/>
        <v/>
      </c>
      <c r="S71" s="108">
        <f t="shared" si="16"/>
        <v>16</v>
      </c>
      <c r="T71" s="28">
        <f t="shared" si="38"/>
        <v>503.76470588235293</v>
      </c>
      <c r="U71" s="28">
        <f t="shared" si="39"/>
        <v>528.95294117647063</v>
      </c>
      <c r="V71" s="28">
        <f t="shared" si="40"/>
        <v>6.6119117647058827</v>
      </c>
      <c r="W71" s="28">
        <f t="shared" si="41"/>
        <v>0.6</v>
      </c>
      <c r="X71" s="63">
        <f t="shared" si="42"/>
        <v>7.3</v>
      </c>
    </row>
    <row r="72" spans="1:24" ht="15">
      <c r="A72" s="19" t="s">
        <v>701</v>
      </c>
      <c r="B72" s="19">
        <v>50</v>
      </c>
      <c r="C72" s="32" t="s">
        <v>2805</v>
      </c>
      <c r="D72" s="19">
        <v>20</v>
      </c>
      <c r="E72" s="19" t="s">
        <v>690</v>
      </c>
      <c r="F72" s="19">
        <v>10</v>
      </c>
      <c r="G72" s="30" t="s">
        <v>370</v>
      </c>
      <c r="H72" s="19">
        <v>5</v>
      </c>
      <c r="I72" s="19"/>
      <c r="J72" s="19"/>
      <c r="K72" s="23">
        <f t="shared" si="30"/>
        <v>14.000000000000002</v>
      </c>
      <c r="L72" s="23">
        <f t="shared" si="31"/>
        <v>280.00000000000006</v>
      </c>
      <c r="M72" s="23">
        <f t="shared" si="32"/>
        <v>0.94117647058823539</v>
      </c>
      <c r="N72" s="23">
        <f t="shared" si="33"/>
        <v>9.4117647058823533</v>
      </c>
      <c r="O72" s="23">
        <f t="shared" si="34"/>
        <v>5</v>
      </c>
      <c r="P72" s="23">
        <f t="shared" si="35"/>
        <v>25</v>
      </c>
      <c r="Q72" s="23" t="str">
        <f t="shared" si="36"/>
        <v/>
      </c>
      <c r="R72" s="23" t="str">
        <f t="shared" si="37"/>
        <v/>
      </c>
      <c r="S72" s="108">
        <f t="shared" si="16"/>
        <v>10</v>
      </c>
      <c r="T72" s="28">
        <f t="shared" si="38"/>
        <v>324.41176470588243</v>
      </c>
      <c r="U72" s="28">
        <f t="shared" si="39"/>
        <v>340.63235294117658</v>
      </c>
      <c r="V72" s="28">
        <f t="shared" si="40"/>
        <v>6.8126470588235319</v>
      </c>
      <c r="W72" s="28">
        <f t="shared" si="41"/>
        <v>0.70000000000000007</v>
      </c>
      <c r="X72" s="63">
        <f t="shared" si="42"/>
        <v>7.5</v>
      </c>
    </row>
    <row r="73" spans="1:24">
      <c r="A73" s="19" t="s">
        <v>702</v>
      </c>
      <c r="B73" s="19">
        <v>60</v>
      </c>
      <c r="C73" s="19" t="s">
        <v>394</v>
      </c>
      <c r="D73" s="19">
        <v>18</v>
      </c>
      <c r="E73" s="89" t="s">
        <v>711</v>
      </c>
      <c r="F73" s="19">
        <v>8</v>
      </c>
      <c r="G73" s="26" t="s">
        <v>392</v>
      </c>
      <c r="H73" s="19">
        <v>0.8</v>
      </c>
      <c r="I73" s="19" t="s">
        <v>693</v>
      </c>
      <c r="J73" s="19">
        <v>6</v>
      </c>
      <c r="K73" s="23">
        <f t="shared" si="30"/>
        <v>3.2941176470588234</v>
      </c>
      <c r="L73" s="23">
        <f t="shared" si="31"/>
        <v>59.294117647058819</v>
      </c>
      <c r="M73" s="23">
        <f t="shared" si="32"/>
        <v>4.7058823529411766</v>
      </c>
      <c r="N73" s="23">
        <f t="shared" si="33"/>
        <v>37.647058823529413</v>
      </c>
      <c r="O73" s="23">
        <f t="shared" si="34"/>
        <v>61.428571428571431</v>
      </c>
      <c r="P73" s="23">
        <f t="shared" si="35"/>
        <v>49.142857142857146</v>
      </c>
      <c r="Q73" s="23">
        <f t="shared" si="36"/>
        <v>2.1176470588235294</v>
      </c>
      <c r="R73" s="23">
        <f t="shared" si="37"/>
        <v>12.705882352941178</v>
      </c>
      <c r="S73" s="108">
        <f t="shared" si="16"/>
        <v>12</v>
      </c>
      <c r="T73" s="28">
        <f t="shared" si="38"/>
        <v>170.78991596638656</v>
      </c>
      <c r="U73" s="28">
        <f t="shared" si="39"/>
        <v>179.3294117647059</v>
      </c>
      <c r="V73" s="28">
        <f t="shared" si="40"/>
        <v>2.9888235294117651</v>
      </c>
      <c r="W73" s="28">
        <f t="shared" si="41"/>
        <v>0.54666666666666663</v>
      </c>
      <c r="X73" s="63">
        <f t="shared" si="42"/>
        <v>3.3</v>
      </c>
    </row>
    <row r="74" spans="1:24">
      <c r="A74" s="19" t="s">
        <v>703</v>
      </c>
      <c r="B74" s="19">
        <v>40</v>
      </c>
      <c r="C74" s="89" t="s">
        <v>708</v>
      </c>
      <c r="D74" s="19">
        <v>20</v>
      </c>
      <c r="E74" s="89" t="s">
        <v>614</v>
      </c>
      <c r="F74" s="19">
        <v>4</v>
      </c>
      <c r="G74" s="19"/>
      <c r="H74" s="19"/>
      <c r="I74" s="19"/>
      <c r="J74" s="19"/>
      <c r="K74" s="23">
        <f t="shared" si="30"/>
        <v>0.70588235294117652</v>
      </c>
      <c r="L74" s="23">
        <f t="shared" si="31"/>
        <v>14.117647058823531</v>
      </c>
      <c r="M74" s="23">
        <f t="shared" si="32"/>
        <v>15.428571428571431</v>
      </c>
      <c r="N74" s="23">
        <f t="shared" si="33"/>
        <v>61.714285714285722</v>
      </c>
      <c r="O74" s="23" t="str">
        <f t="shared" si="34"/>
        <v/>
      </c>
      <c r="P74" s="23" t="str">
        <f t="shared" si="35"/>
        <v/>
      </c>
      <c r="Q74" s="23" t="str">
        <f t="shared" si="36"/>
        <v/>
      </c>
      <c r="R74" s="23" t="str">
        <f t="shared" si="37"/>
        <v/>
      </c>
      <c r="S74" s="108">
        <f t="shared" si="16"/>
        <v>8</v>
      </c>
      <c r="T74" s="28">
        <f t="shared" si="38"/>
        <v>83.831932773109259</v>
      </c>
      <c r="U74" s="28">
        <f t="shared" si="39"/>
        <v>88.023529411764727</v>
      </c>
      <c r="V74" s="28">
        <f t="shared" si="40"/>
        <v>2.2005882352941182</v>
      </c>
      <c r="W74" s="28">
        <f t="shared" si="41"/>
        <v>0.6</v>
      </c>
      <c r="X74" s="63">
        <f t="shared" si="42"/>
        <v>2.4</v>
      </c>
    </row>
    <row r="75" spans="1:24" ht="15">
      <c r="A75" s="19" t="s">
        <v>704</v>
      </c>
      <c r="B75" s="19">
        <v>40</v>
      </c>
      <c r="C75" s="19" t="s">
        <v>690</v>
      </c>
      <c r="D75" s="19">
        <v>20</v>
      </c>
      <c r="E75" s="30" t="s">
        <v>393</v>
      </c>
      <c r="F75" s="19">
        <v>2</v>
      </c>
      <c r="G75" s="19" t="s">
        <v>712</v>
      </c>
      <c r="H75" s="19">
        <v>1</v>
      </c>
      <c r="I75" s="19"/>
      <c r="J75" s="19"/>
      <c r="K75" s="23">
        <f t="shared" si="30"/>
        <v>0.94117647058823539</v>
      </c>
      <c r="L75" s="23">
        <f t="shared" si="31"/>
        <v>18.823529411764707</v>
      </c>
      <c r="M75" s="23">
        <f t="shared" si="32"/>
        <v>2.8571428571428572</v>
      </c>
      <c r="N75" s="23">
        <f t="shared" si="33"/>
        <v>5.7142857142857144</v>
      </c>
      <c r="O75" s="23">
        <f t="shared" si="34"/>
        <v>14.117647058823529</v>
      </c>
      <c r="P75" s="23">
        <f t="shared" si="35"/>
        <v>14.117647058823529</v>
      </c>
      <c r="Q75" s="23" t="str">
        <f t="shared" si="36"/>
        <v/>
      </c>
      <c r="R75" s="23" t="str">
        <f t="shared" si="37"/>
        <v/>
      </c>
      <c r="S75" s="108">
        <f>B75*0.4</f>
        <v>16</v>
      </c>
      <c r="T75" s="28">
        <f t="shared" si="38"/>
        <v>54.655462184873954</v>
      </c>
      <c r="U75" s="28">
        <f t="shared" si="39"/>
        <v>57.388235294117656</v>
      </c>
      <c r="V75" s="28">
        <f t="shared" si="40"/>
        <v>1.4347058823529415</v>
      </c>
      <c r="W75" s="28">
        <f t="shared" si="41"/>
        <v>0.57500000000000007</v>
      </c>
      <c r="X75" s="63">
        <f t="shared" si="42"/>
        <v>1.6</v>
      </c>
    </row>
    <row r="76" spans="1:24" ht="15">
      <c r="A76" s="19" t="s">
        <v>705</v>
      </c>
      <c r="B76" s="19">
        <v>20</v>
      </c>
      <c r="C76" s="19" t="s">
        <v>709</v>
      </c>
      <c r="D76" s="19">
        <v>12</v>
      </c>
      <c r="E76" s="50" t="s">
        <v>372</v>
      </c>
      <c r="F76" s="19">
        <v>1</v>
      </c>
      <c r="G76" s="19"/>
      <c r="H76" s="19"/>
      <c r="I76" s="19"/>
      <c r="J76" s="19"/>
      <c r="K76" s="23">
        <f t="shared" si="30"/>
        <v>1.7647058823529411</v>
      </c>
      <c r="L76" s="23">
        <f t="shared" si="31"/>
        <v>21.176470588235293</v>
      </c>
      <c r="M76" s="23">
        <f t="shared" si="32"/>
        <v>10</v>
      </c>
      <c r="N76" s="23">
        <f t="shared" si="33"/>
        <v>10</v>
      </c>
      <c r="O76" s="23" t="str">
        <f t="shared" si="34"/>
        <v/>
      </c>
      <c r="P76" s="23" t="str">
        <f t="shared" si="35"/>
        <v/>
      </c>
      <c r="Q76" s="23" t="str">
        <f t="shared" si="36"/>
        <v/>
      </c>
      <c r="R76" s="23" t="str">
        <f t="shared" si="37"/>
        <v/>
      </c>
      <c r="S76" s="108">
        <f>B76*0.2</f>
        <v>4</v>
      </c>
      <c r="T76" s="28">
        <f t="shared" si="38"/>
        <v>35.17647058823529</v>
      </c>
      <c r="U76" s="28">
        <f t="shared" si="39"/>
        <v>36.935294117647054</v>
      </c>
      <c r="V76" s="28">
        <f t="shared" si="40"/>
        <v>1.8467647058823526</v>
      </c>
      <c r="W76" s="28">
        <f t="shared" si="41"/>
        <v>0.65</v>
      </c>
      <c r="X76" s="63">
        <f t="shared" si="42"/>
        <v>2</v>
      </c>
    </row>
    <row r="77" spans="1:24">
      <c r="A77" s="19" t="s">
        <v>706</v>
      </c>
      <c r="B77" s="19">
        <v>50</v>
      </c>
      <c r="C77" s="9" t="s">
        <v>2801</v>
      </c>
      <c r="D77" s="19">
        <v>35</v>
      </c>
      <c r="E77" s="19" t="s">
        <v>699</v>
      </c>
      <c r="F77" s="19">
        <v>5</v>
      </c>
      <c r="G77" s="19"/>
      <c r="H77" s="19"/>
      <c r="I77" s="19"/>
      <c r="J77" s="19"/>
      <c r="K77" s="23">
        <f t="shared" si="30"/>
        <v>1.6235294117647059</v>
      </c>
      <c r="L77" s="23">
        <f t="shared" si="31"/>
        <v>56.823529411764703</v>
      </c>
      <c r="M77" s="23">
        <f t="shared" si="32"/>
        <v>1.6470588235294117</v>
      </c>
      <c r="N77" s="23">
        <f t="shared" si="33"/>
        <v>8.235294117647058</v>
      </c>
      <c r="O77" s="23" t="str">
        <f t="shared" si="34"/>
        <v/>
      </c>
      <c r="P77" s="23" t="str">
        <f t="shared" si="35"/>
        <v/>
      </c>
      <c r="Q77" s="23" t="str">
        <f t="shared" si="36"/>
        <v/>
      </c>
      <c r="R77" s="23" t="str">
        <f t="shared" si="37"/>
        <v/>
      </c>
      <c r="S77" s="108">
        <f>B77*0.7</f>
        <v>35</v>
      </c>
      <c r="T77" s="28">
        <f t="shared" si="38"/>
        <v>100.05882352941177</v>
      </c>
      <c r="U77" s="28">
        <f t="shared" si="39"/>
        <v>105.06176470588237</v>
      </c>
      <c r="V77" s="28">
        <f t="shared" si="40"/>
        <v>2.1012352941176475</v>
      </c>
      <c r="W77" s="28">
        <f t="shared" si="41"/>
        <v>0.79999999999999993</v>
      </c>
      <c r="X77" s="63">
        <f t="shared" si="42"/>
        <v>2.2999999999999998</v>
      </c>
    </row>
    <row r="78" spans="1:24">
      <c r="A78" s="89" t="s">
        <v>713</v>
      </c>
      <c r="B78" s="89">
        <v>70</v>
      </c>
      <c r="C78" s="32" t="s">
        <v>277</v>
      </c>
      <c r="D78" s="89">
        <v>42</v>
      </c>
      <c r="E78" s="89"/>
      <c r="F78" s="89"/>
      <c r="G78" s="89"/>
      <c r="H78" s="89"/>
      <c r="I78" s="26"/>
      <c r="J78" s="26"/>
      <c r="K78" s="23">
        <f t="shared" si="30"/>
        <v>9.8571428571428577</v>
      </c>
      <c r="L78" s="23">
        <f t="shared" si="31"/>
        <v>414</v>
      </c>
      <c r="M78" s="23" t="str">
        <f t="shared" si="32"/>
        <v/>
      </c>
      <c r="N78" s="23" t="str">
        <f t="shared" si="33"/>
        <v/>
      </c>
      <c r="O78" s="23" t="str">
        <f t="shared" si="34"/>
        <v/>
      </c>
      <c r="P78" s="23" t="str">
        <f t="shared" si="35"/>
        <v/>
      </c>
      <c r="Q78" s="23" t="str">
        <f t="shared" si="36"/>
        <v/>
      </c>
      <c r="R78" s="23" t="str">
        <f t="shared" si="37"/>
        <v/>
      </c>
      <c r="S78" s="108">
        <f t="shared" ref="S78:S84" si="43">B78*0.2</f>
        <v>14</v>
      </c>
      <c r="T78" s="28">
        <f t="shared" si="38"/>
        <v>428</v>
      </c>
      <c r="U78" s="28">
        <f t="shared" si="39"/>
        <v>449.40000000000003</v>
      </c>
      <c r="V78" s="128">
        <f t="shared" si="40"/>
        <v>6.4200000000000008</v>
      </c>
      <c r="W78" s="128">
        <f t="shared" si="41"/>
        <v>0.6</v>
      </c>
      <c r="X78" s="63">
        <f t="shared" si="42"/>
        <v>7.1</v>
      </c>
    </row>
    <row r="79" spans="1:24">
      <c r="A79" s="89" t="s">
        <v>714</v>
      </c>
      <c r="B79" s="89">
        <v>40</v>
      </c>
      <c r="C79" s="32" t="s">
        <v>266</v>
      </c>
      <c r="D79" s="89">
        <v>24</v>
      </c>
      <c r="E79" s="89" t="s">
        <v>693</v>
      </c>
      <c r="F79" s="89">
        <v>8</v>
      </c>
      <c r="G79" s="89"/>
      <c r="H79" s="89"/>
      <c r="I79" s="26"/>
      <c r="J79" s="26"/>
      <c r="K79" s="23">
        <f t="shared" si="30"/>
        <v>5.7142857142857144</v>
      </c>
      <c r="L79" s="23">
        <f t="shared" si="31"/>
        <v>137.14285714285714</v>
      </c>
      <c r="M79" s="23">
        <f t="shared" si="32"/>
        <v>2.1176470588235294</v>
      </c>
      <c r="N79" s="23">
        <f t="shared" si="33"/>
        <v>16.941176470588236</v>
      </c>
      <c r="O79" s="23" t="str">
        <f t="shared" si="34"/>
        <v/>
      </c>
      <c r="P79" s="23" t="str">
        <f t="shared" si="35"/>
        <v/>
      </c>
      <c r="Q79" s="23" t="str">
        <f t="shared" si="36"/>
        <v/>
      </c>
      <c r="R79" s="23" t="str">
        <f t="shared" si="37"/>
        <v/>
      </c>
      <c r="S79" s="108">
        <f t="shared" si="43"/>
        <v>8</v>
      </c>
      <c r="T79" s="28">
        <f t="shared" si="38"/>
        <v>162.08403361344537</v>
      </c>
      <c r="U79" s="28">
        <f t="shared" si="39"/>
        <v>170.18823529411765</v>
      </c>
      <c r="V79" s="128">
        <f t="shared" si="40"/>
        <v>4.2547058823529413</v>
      </c>
      <c r="W79" s="128">
        <f t="shared" si="41"/>
        <v>0.8</v>
      </c>
      <c r="X79" s="63">
        <f t="shared" si="42"/>
        <v>4.7</v>
      </c>
    </row>
    <row r="80" spans="1:24">
      <c r="A80" s="19" t="s">
        <v>715</v>
      </c>
      <c r="B80" s="19">
        <v>80</v>
      </c>
      <c r="C80" s="49" t="s">
        <v>191</v>
      </c>
      <c r="D80" s="19">
        <v>32</v>
      </c>
      <c r="E80" s="19" t="s">
        <v>693</v>
      </c>
      <c r="F80" s="19">
        <v>3</v>
      </c>
      <c r="G80" s="19" t="s">
        <v>722</v>
      </c>
      <c r="H80" s="19">
        <v>1</v>
      </c>
      <c r="I80" s="26"/>
      <c r="J80" s="26"/>
      <c r="K80" s="23">
        <f t="shared" si="30"/>
        <v>13.857142857142858</v>
      </c>
      <c r="L80" s="23">
        <f t="shared" si="31"/>
        <v>443.42857142857144</v>
      </c>
      <c r="M80" s="23">
        <f t="shared" si="32"/>
        <v>2.1176470588235294</v>
      </c>
      <c r="N80" s="23">
        <f t="shared" si="33"/>
        <v>6.3529411764705888</v>
      </c>
      <c r="O80" s="23">
        <f t="shared" si="34"/>
        <v>2.2352941176470589</v>
      </c>
      <c r="P80" s="23">
        <f t="shared" si="35"/>
        <v>2.2352941176470589</v>
      </c>
      <c r="Q80" s="23" t="str">
        <f t="shared" si="36"/>
        <v/>
      </c>
      <c r="R80" s="23" t="str">
        <f t="shared" si="37"/>
        <v/>
      </c>
      <c r="S80" s="108">
        <f t="shared" si="43"/>
        <v>16</v>
      </c>
      <c r="T80" s="28">
        <f t="shared" si="38"/>
        <v>468.01680672268913</v>
      </c>
      <c r="U80" s="28">
        <f t="shared" si="39"/>
        <v>491.4176470588236</v>
      </c>
      <c r="V80" s="28">
        <f t="shared" si="40"/>
        <v>6.1427205882352949</v>
      </c>
      <c r="W80" s="28">
        <f t="shared" si="41"/>
        <v>0.45</v>
      </c>
      <c r="X80" s="63">
        <f t="shared" si="42"/>
        <v>6.8</v>
      </c>
    </row>
    <row r="81" spans="1:24" ht="15">
      <c r="A81" s="19" t="s">
        <v>716</v>
      </c>
      <c r="B81" s="19">
        <v>40</v>
      </c>
      <c r="C81" s="89" t="s">
        <v>719</v>
      </c>
      <c r="D81" s="19">
        <v>20</v>
      </c>
      <c r="E81" s="30" t="s">
        <v>363</v>
      </c>
      <c r="F81" s="19">
        <v>2</v>
      </c>
      <c r="G81" s="19" t="s">
        <v>614</v>
      </c>
      <c r="H81" s="19">
        <v>4</v>
      </c>
      <c r="I81" s="26"/>
      <c r="J81" s="26"/>
      <c r="K81" s="23">
        <f t="shared" si="30"/>
        <v>1.2857142857142858</v>
      </c>
      <c r="L81" s="23">
        <f t="shared" si="31"/>
        <v>25.714285714285715</v>
      </c>
      <c r="M81" s="23">
        <f t="shared" si="32"/>
        <v>6.4285714285714288</v>
      </c>
      <c r="N81" s="23">
        <f t="shared" si="33"/>
        <v>12.857142857142858</v>
      </c>
      <c r="O81" s="23">
        <f t="shared" si="34"/>
        <v>15.428571428571431</v>
      </c>
      <c r="P81" s="23">
        <f t="shared" si="35"/>
        <v>61.714285714285722</v>
      </c>
      <c r="Q81" s="23" t="str">
        <f t="shared" si="36"/>
        <v/>
      </c>
      <c r="R81" s="23" t="str">
        <f t="shared" si="37"/>
        <v/>
      </c>
      <c r="S81" s="108">
        <f t="shared" si="43"/>
        <v>8</v>
      </c>
      <c r="T81" s="28">
        <f t="shared" si="38"/>
        <v>108.28571428571429</v>
      </c>
      <c r="U81" s="28">
        <f t="shared" si="39"/>
        <v>113.70000000000002</v>
      </c>
      <c r="V81" s="28">
        <f t="shared" si="40"/>
        <v>2.8425000000000002</v>
      </c>
      <c r="W81" s="28">
        <f t="shared" si="41"/>
        <v>0.65</v>
      </c>
      <c r="X81" s="63">
        <f t="shared" si="42"/>
        <v>3.1</v>
      </c>
    </row>
    <row r="82" spans="1:24">
      <c r="A82" s="19" t="s">
        <v>717</v>
      </c>
      <c r="B82" s="19">
        <v>40</v>
      </c>
      <c r="C82" s="89" t="s">
        <v>638</v>
      </c>
      <c r="D82" s="19">
        <v>12</v>
      </c>
      <c r="E82" s="19" t="s">
        <v>721</v>
      </c>
      <c r="F82" s="19">
        <v>10</v>
      </c>
      <c r="G82" s="89"/>
      <c r="H82" s="19"/>
      <c r="I82" s="26"/>
      <c r="J82" s="26"/>
      <c r="K82" s="23">
        <f t="shared" si="30"/>
        <v>1.0588235294117647</v>
      </c>
      <c r="L82" s="23">
        <f t="shared" si="31"/>
        <v>12.705882352941178</v>
      </c>
      <c r="M82" s="23">
        <f t="shared" si="32"/>
        <v>8.5714285714285712</v>
      </c>
      <c r="N82" s="23">
        <f t="shared" si="33"/>
        <v>85.714285714285708</v>
      </c>
      <c r="O82" s="23" t="str">
        <f t="shared" si="34"/>
        <v/>
      </c>
      <c r="P82" s="23" t="str">
        <f t="shared" si="35"/>
        <v/>
      </c>
      <c r="Q82" s="23" t="str">
        <f t="shared" si="36"/>
        <v/>
      </c>
      <c r="R82" s="23" t="str">
        <f t="shared" si="37"/>
        <v/>
      </c>
      <c r="S82" s="108">
        <f t="shared" si="43"/>
        <v>8</v>
      </c>
      <c r="T82" s="28">
        <f t="shared" si="38"/>
        <v>106.42016806722688</v>
      </c>
      <c r="U82" s="28">
        <f t="shared" si="39"/>
        <v>111.74117647058823</v>
      </c>
      <c r="V82" s="28">
        <f t="shared" si="40"/>
        <v>2.7935294117647058</v>
      </c>
      <c r="W82" s="28">
        <f t="shared" si="41"/>
        <v>0.55000000000000004</v>
      </c>
      <c r="X82" s="63">
        <f t="shared" si="42"/>
        <v>3.1</v>
      </c>
    </row>
    <row r="83" spans="1:24">
      <c r="A83" s="19" t="s">
        <v>718</v>
      </c>
      <c r="B83" s="19">
        <v>40</v>
      </c>
      <c r="C83" s="19" t="s">
        <v>720</v>
      </c>
      <c r="D83" s="19">
        <v>24</v>
      </c>
      <c r="E83" s="89"/>
      <c r="F83" s="19"/>
      <c r="G83" s="19"/>
      <c r="H83" s="19"/>
      <c r="I83" s="26"/>
      <c r="J83" s="26"/>
      <c r="K83" s="23">
        <f t="shared" si="30"/>
        <v>0.88235294117647056</v>
      </c>
      <c r="L83" s="23">
        <f t="shared" si="31"/>
        <v>21.176470588235293</v>
      </c>
      <c r="M83" s="23" t="str">
        <f t="shared" si="32"/>
        <v/>
      </c>
      <c r="N83" s="23" t="str">
        <f t="shared" si="33"/>
        <v/>
      </c>
      <c r="O83" s="23" t="str">
        <f t="shared" si="34"/>
        <v/>
      </c>
      <c r="P83" s="23" t="str">
        <f t="shared" si="35"/>
        <v/>
      </c>
      <c r="Q83" s="23" t="str">
        <f t="shared" si="36"/>
        <v/>
      </c>
      <c r="R83" s="23" t="str">
        <f t="shared" si="37"/>
        <v/>
      </c>
      <c r="S83" s="108">
        <f t="shared" si="43"/>
        <v>8</v>
      </c>
      <c r="T83" s="28">
        <f t="shared" si="38"/>
        <v>29.176470588235293</v>
      </c>
      <c r="U83" s="28">
        <f t="shared" si="39"/>
        <v>30.63529411764706</v>
      </c>
      <c r="V83" s="28">
        <f t="shared" si="40"/>
        <v>0.76588235294117646</v>
      </c>
      <c r="W83" s="28">
        <f t="shared" si="41"/>
        <v>0.6</v>
      </c>
      <c r="X83" s="63">
        <f t="shared" si="42"/>
        <v>0.8</v>
      </c>
    </row>
    <row r="84" spans="1:24">
      <c r="A84" s="19" t="s">
        <v>727</v>
      </c>
      <c r="B84" s="19">
        <v>60</v>
      </c>
      <c r="C84" s="19" t="s">
        <v>735</v>
      </c>
      <c r="D84" s="19">
        <v>30</v>
      </c>
      <c r="E84" s="19"/>
      <c r="F84" s="19"/>
      <c r="G84" s="89"/>
      <c r="H84" s="19"/>
      <c r="I84" s="26"/>
      <c r="J84" s="26"/>
      <c r="K84" s="23">
        <f t="shared" si="30"/>
        <v>10.714285714285715</v>
      </c>
      <c r="L84" s="23">
        <f t="shared" si="31"/>
        <v>321.42857142857144</v>
      </c>
      <c r="M84" s="23" t="str">
        <f t="shared" si="32"/>
        <v/>
      </c>
      <c r="N84" s="23" t="str">
        <f t="shared" si="33"/>
        <v/>
      </c>
      <c r="O84" s="23" t="str">
        <f t="shared" si="34"/>
        <v/>
      </c>
      <c r="P84" s="23" t="str">
        <f t="shared" si="35"/>
        <v/>
      </c>
      <c r="Q84" s="23" t="str">
        <f t="shared" si="36"/>
        <v/>
      </c>
      <c r="R84" s="23" t="str">
        <f t="shared" si="37"/>
        <v/>
      </c>
      <c r="S84" s="108">
        <f t="shared" si="43"/>
        <v>12</v>
      </c>
      <c r="T84" s="28">
        <f t="shared" si="38"/>
        <v>333.42857142857144</v>
      </c>
      <c r="U84" s="28">
        <f t="shared" si="39"/>
        <v>350.1</v>
      </c>
      <c r="V84" s="28">
        <f t="shared" si="40"/>
        <v>5.835</v>
      </c>
      <c r="W84" s="28">
        <f t="shared" si="41"/>
        <v>0.5</v>
      </c>
      <c r="X84" s="63">
        <f t="shared" si="42"/>
        <v>6.4</v>
      </c>
    </row>
    <row r="85" spans="1:24">
      <c r="A85" s="19" t="s">
        <v>728</v>
      </c>
      <c r="B85" s="19">
        <v>60</v>
      </c>
      <c r="C85" s="19" t="s">
        <v>736</v>
      </c>
      <c r="D85" s="19">
        <v>16</v>
      </c>
      <c r="E85" s="19" t="s">
        <v>693</v>
      </c>
      <c r="F85" s="19">
        <v>20</v>
      </c>
      <c r="G85" s="19"/>
      <c r="H85" s="19"/>
      <c r="I85" s="26"/>
      <c r="J85" s="26"/>
      <c r="K85" s="23">
        <f t="shared" si="30"/>
        <v>24.714285714285715</v>
      </c>
      <c r="L85" s="23">
        <f t="shared" si="31"/>
        <v>395.42857142857144</v>
      </c>
      <c r="M85" s="23">
        <f t="shared" si="32"/>
        <v>2.1176470588235294</v>
      </c>
      <c r="N85" s="23">
        <f t="shared" si="33"/>
        <v>42.352941176470587</v>
      </c>
      <c r="O85" s="23" t="str">
        <f t="shared" si="34"/>
        <v/>
      </c>
      <c r="P85" s="23" t="str">
        <f t="shared" si="35"/>
        <v/>
      </c>
      <c r="Q85" s="23" t="str">
        <f t="shared" si="36"/>
        <v/>
      </c>
      <c r="R85" s="23" t="str">
        <f t="shared" si="37"/>
        <v/>
      </c>
      <c r="S85" s="108">
        <f>B85*0.1</f>
        <v>6</v>
      </c>
      <c r="T85" s="28">
        <f t="shared" si="38"/>
        <v>443.78151260504205</v>
      </c>
      <c r="U85" s="28">
        <f t="shared" si="39"/>
        <v>465.9705882352942</v>
      </c>
      <c r="V85" s="28">
        <f t="shared" si="40"/>
        <v>7.7661764705882366</v>
      </c>
      <c r="W85" s="28">
        <f t="shared" si="41"/>
        <v>0.6</v>
      </c>
      <c r="X85" s="63">
        <f t="shared" si="42"/>
        <v>8.5</v>
      </c>
    </row>
    <row r="86" spans="1:24" ht="15">
      <c r="A86" s="19" t="s">
        <v>729</v>
      </c>
      <c r="B86" s="19">
        <v>80</v>
      </c>
      <c r="C86" s="32" t="s">
        <v>216</v>
      </c>
      <c r="D86" s="19">
        <v>20</v>
      </c>
      <c r="E86" s="19" t="s">
        <v>691</v>
      </c>
      <c r="F86" s="19">
        <v>10</v>
      </c>
      <c r="G86" s="30" t="s">
        <v>358</v>
      </c>
      <c r="H86" s="19">
        <v>0.2</v>
      </c>
      <c r="I86" s="26"/>
      <c r="J86" s="26"/>
      <c r="K86" s="23">
        <f t="shared" si="30"/>
        <v>17.571428571428573</v>
      </c>
      <c r="L86" s="23">
        <f t="shared" si="31"/>
        <v>351.42857142857144</v>
      </c>
      <c r="M86" s="23">
        <f t="shared" si="32"/>
        <v>0.94117647058823539</v>
      </c>
      <c r="N86" s="23">
        <f t="shared" si="33"/>
        <v>9.4117647058823533</v>
      </c>
      <c r="O86" s="23">
        <f t="shared" si="34"/>
        <v>42.857142857142861</v>
      </c>
      <c r="P86" s="23">
        <f t="shared" si="35"/>
        <v>8.571428571428573</v>
      </c>
      <c r="Q86" s="23" t="str">
        <f t="shared" si="36"/>
        <v/>
      </c>
      <c r="R86" s="23" t="str">
        <f t="shared" si="37"/>
        <v/>
      </c>
      <c r="S86" s="108">
        <f t="shared" ref="S86:S118" si="44">B86*0.2</f>
        <v>16</v>
      </c>
      <c r="T86" s="28">
        <f t="shared" si="38"/>
        <v>385.41176470588238</v>
      </c>
      <c r="U86" s="28">
        <f t="shared" si="39"/>
        <v>404.68235294117653</v>
      </c>
      <c r="V86" s="28">
        <f t="shared" si="40"/>
        <v>5.0585294117647068</v>
      </c>
      <c r="W86" s="28">
        <f t="shared" si="41"/>
        <v>0.3775</v>
      </c>
      <c r="X86" s="63">
        <f t="shared" si="42"/>
        <v>5.6</v>
      </c>
    </row>
    <row r="87" spans="1:24">
      <c r="A87" s="19" t="s">
        <v>730</v>
      </c>
      <c r="B87" s="19">
        <v>150</v>
      </c>
      <c r="C87" s="89" t="s">
        <v>730</v>
      </c>
      <c r="D87" s="19">
        <v>1</v>
      </c>
      <c r="E87" s="19"/>
      <c r="F87" s="19"/>
      <c r="G87" s="89"/>
      <c r="H87" s="19"/>
      <c r="I87" s="26"/>
      <c r="J87" s="26"/>
      <c r="K87" s="23">
        <f t="shared" si="30"/>
        <v>14.428571428571429</v>
      </c>
      <c r="L87" s="23">
        <f t="shared" si="31"/>
        <v>14.428571428571429</v>
      </c>
      <c r="M87" s="23" t="str">
        <f t="shared" si="32"/>
        <v/>
      </c>
      <c r="N87" s="23" t="str">
        <f t="shared" si="33"/>
        <v/>
      </c>
      <c r="O87" s="23" t="str">
        <f t="shared" si="34"/>
        <v/>
      </c>
      <c r="P87" s="23" t="str">
        <f t="shared" si="35"/>
        <v/>
      </c>
      <c r="Q87" s="23" t="str">
        <f t="shared" si="36"/>
        <v/>
      </c>
      <c r="R87" s="23" t="str">
        <f t="shared" si="37"/>
        <v/>
      </c>
      <c r="S87" s="108">
        <f t="shared" si="44"/>
        <v>30</v>
      </c>
      <c r="T87" s="28">
        <f t="shared" si="38"/>
        <v>44.428571428571431</v>
      </c>
      <c r="U87" s="28">
        <f t="shared" si="39"/>
        <v>46.650000000000006</v>
      </c>
      <c r="V87" s="28">
        <f t="shared" si="40"/>
        <v>0.31100000000000005</v>
      </c>
      <c r="W87" s="36">
        <f t="shared" si="41"/>
        <v>6.6666666666666671E-3</v>
      </c>
      <c r="X87" s="63">
        <f t="shared" si="42"/>
        <v>0.3</v>
      </c>
    </row>
    <row r="88" spans="1:24">
      <c r="A88" s="19" t="s">
        <v>731</v>
      </c>
      <c r="B88" s="19">
        <v>50</v>
      </c>
      <c r="C88" s="249" t="s">
        <v>2331</v>
      </c>
      <c r="D88" s="19">
        <v>25</v>
      </c>
      <c r="E88" s="32" t="s">
        <v>190</v>
      </c>
      <c r="F88" s="19">
        <v>5</v>
      </c>
      <c r="G88" s="19"/>
      <c r="H88" s="19"/>
      <c r="I88" s="26"/>
      <c r="J88" s="26"/>
      <c r="K88" s="23">
        <f t="shared" si="30"/>
        <v>25.714285714285715</v>
      </c>
      <c r="L88" s="23">
        <f t="shared" si="31"/>
        <v>642.85714285714289</v>
      </c>
      <c r="M88" s="23">
        <f t="shared" si="32"/>
        <v>13</v>
      </c>
      <c r="N88" s="23">
        <f t="shared" si="33"/>
        <v>65</v>
      </c>
      <c r="O88" s="23" t="str">
        <f t="shared" si="34"/>
        <v/>
      </c>
      <c r="P88" s="23" t="str">
        <f t="shared" si="35"/>
        <v/>
      </c>
      <c r="Q88" s="23" t="str">
        <f t="shared" si="36"/>
        <v/>
      </c>
      <c r="R88" s="23" t="str">
        <f t="shared" si="37"/>
        <v/>
      </c>
      <c r="S88" s="108">
        <f t="shared" si="44"/>
        <v>10</v>
      </c>
      <c r="T88" s="28">
        <f t="shared" si="38"/>
        <v>717.85714285714289</v>
      </c>
      <c r="U88" s="28">
        <f t="shared" si="39"/>
        <v>753.75000000000011</v>
      </c>
      <c r="V88" s="28">
        <f t="shared" si="40"/>
        <v>15.075000000000003</v>
      </c>
      <c r="W88" s="28">
        <f t="shared" si="41"/>
        <v>0.6</v>
      </c>
      <c r="X88" s="63">
        <f t="shared" si="42"/>
        <v>16.600000000000001</v>
      </c>
    </row>
    <row r="89" spans="1:24">
      <c r="A89" s="19" t="s">
        <v>732</v>
      </c>
      <c r="B89" s="19">
        <v>40</v>
      </c>
      <c r="C89" s="19" t="s">
        <v>694</v>
      </c>
      <c r="D89" s="19">
        <v>16</v>
      </c>
      <c r="E89" s="89" t="s">
        <v>319</v>
      </c>
      <c r="F89" s="19">
        <v>12</v>
      </c>
      <c r="G89" s="19"/>
      <c r="H89" s="19"/>
      <c r="I89" s="26"/>
      <c r="J89" s="26"/>
      <c r="K89" s="23">
        <f t="shared" si="30"/>
        <v>1.6470588235294117</v>
      </c>
      <c r="L89" s="23">
        <f t="shared" si="31"/>
        <v>26.352941176470587</v>
      </c>
      <c r="M89" s="23">
        <f t="shared" si="32"/>
        <v>3.5714285714285716</v>
      </c>
      <c r="N89" s="23">
        <f t="shared" si="33"/>
        <v>42.857142857142861</v>
      </c>
      <c r="O89" s="23" t="str">
        <f t="shared" si="34"/>
        <v/>
      </c>
      <c r="P89" s="23" t="str">
        <f t="shared" si="35"/>
        <v/>
      </c>
      <c r="Q89" s="23" t="str">
        <f t="shared" si="36"/>
        <v/>
      </c>
      <c r="R89" s="23" t="str">
        <f t="shared" si="37"/>
        <v/>
      </c>
      <c r="S89" s="108">
        <f>B89*0.4</f>
        <v>16</v>
      </c>
      <c r="T89" s="28">
        <f t="shared" si="38"/>
        <v>85.210084033613441</v>
      </c>
      <c r="U89" s="28">
        <f t="shared" si="39"/>
        <v>89.470588235294116</v>
      </c>
      <c r="V89" s="28">
        <f t="shared" si="40"/>
        <v>2.236764705882353</v>
      </c>
      <c r="W89" s="28">
        <f t="shared" si="41"/>
        <v>0.7</v>
      </c>
      <c r="X89" s="63">
        <f t="shared" si="42"/>
        <v>2.5</v>
      </c>
    </row>
    <row r="90" spans="1:24">
      <c r="A90" s="19" t="s">
        <v>733</v>
      </c>
      <c r="B90" s="19">
        <v>50</v>
      </c>
      <c r="C90" s="33" t="s">
        <v>1317</v>
      </c>
      <c r="D90" s="19">
        <v>30</v>
      </c>
      <c r="E90" s="19" t="s">
        <v>699</v>
      </c>
      <c r="F90" s="19">
        <v>5</v>
      </c>
      <c r="G90" s="19" t="s">
        <v>740</v>
      </c>
      <c r="H90" s="19">
        <v>1</v>
      </c>
      <c r="I90" s="26"/>
      <c r="J90" s="26"/>
      <c r="K90" s="23">
        <f t="shared" si="30"/>
        <v>1.2941176470588236</v>
      </c>
      <c r="L90" s="23">
        <f t="shared" si="31"/>
        <v>38.82352941176471</v>
      </c>
      <c r="M90" s="23">
        <f t="shared" si="32"/>
        <v>1.6470588235294117</v>
      </c>
      <c r="N90" s="23">
        <f t="shared" si="33"/>
        <v>8.235294117647058</v>
      </c>
      <c r="O90" s="23">
        <f t="shared" si="34"/>
        <v>8.3529411764705888</v>
      </c>
      <c r="P90" s="23">
        <f t="shared" si="35"/>
        <v>8.3529411764705888</v>
      </c>
      <c r="Q90" s="23" t="str">
        <f t="shared" si="36"/>
        <v/>
      </c>
      <c r="R90" s="23" t="str">
        <f t="shared" si="37"/>
        <v/>
      </c>
      <c r="S90" s="108">
        <f t="shared" si="44"/>
        <v>10</v>
      </c>
      <c r="T90" s="28">
        <f t="shared" si="38"/>
        <v>65.411764705882348</v>
      </c>
      <c r="U90" s="28">
        <f t="shared" si="39"/>
        <v>68.682352941176475</v>
      </c>
      <c r="V90" s="28">
        <f t="shared" si="40"/>
        <v>1.3736470588235294</v>
      </c>
      <c r="W90" s="28">
        <f t="shared" si="41"/>
        <v>0.72</v>
      </c>
      <c r="X90" s="63">
        <f t="shared" si="42"/>
        <v>1.5</v>
      </c>
    </row>
    <row r="91" spans="1:24">
      <c r="A91" s="19" t="s">
        <v>734</v>
      </c>
      <c r="B91" s="19">
        <v>30</v>
      </c>
      <c r="C91" s="19" t="s">
        <v>738</v>
      </c>
      <c r="D91" s="19">
        <v>18</v>
      </c>
      <c r="E91" s="19" t="s">
        <v>739</v>
      </c>
      <c r="F91" s="19">
        <v>3</v>
      </c>
      <c r="G91" s="19"/>
      <c r="H91" s="19"/>
      <c r="I91" s="26"/>
      <c r="J91" s="26"/>
      <c r="K91" s="23">
        <f t="shared" si="30"/>
        <v>1</v>
      </c>
      <c r="L91" s="23">
        <f t="shared" si="31"/>
        <v>18</v>
      </c>
      <c r="M91" s="23">
        <f t="shared" si="32"/>
        <v>2.1176470588235294</v>
      </c>
      <c r="N91" s="23">
        <f t="shared" si="33"/>
        <v>6.3529411764705888</v>
      </c>
      <c r="O91" s="23" t="str">
        <f t="shared" si="34"/>
        <v/>
      </c>
      <c r="P91" s="23" t="str">
        <f t="shared" si="35"/>
        <v/>
      </c>
      <c r="Q91" s="23" t="str">
        <f t="shared" si="36"/>
        <v/>
      </c>
      <c r="R91" s="23" t="str">
        <f t="shared" si="37"/>
        <v/>
      </c>
      <c r="S91" s="108">
        <f t="shared" si="44"/>
        <v>6</v>
      </c>
      <c r="T91" s="28">
        <f t="shared" si="38"/>
        <v>30.352941176470587</v>
      </c>
      <c r="U91" s="28">
        <f t="shared" si="39"/>
        <v>31.870588235294118</v>
      </c>
      <c r="V91" s="28">
        <f t="shared" si="40"/>
        <v>1.0623529411764705</v>
      </c>
      <c r="W91" s="28">
        <f t="shared" si="41"/>
        <v>0.7</v>
      </c>
      <c r="X91" s="63">
        <f t="shared" si="42"/>
        <v>1.2</v>
      </c>
    </row>
    <row r="92" spans="1:24" ht="15">
      <c r="A92" s="89" t="s">
        <v>723</v>
      </c>
      <c r="B92" s="89">
        <v>60</v>
      </c>
      <c r="C92" s="89" t="s">
        <v>634</v>
      </c>
      <c r="D92" s="89">
        <v>24</v>
      </c>
      <c r="E92" s="15" t="s">
        <v>2758</v>
      </c>
      <c r="F92" s="89">
        <v>12</v>
      </c>
      <c r="G92" s="50" t="s">
        <v>361</v>
      </c>
      <c r="H92" s="89">
        <v>2</v>
      </c>
      <c r="I92" s="89"/>
      <c r="J92" s="89"/>
      <c r="K92" s="23">
        <f t="shared" si="30"/>
        <v>7.2857142857142856</v>
      </c>
      <c r="L92" s="23">
        <f t="shared" si="31"/>
        <v>174.85714285714286</v>
      </c>
      <c r="M92" s="23">
        <f t="shared" si="32"/>
        <v>1.6235294117647059</v>
      </c>
      <c r="N92" s="23">
        <f t="shared" si="33"/>
        <v>19.482352941176472</v>
      </c>
      <c r="O92" s="23">
        <f t="shared" si="34"/>
        <v>12.857142857142858</v>
      </c>
      <c r="P92" s="23">
        <f t="shared" si="35"/>
        <v>25.714285714285715</v>
      </c>
      <c r="Q92" s="23" t="str">
        <f t="shared" si="36"/>
        <v/>
      </c>
      <c r="R92" s="23" t="str">
        <f t="shared" si="37"/>
        <v/>
      </c>
      <c r="S92" s="108">
        <f t="shared" si="44"/>
        <v>12</v>
      </c>
      <c r="T92" s="28">
        <f t="shared" si="38"/>
        <v>232.05378151260504</v>
      </c>
      <c r="U92" s="28">
        <f t="shared" si="39"/>
        <v>243.65647058823529</v>
      </c>
      <c r="V92" s="128">
        <f t="shared" si="40"/>
        <v>4.0609411764705881</v>
      </c>
      <c r="W92" s="128">
        <f t="shared" si="41"/>
        <v>0.63333333333333341</v>
      </c>
      <c r="X92" s="63">
        <f t="shared" si="42"/>
        <v>4.5</v>
      </c>
    </row>
    <row r="93" spans="1:24">
      <c r="A93" s="19" t="s">
        <v>724</v>
      </c>
      <c r="B93" s="19">
        <v>50</v>
      </c>
      <c r="C93" s="32" t="s">
        <v>216</v>
      </c>
      <c r="D93" s="19">
        <v>20</v>
      </c>
      <c r="E93" s="19" t="s">
        <v>622</v>
      </c>
      <c r="F93" s="19">
        <v>5</v>
      </c>
      <c r="G93" s="19"/>
      <c r="H93" s="19"/>
      <c r="I93" s="89"/>
      <c r="J93" s="89"/>
      <c r="K93" s="23">
        <f t="shared" si="30"/>
        <v>17.571428571428573</v>
      </c>
      <c r="L93" s="23">
        <f t="shared" si="31"/>
        <v>351.42857142857144</v>
      </c>
      <c r="M93" s="23">
        <f t="shared" si="32"/>
        <v>1.1176470588235294</v>
      </c>
      <c r="N93" s="23">
        <f t="shared" si="33"/>
        <v>5.5882352941176467</v>
      </c>
      <c r="O93" s="23" t="str">
        <f t="shared" si="34"/>
        <v/>
      </c>
      <c r="P93" s="23" t="str">
        <f t="shared" si="35"/>
        <v/>
      </c>
      <c r="Q93" s="23" t="str">
        <f t="shared" si="36"/>
        <v/>
      </c>
      <c r="R93" s="23" t="str">
        <f t="shared" si="37"/>
        <v/>
      </c>
      <c r="S93" s="108">
        <f t="shared" si="44"/>
        <v>10</v>
      </c>
      <c r="T93" s="28">
        <f t="shared" si="38"/>
        <v>367.01680672268907</v>
      </c>
      <c r="U93" s="28">
        <f t="shared" si="39"/>
        <v>385.36764705882354</v>
      </c>
      <c r="V93" s="28">
        <f t="shared" si="40"/>
        <v>7.7073529411764703</v>
      </c>
      <c r="W93" s="28">
        <f t="shared" si="41"/>
        <v>0.5</v>
      </c>
      <c r="X93" s="63">
        <f t="shared" si="42"/>
        <v>8.5</v>
      </c>
    </row>
    <row r="94" spans="1:24">
      <c r="A94" s="19" t="s">
        <v>725</v>
      </c>
      <c r="B94" s="19">
        <v>1</v>
      </c>
      <c r="C94" s="20" t="s">
        <v>741</v>
      </c>
      <c r="D94" s="19">
        <v>1</v>
      </c>
      <c r="E94" s="19"/>
      <c r="F94" s="19"/>
      <c r="G94" s="19"/>
      <c r="H94" s="19"/>
      <c r="I94" s="89"/>
      <c r="J94" s="89"/>
      <c r="K94" s="22">
        <f t="shared" si="30"/>
        <v>2</v>
      </c>
      <c r="L94" s="23">
        <f t="shared" si="31"/>
        <v>2</v>
      </c>
      <c r="M94" s="23" t="str">
        <f t="shared" si="32"/>
        <v/>
      </c>
      <c r="N94" s="23" t="str">
        <f t="shared" si="33"/>
        <v/>
      </c>
      <c r="O94" s="23" t="str">
        <f t="shared" si="34"/>
        <v/>
      </c>
      <c r="P94" s="23" t="str">
        <f t="shared" si="35"/>
        <v/>
      </c>
      <c r="Q94" s="23" t="str">
        <f t="shared" si="36"/>
        <v/>
      </c>
      <c r="R94" s="23" t="str">
        <f t="shared" si="37"/>
        <v/>
      </c>
      <c r="S94" s="108">
        <f t="shared" si="44"/>
        <v>0.2</v>
      </c>
      <c r="T94" s="28">
        <f t="shared" si="38"/>
        <v>2.2000000000000002</v>
      </c>
      <c r="U94" s="28">
        <f t="shared" si="39"/>
        <v>2.3100000000000005</v>
      </c>
      <c r="V94" s="28">
        <f t="shared" si="40"/>
        <v>2.3100000000000005</v>
      </c>
      <c r="W94" s="36">
        <f t="shared" si="41"/>
        <v>1</v>
      </c>
      <c r="X94" s="63">
        <f t="shared" si="42"/>
        <v>2.5</v>
      </c>
    </row>
    <row r="95" spans="1:24">
      <c r="A95" s="19" t="s">
        <v>726</v>
      </c>
      <c r="B95" s="19">
        <v>40</v>
      </c>
      <c r="C95" s="89" t="s">
        <v>720</v>
      </c>
      <c r="D95" s="19">
        <v>16</v>
      </c>
      <c r="E95" s="40" t="s">
        <v>2145</v>
      </c>
      <c r="F95" s="19">
        <v>8</v>
      </c>
      <c r="G95" s="19"/>
      <c r="H95" s="19"/>
      <c r="I95" s="89"/>
      <c r="J95" s="89"/>
      <c r="K95" s="23">
        <f t="shared" si="30"/>
        <v>0.88235294117647056</v>
      </c>
      <c r="L95" s="23">
        <f t="shared" si="31"/>
        <v>14.117647058823529</v>
      </c>
      <c r="M95" s="23">
        <f t="shared" si="32"/>
        <v>4.5333333333333332</v>
      </c>
      <c r="N95" s="23">
        <f t="shared" si="33"/>
        <v>36.266666666666666</v>
      </c>
      <c r="O95" s="23" t="str">
        <f t="shared" si="34"/>
        <v/>
      </c>
      <c r="P95" s="23" t="str">
        <f t="shared" si="35"/>
        <v/>
      </c>
      <c r="Q95" s="23" t="str">
        <f t="shared" si="36"/>
        <v/>
      </c>
      <c r="R95" s="23" t="str">
        <f t="shared" si="37"/>
        <v/>
      </c>
      <c r="S95" s="108">
        <f t="shared" si="44"/>
        <v>8</v>
      </c>
      <c r="T95" s="28">
        <f t="shared" si="38"/>
        <v>58.384313725490195</v>
      </c>
      <c r="U95" s="28">
        <f t="shared" si="39"/>
        <v>61.303529411764707</v>
      </c>
      <c r="V95" s="28">
        <f t="shared" si="40"/>
        <v>1.5325882352941176</v>
      </c>
      <c r="W95" s="28">
        <f t="shared" si="41"/>
        <v>0.60000000000000009</v>
      </c>
      <c r="X95" s="63">
        <f t="shared" si="42"/>
        <v>1.7</v>
      </c>
    </row>
    <row r="96" spans="1:24">
      <c r="A96" s="19" t="s">
        <v>1260</v>
      </c>
      <c r="B96" s="19">
        <v>30</v>
      </c>
      <c r="C96" s="19" t="s">
        <v>1261</v>
      </c>
      <c r="D96" s="19">
        <v>21</v>
      </c>
      <c r="E96" s="89"/>
      <c r="F96" s="19"/>
      <c r="G96" s="19"/>
      <c r="H96" s="19"/>
      <c r="I96" s="89"/>
      <c r="J96" s="89"/>
      <c r="K96" s="23">
        <f t="shared" si="30"/>
        <v>0.88235294117647056</v>
      </c>
      <c r="L96" s="23">
        <f t="shared" si="31"/>
        <v>18.52941176470588</v>
      </c>
      <c r="M96" s="23" t="str">
        <f t="shared" si="32"/>
        <v/>
      </c>
      <c r="N96" s="23" t="str">
        <f t="shared" si="33"/>
        <v/>
      </c>
      <c r="O96" s="23" t="str">
        <f t="shared" si="34"/>
        <v/>
      </c>
      <c r="P96" s="23" t="str">
        <f t="shared" si="35"/>
        <v/>
      </c>
      <c r="Q96" s="23" t="str">
        <f t="shared" si="36"/>
        <v/>
      </c>
      <c r="R96" s="23" t="str">
        <f t="shared" si="37"/>
        <v/>
      </c>
      <c r="S96" s="108">
        <f t="shared" si="44"/>
        <v>6</v>
      </c>
      <c r="T96" s="28">
        <f t="shared" si="38"/>
        <v>24.52941176470588</v>
      </c>
      <c r="U96" s="28">
        <f t="shared" si="39"/>
        <v>25.755882352941175</v>
      </c>
      <c r="V96" s="28">
        <f t="shared" si="40"/>
        <v>0.85852941176470587</v>
      </c>
      <c r="W96" s="28">
        <f t="shared" si="41"/>
        <v>0.7</v>
      </c>
      <c r="X96" s="63">
        <f t="shared" si="42"/>
        <v>0.9</v>
      </c>
    </row>
    <row r="97" spans="1:24">
      <c r="A97" s="19" t="s">
        <v>400</v>
      </c>
      <c r="B97" s="19">
        <v>15</v>
      </c>
      <c r="C97" s="19" t="s">
        <v>407</v>
      </c>
      <c r="D97" s="19">
        <v>4.5</v>
      </c>
      <c r="E97" s="19" t="s">
        <v>408</v>
      </c>
      <c r="F97" s="19">
        <v>3</v>
      </c>
      <c r="G97" s="19" t="s">
        <v>411</v>
      </c>
      <c r="H97" s="19">
        <v>1.5</v>
      </c>
      <c r="I97" s="89"/>
      <c r="J97" s="89"/>
      <c r="K97" s="23">
        <f t="shared" si="30"/>
        <v>15.428571428571431</v>
      </c>
      <c r="L97" s="23">
        <f t="shared" si="31"/>
        <v>69.428571428571445</v>
      </c>
      <c r="M97" s="23">
        <f t="shared" si="32"/>
        <v>6.15</v>
      </c>
      <c r="N97" s="23">
        <f t="shared" si="33"/>
        <v>18.450000000000003</v>
      </c>
      <c r="O97" s="23">
        <f t="shared" si="34"/>
        <v>1.6470588235294117</v>
      </c>
      <c r="P97" s="23">
        <f t="shared" si="35"/>
        <v>2.4705882352941178</v>
      </c>
      <c r="Q97" s="23" t="str">
        <f t="shared" si="36"/>
        <v/>
      </c>
      <c r="R97" s="23" t="str">
        <f t="shared" si="37"/>
        <v/>
      </c>
      <c r="S97" s="108">
        <f t="shared" si="44"/>
        <v>3</v>
      </c>
      <c r="T97" s="28">
        <f t="shared" si="38"/>
        <v>93.349159663865564</v>
      </c>
      <c r="U97" s="28">
        <f t="shared" si="39"/>
        <v>98.016617647058851</v>
      </c>
      <c r="V97" s="36">
        <f t="shared" si="40"/>
        <v>6.5344411764705903</v>
      </c>
      <c r="W97" s="36">
        <f t="shared" si="41"/>
        <v>0.6</v>
      </c>
      <c r="X97" s="63">
        <f t="shared" si="42"/>
        <v>7.2</v>
      </c>
    </row>
    <row r="98" spans="1:24" ht="23.25" customHeight="1">
      <c r="A98" s="18" t="s">
        <v>1006</v>
      </c>
      <c r="B98" s="19">
        <v>40</v>
      </c>
      <c r="C98" s="19" t="s">
        <v>409</v>
      </c>
      <c r="D98" s="19">
        <v>16</v>
      </c>
      <c r="E98" s="19" t="s">
        <v>406</v>
      </c>
      <c r="F98" s="19">
        <v>8</v>
      </c>
      <c r="G98" s="20" t="s">
        <v>415</v>
      </c>
      <c r="H98" s="19">
        <v>3</v>
      </c>
      <c r="I98" s="89"/>
      <c r="J98" s="89"/>
      <c r="K98" s="23">
        <f t="shared" si="30"/>
        <v>10.857142857142858</v>
      </c>
      <c r="L98" s="23">
        <f t="shared" si="31"/>
        <v>173.71428571428572</v>
      </c>
      <c r="M98" s="23">
        <f t="shared" si="32"/>
        <v>3.4117647058823528</v>
      </c>
      <c r="N98" s="23">
        <f t="shared" si="33"/>
        <v>27.294117647058822</v>
      </c>
      <c r="O98" s="23">
        <f t="shared" si="34"/>
        <v>7</v>
      </c>
      <c r="P98" s="23">
        <f t="shared" si="35"/>
        <v>21</v>
      </c>
      <c r="Q98" s="23" t="str">
        <f t="shared" si="36"/>
        <v/>
      </c>
      <c r="R98" s="23" t="str">
        <f t="shared" si="37"/>
        <v/>
      </c>
      <c r="S98" s="108">
        <f t="shared" si="44"/>
        <v>8</v>
      </c>
      <c r="T98" s="28">
        <f t="shared" si="38"/>
        <v>230.00840336134453</v>
      </c>
      <c r="U98" s="28">
        <f t="shared" si="39"/>
        <v>241.50882352941179</v>
      </c>
      <c r="V98" s="36">
        <f t="shared" si="40"/>
        <v>6.0377205882352944</v>
      </c>
      <c r="W98" s="36">
        <f t="shared" si="41"/>
        <v>0.67500000000000004</v>
      </c>
      <c r="X98" s="63">
        <f t="shared" si="42"/>
        <v>6.6</v>
      </c>
    </row>
    <row r="99" spans="1:24">
      <c r="A99" s="19" t="s">
        <v>401</v>
      </c>
      <c r="B99" s="19">
        <v>50</v>
      </c>
      <c r="C99" s="32" t="s">
        <v>2805</v>
      </c>
      <c r="D99" s="19">
        <v>23</v>
      </c>
      <c r="E99" s="19" t="s">
        <v>319</v>
      </c>
      <c r="F99" s="19">
        <v>7</v>
      </c>
      <c r="G99" s="19"/>
      <c r="H99" s="19"/>
      <c r="I99" s="89"/>
      <c r="J99" s="89"/>
      <c r="K99" s="23">
        <f t="shared" ref="K99:K129" si="45">IF(C99="","",VLOOKUP(C99,成本单价,8,0))</f>
        <v>14.000000000000002</v>
      </c>
      <c r="L99" s="23">
        <f t="shared" ref="L99:L129" si="46">IFERROR(D99*K99,"")</f>
        <v>322.00000000000006</v>
      </c>
      <c r="M99" s="23">
        <f t="shared" ref="M99:M129" si="47">IF(E99="","",VLOOKUP(E99,成本单价,8,0))</f>
        <v>3.5714285714285716</v>
      </c>
      <c r="N99" s="23">
        <f t="shared" ref="N99:N129" si="48">IFERROR(F99*M99,"")</f>
        <v>25</v>
      </c>
      <c r="O99" s="23" t="str">
        <f t="shared" ref="O99:O129" si="49">IF(G99="","",VLOOKUP(G99,成本单价,8,0))</f>
        <v/>
      </c>
      <c r="P99" s="23" t="str">
        <f t="shared" ref="P99:P129" si="50">IFERROR(H99*O99,"")</f>
        <v/>
      </c>
      <c r="Q99" s="23" t="str">
        <f t="shared" ref="Q99:Q129" si="51">IF(I99="","",VLOOKUP(I99,成本单价,8,0))</f>
        <v/>
      </c>
      <c r="R99" s="23" t="str">
        <f t="shared" ref="R99:R129" si="52">IFERROR(J99*Q99,"")</f>
        <v/>
      </c>
      <c r="S99" s="108">
        <f t="shared" si="44"/>
        <v>10</v>
      </c>
      <c r="T99" s="28">
        <f t="shared" ref="T99:T129" si="53">IFERROR(SUM(L99,N99,P99,R99,S99),"")</f>
        <v>357.00000000000006</v>
      </c>
      <c r="U99" s="28">
        <f t="shared" ref="U99:U129" si="54">T99*(1+物料比)</f>
        <v>374.85000000000008</v>
      </c>
      <c r="V99" s="36">
        <f t="shared" ref="V99:V129" si="55">U99/B99</f>
        <v>7.4970000000000017</v>
      </c>
      <c r="W99" s="36">
        <f t="shared" ref="W99:W129" si="56">D99/B99+F99/B99+H99/B99+J99/B99</f>
        <v>0.60000000000000009</v>
      </c>
      <c r="X99" s="63">
        <f t="shared" ref="X99:X104" si="57">ROUND(V99*(1+大灶毛利),1)</f>
        <v>8.1999999999999993</v>
      </c>
    </row>
    <row r="100" spans="1:24">
      <c r="A100" s="19" t="s">
        <v>402</v>
      </c>
      <c r="B100" s="19">
        <v>50</v>
      </c>
      <c r="C100" s="19" t="s">
        <v>410</v>
      </c>
      <c r="D100" s="19">
        <v>25</v>
      </c>
      <c r="E100" s="26" t="s">
        <v>190</v>
      </c>
      <c r="F100" s="19">
        <v>5</v>
      </c>
      <c r="G100" s="19"/>
      <c r="H100" s="19"/>
      <c r="I100" s="89"/>
      <c r="J100" s="89"/>
      <c r="K100" s="23">
        <f t="shared" si="45"/>
        <v>2.882352941176471</v>
      </c>
      <c r="L100" s="23">
        <f t="shared" si="46"/>
        <v>72.058823529411768</v>
      </c>
      <c r="M100" s="23">
        <f t="shared" si="47"/>
        <v>13</v>
      </c>
      <c r="N100" s="23">
        <f t="shared" si="48"/>
        <v>65</v>
      </c>
      <c r="O100" s="23" t="str">
        <f t="shared" si="49"/>
        <v/>
      </c>
      <c r="P100" s="23" t="str">
        <f t="shared" si="50"/>
        <v/>
      </c>
      <c r="Q100" s="23" t="str">
        <f t="shared" si="51"/>
        <v/>
      </c>
      <c r="R100" s="23" t="str">
        <f t="shared" si="52"/>
        <v/>
      </c>
      <c r="S100" s="108">
        <f t="shared" si="44"/>
        <v>10</v>
      </c>
      <c r="T100" s="28">
        <f t="shared" si="53"/>
        <v>147.05882352941177</v>
      </c>
      <c r="U100" s="28">
        <f t="shared" si="54"/>
        <v>154.41176470588238</v>
      </c>
      <c r="V100" s="36">
        <f t="shared" si="55"/>
        <v>3.0882352941176476</v>
      </c>
      <c r="W100" s="36">
        <f t="shared" si="56"/>
        <v>0.6</v>
      </c>
      <c r="X100" s="63">
        <f t="shared" si="57"/>
        <v>3.4</v>
      </c>
    </row>
    <row r="101" spans="1:24">
      <c r="A101" s="20" t="s">
        <v>403</v>
      </c>
      <c r="B101" s="20">
        <v>20</v>
      </c>
      <c r="C101" s="38" t="s">
        <v>120</v>
      </c>
      <c r="D101" s="20">
        <v>1</v>
      </c>
      <c r="E101" s="39" t="s">
        <v>183</v>
      </c>
      <c r="F101" s="20">
        <v>2</v>
      </c>
      <c r="G101" s="20" t="s">
        <v>407</v>
      </c>
      <c r="H101" s="20">
        <v>3</v>
      </c>
      <c r="I101" s="20"/>
      <c r="J101" s="20"/>
      <c r="K101" s="22">
        <f t="shared" si="45"/>
        <v>25.714285714285715</v>
      </c>
      <c r="L101" s="22">
        <f t="shared" si="46"/>
        <v>25.714285714285715</v>
      </c>
      <c r="M101" s="22">
        <f t="shared" si="47"/>
        <v>11.764705882352942</v>
      </c>
      <c r="N101" s="23">
        <f t="shared" si="48"/>
        <v>23.529411764705884</v>
      </c>
      <c r="O101" s="23">
        <f t="shared" si="49"/>
        <v>15.428571428571431</v>
      </c>
      <c r="P101" s="23">
        <f t="shared" si="50"/>
        <v>46.285714285714292</v>
      </c>
      <c r="Q101" s="23" t="str">
        <f t="shared" si="51"/>
        <v/>
      </c>
      <c r="R101" s="23" t="str">
        <f t="shared" si="52"/>
        <v/>
      </c>
      <c r="S101" s="108">
        <f t="shared" si="44"/>
        <v>4</v>
      </c>
      <c r="T101" s="28">
        <f t="shared" si="53"/>
        <v>99.529411764705884</v>
      </c>
      <c r="U101" s="28">
        <f t="shared" si="54"/>
        <v>104.50588235294119</v>
      </c>
      <c r="V101" s="36">
        <f t="shared" si="55"/>
        <v>5.2252941176470591</v>
      </c>
      <c r="W101" s="36">
        <f t="shared" si="56"/>
        <v>0.30000000000000004</v>
      </c>
      <c r="X101" s="63">
        <f t="shared" si="57"/>
        <v>5.7</v>
      </c>
    </row>
    <row r="102" spans="1:24">
      <c r="A102" s="19" t="s">
        <v>404</v>
      </c>
      <c r="B102" s="19">
        <v>30</v>
      </c>
      <c r="C102" s="19" t="s">
        <v>411</v>
      </c>
      <c r="D102" s="19">
        <v>12</v>
      </c>
      <c r="E102" s="40" t="s">
        <v>2146</v>
      </c>
      <c r="F102" s="19">
        <v>3</v>
      </c>
      <c r="G102" s="19" t="s">
        <v>407</v>
      </c>
      <c r="H102" s="19">
        <v>3</v>
      </c>
      <c r="I102" s="89"/>
      <c r="J102" s="89"/>
      <c r="K102" s="23">
        <f t="shared" si="45"/>
        <v>1.6470588235294117</v>
      </c>
      <c r="L102" s="23">
        <f t="shared" si="46"/>
        <v>19.764705882352942</v>
      </c>
      <c r="M102" s="23">
        <f t="shared" si="47"/>
        <v>3.4666666666666668</v>
      </c>
      <c r="N102" s="23">
        <f t="shared" si="48"/>
        <v>10.4</v>
      </c>
      <c r="O102" s="23">
        <f t="shared" si="49"/>
        <v>15.428571428571431</v>
      </c>
      <c r="P102" s="23">
        <f t="shared" si="50"/>
        <v>46.285714285714292</v>
      </c>
      <c r="Q102" s="23" t="str">
        <f t="shared" si="51"/>
        <v/>
      </c>
      <c r="R102" s="23" t="str">
        <f t="shared" si="52"/>
        <v/>
      </c>
      <c r="S102" s="108">
        <f t="shared" si="44"/>
        <v>6</v>
      </c>
      <c r="T102" s="28">
        <f t="shared" si="53"/>
        <v>82.45042016806724</v>
      </c>
      <c r="U102" s="28">
        <f t="shared" si="54"/>
        <v>86.572941176470607</v>
      </c>
      <c r="V102" s="36">
        <f t="shared" si="55"/>
        <v>2.8857647058823535</v>
      </c>
      <c r="W102" s="36">
        <f t="shared" si="56"/>
        <v>0.6</v>
      </c>
      <c r="X102" s="63">
        <f t="shared" si="57"/>
        <v>3.2</v>
      </c>
    </row>
    <row r="103" spans="1:24">
      <c r="A103" s="19" t="s">
        <v>405</v>
      </c>
      <c r="B103" s="19">
        <v>40</v>
      </c>
      <c r="C103" s="19" t="s">
        <v>413</v>
      </c>
      <c r="D103" s="19">
        <v>20</v>
      </c>
      <c r="E103" s="19" t="s">
        <v>414</v>
      </c>
      <c r="F103" s="19">
        <v>4</v>
      </c>
      <c r="G103" s="19"/>
      <c r="H103" s="19"/>
      <c r="I103" s="89"/>
      <c r="J103" s="89"/>
      <c r="K103" s="23">
        <f t="shared" si="45"/>
        <v>1.0588235294117647</v>
      </c>
      <c r="L103" s="23">
        <f t="shared" si="46"/>
        <v>21.176470588235293</v>
      </c>
      <c r="M103" s="23">
        <f t="shared" si="47"/>
        <v>4.2352941176470589</v>
      </c>
      <c r="N103" s="23">
        <f t="shared" si="48"/>
        <v>16.941176470588236</v>
      </c>
      <c r="O103" s="23" t="str">
        <f t="shared" si="49"/>
        <v/>
      </c>
      <c r="P103" s="23" t="str">
        <f t="shared" si="50"/>
        <v/>
      </c>
      <c r="Q103" s="23" t="str">
        <f t="shared" si="51"/>
        <v/>
      </c>
      <c r="R103" s="23" t="str">
        <f t="shared" si="52"/>
        <v/>
      </c>
      <c r="S103" s="108">
        <f t="shared" si="44"/>
        <v>8</v>
      </c>
      <c r="T103" s="28">
        <f t="shared" si="53"/>
        <v>46.117647058823529</v>
      </c>
      <c r="U103" s="28">
        <f t="shared" si="54"/>
        <v>48.423529411764704</v>
      </c>
      <c r="V103" s="36">
        <f t="shared" si="55"/>
        <v>1.2105882352941175</v>
      </c>
      <c r="W103" s="36">
        <f t="shared" si="56"/>
        <v>0.6</v>
      </c>
      <c r="X103" s="63">
        <f t="shared" si="57"/>
        <v>1.3</v>
      </c>
    </row>
    <row r="104" spans="1:24">
      <c r="A104" s="26" t="s">
        <v>416</v>
      </c>
      <c r="B104" s="27">
        <v>50</v>
      </c>
      <c r="C104" s="51" t="s">
        <v>417</v>
      </c>
      <c r="D104" s="27">
        <v>20</v>
      </c>
      <c r="E104" s="27" t="s">
        <v>418</v>
      </c>
      <c r="F104" s="27">
        <v>5</v>
      </c>
      <c r="G104" s="45" t="s">
        <v>2536</v>
      </c>
      <c r="H104" s="27">
        <v>8</v>
      </c>
      <c r="I104" s="27"/>
      <c r="J104" s="27"/>
      <c r="K104" s="23">
        <f t="shared" si="45"/>
        <v>7.2857142857142856</v>
      </c>
      <c r="L104" s="23">
        <f t="shared" si="46"/>
        <v>145.71428571428572</v>
      </c>
      <c r="M104" s="23">
        <f t="shared" si="47"/>
        <v>4.2352941176470589</v>
      </c>
      <c r="N104" s="23">
        <f t="shared" si="48"/>
        <v>21.176470588235293</v>
      </c>
      <c r="O104" s="23" t="e">
        <f t="shared" si="49"/>
        <v>#N/A</v>
      </c>
      <c r="P104" s="23" t="str">
        <f t="shared" si="50"/>
        <v/>
      </c>
      <c r="Q104" s="23" t="str">
        <f t="shared" si="51"/>
        <v/>
      </c>
      <c r="R104" s="23" t="str">
        <f t="shared" si="52"/>
        <v/>
      </c>
      <c r="S104" s="108">
        <f t="shared" si="44"/>
        <v>10</v>
      </c>
      <c r="T104" s="28">
        <f t="shared" si="53"/>
        <v>176.89075630252103</v>
      </c>
      <c r="U104" s="28">
        <f t="shared" si="54"/>
        <v>185.73529411764707</v>
      </c>
      <c r="V104" s="36">
        <f t="shared" si="55"/>
        <v>3.7147058823529413</v>
      </c>
      <c r="W104" s="36">
        <f t="shared" si="56"/>
        <v>0.66</v>
      </c>
      <c r="X104" s="63">
        <f t="shared" si="57"/>
        <v>4.0999999999999996</v>
      </c>
    </row>
    <row r="105" spans="1:24">
      <c r="A105" s="19" t="s">
        <v>430</v>
      </c>
      <c r="B105" s="19">
        <v>40</v>
      </c>
      <c r="C105" s="19" t="s">
        <v>434</v>
      </c>
      <c r="D105" s="19">
        <v>14</v>
      </c>
      <c r="E105" s="48" t="s">
        <v>133</v>
      </c>
      <c r="F105" s="19">
        <v>8</v>
      </c>
      <c r="G105" s="19"/>
      <c r="H105" s="19"/>
      <c r="I105" s="27"/>
      <c r="J105" s="27"/>
      <c r="K105" s="23">
        <f t="shared" si="45"/>
        <v>15.428571428571431</v>
      </c>
      <c r="L105" s="23">
        <f t="shared" si="46"/>
        <v>216.00000000000003</v>
      </c>
      <c r="M105" s="23">
        <f t="shared" si="47"/>
        <v>1.7647058823529411</v>
      </c>
      <c r="N105" s="23">
        <f t="shared" si="48"/>
        <v>14.117647058823529</v>
      </c>
      <c r="O105" s="23" t="str">
        <f t="shared" si="49"/>
        <v/>
      </c>
      <c r="P105" s="23" t="str">
        <f t="shared" si="50"/>
        <v/>
      </c>
      <c r="Q105" s="23" t="str">
        <f t="shared" si="51"/>
        <v/>
      </c>
      <c r="R105" s="23" t="str">
        <f t="shared" si="52"/>
        <v/>
      </c>
      <c r="S105" s="108">
        <f t="shared" si="44"/>
        <v>8</v>
      </c>
      <c r="T105" s="28">
        <f t="shared" si="53"/>
        <v>238.11764705882356</v>
      </c>
      <c r="U105" s="28">
        <f t="shared" si="54"/>
        <v>250.02352941176474</v>
      </c>
      <c r="V105" s="36">
        <f t="shared" si="55"/>
        <v>6.2505882352941189</v>
      </c>
      <c r="W105" s="36">
        <f t="shared" si="56"/>
        <v>0.55000000000000004</v>
      </c>
      <c r="X105" s="63">
        <f t="shared" ref="X105:X135" si="58">V105*(1+大灶毛利)</f>
        <v>6.8756470588235317</v>
      </c>
    </row>
    <row r="106" spans="1:24">
      <c r="A106" s="19" t="s">
        <v>431</v>
      </c>
      <c r="B106" s="19">
        <v>50</v>
      </c>
      <c r="C106" s="130" t="s">
        <v>435</v>
      </c>
      <c r="D106" s="19">
        <v>22</v>
      </c>
      <c r="E106" s="15" t="s">
        <v>2758</v>
      </c>
      <c r="F106" s="19">
        <v>15</v>
      </c>
      <c r="G106" s="19"/>
      <c r="H106" s="19"/>
      <c r="I106" s="27"/>
      <c r="J106" s="27"/>
      <c r="K106" s="23">
        <f t="shared" si="45"/>
        <v>11.285714285714286</v>
      </c>
      <c r="L106" s="23">
        <f t="shared" si="46"/>
        <v>248.28571428571431</v>
      </c>
      <c r="M106" s="23">
        <f t="shared" si="47"/>
        <v>1.6235294117647059</v>
      </c>
      <c r="N106" s="23">
        <f t="shared" si="48"/>
        <v>24.352941176470587</v>
      </c>
      <c r="O106" s="23" t="str">
        <f t="shared" si="49"/>
        <v/>
      </c>
      <c r="P106" s="23" t="str">
        <f t="shared" si="50"/>
        <v/>
      </c>
      <c r="Q106" s="23" t="str">
        <f t="shared" si="51"/>
        <v/>
      </c>
      <c r="R106" s="23" t="str">
        <f t="shared" si="52"/>
        <v/>
      </c>
      <c r="S106" s="108">
        <f t="shared" si="44"/>
        <v>10</v>
      </c>
      <c r="T106" s="28">
        <f t="shared" si="53"/>
        <v>282.63865546218489</v>
      </c>
      <c r="U106" s="28">
        <f t="shared" si="54"/>
        <v>296.77058823529416</v>
      </c>
      <c r="V106" s="36">
        <f t="shared" si="55"/>
        <v>5.9354117647058828</v>
      </c>
      <c r="W106" s="36">
        <f t="shared" si="56"/>
        <v>0.74</v>
      </c>
      <c r="X106" s="63">
        <f t="shared" si="58"/>
        <v>6.5289529411764713</v>
      </c>
    </row>
    <row r="107" spans="1:24">
      <c r="A107" s="19" t="s">
        <v>432</v>
      </c>
      <c r="B107" s="19">
        <v>30</v>
      </c>
      <c r="C107" s="19" t="s">
        <v>437</v>
      </c>
      <c r="D107" s="19">
        <v>15</v>
      </c>
      <c r="E107" s="26" t="s">
        <v>353</v>
      </c>
      <c r="F107" s="19">
        <v>0.3</v>
      </c>
      <c r="G107" s="19"/>
      <c r="H107" s="19"/>
      <c r="I107" s="27"/>
      <c r="J107" s="27"/>
      <c r="K107" s="23">
        <f t="shared" si="45"/>
        <v>0.70588235294117652</v>
      </c>
      <c r="L107" s="23">
        <f t="shared" si="46"/>
        <v>10.588235294117649</v>
      </c>
      <c r="M107" s="23">
        <f t="shared" si="47"/>
        <v>61.428571428571431</v>
      </c>
      <c r="N107" s="23">
        <f t="shared" si="48"/>
        <v>18.428571428571427</v>
      </c>
      <c r="O107" s="23" t="str">
        <f t="shared" si="49"/>
        <v/>
      </c>
      <c r="P107" s="23" t="str">
        <f t="shared" si="50"/>
        <v/>
      </c>
      <c r="Q107" s="23" t="str">
        <f t="shared" si="51"/>
        <v/>
      </c>
      <c r="R107" s="23" t="str">
        <f t="shared" si="52"/>
        <v/>
      </c>
      <c r="S107" s="108">
        <f t="shared" si="44"/>
        <v>6</v>
      </c>
      <c r="T107" s="28">
        <f t="shared" si="53"/>
        <v>35.016806722689076</v>
      </c>
      <c r="U107" s="28">
        <f t="shared" si="54"/>
        <v>36.767647058823528</v>
      </c>
      <c r="V107" s="36">
        <f t="shared" si="55"/>
        <v>1.2255882352941176</v>
      </c>
      <c r="W107" s="36">
        <f t="shared" si="56"/>
        <v>0.51</v>
      </c>
      <c r="X107" s="63">
        <f t="shared" si="58"/>
        <v>1.3481470588235296</v>
      </c>
    </row>
    <row r="108" spans="1:24" ht="15">
      <c r="A108" s="19" t="s">
        <v>433</v>
      </c>
      <c r="B108" s="19">
        <v>30</v>
      </c>
      <c r="C108" s="19" t="s">
        <v>438</v>
      </c>
      <c r="D108" s="19">
        <v>15</v>
      </c>
      <c r="E108" s="30" t="s">
        <v>370</v>
      </c>
      <c r="F108" s="19">
        <v>2</v>
      </c>
      <c r="G108" s="19"/>
      <c r="H108" s="19"/>
      <c r="I108" s="27"/>
      <c r="J108" s="27"/>
      <c r="K108" s="23">
        <f t="shared" si="45"/>
        <v>0.88235294117647056</v>
      </c>
      <c r="L108" s="23">
        <f t="shared" si="46"/>
        <v>13.235294117647058</v>
      </c>
      <c r="M108" s="23">
        <f t="shared" si="47"/>
        <v>5</v>
      </c>
      <c r="N108" s="23">
        <f t="shared" si="48"/>
        <v>10</v>
      </c>
      <c r="O108" s="23" t="str">
        <f t="shared" si="49"/>
        <v/>
      </c>
      <c r="P108" s="23" t="str">
        <f t="shared" si="50"/>
        <v/>
      </c>
      <c r="Q108" s="23" t="str">
        <f t="shared" si="51"/>
        <v/>
      </c>
      <c r="R108" s="23" t="str">
        <f t="shared" si="52"/>
        <v/>
      </c>
      <c r="S108" s="108">
        <f t="shared" si="44"/>
        <v>6</v>
      </c>
      <c r="T108" s="28">
        <f t="shared" si="53"/>
        <v>29.235294117647058</v>
      </c>
      <c r="U108" s="28">
        <f t="shared" si="54"/>
        <v>30.697058823529414</v>
      </c>
      <c r="V108" s="36">
        <f t="shared" si="55"/>
        <v>1.023235294117647</v>
      </c>
      <c r="W108" s="36">
        <f t="shared" si="56"/>
        <v>0.56666666666666665</v>
      </c>
      <c r="X108" s="63">
        <f t="shared" si="58"/>
        <v>1.1255588235294118</v>
      </c>
    </row>
    <row r="109" spans="1:24">
      <c r="A109" s="19" t="s">
        <v>440</v>
      </c>
      <c r="B109" s="19">
        <v>20</v>
      </c>
      <c r="C109" s="40" t="s">
        <v>339</v>
      </c>
      <c r="D109" s="19">
        <v>6</v>
      </c>
      <c r="E109" s="33" t="s">
        <v>297</v>
      </c>
      <c r="F109" s="19">
        <v>2</v>
      </c>
      <c r="G109" s="49" t="s">
        <v>290</v>
      </c>
      <c r="H109" s="19">
        <v>4</v>
      </c>
      <c r="I109" s="89" t="s">
        <v>457</v>
      </c>
      <c r="J109" s="89">
        <v>4</v>
      </c>
      <c r="K109" s="23">
        <f t="shared" si="45"/>
        <v>2.1333333333333333</v>
      </c>
      <c r="L109" s="23">
        <f t="shared" si="46"/>
        <v>12.8</v>
      </c>
      <c r="M109" s="23">
        <f t="shared" si="47"/>
        <v>31.571428571428577</v>
      </c>
      <c r="N109" s="23">
        <f t="shared" si="48"/>
        <v>63.142857142857153</v>
      </c>
      <c r="O109" s="23">
        <f t="shared" si="49"/>
        <v>13</v>
      </c>
      <c r="P109" s="23">
        <f t="shared" si="50"/>
        <v>52</v>
      </c>
      <c r="Q109" s="23">
        <f t="shared" si="51"/>
        <v>0.94117647058823539</v>
      </c>
      <c r="R109" s="23">
        <f t="shared" si="52"/>
        <v>3.7647058823529416</v>
      </c>
      <c r="S109" s="108">
        <f t="shared" si="44"/>
        <v>4</v>
      </c>
      <c r="T109" s="28">
        <f t="shared" si="53"/>
        <v>135.70756302521008</v>
      </c>
      <c r="U109" s="28">
        <f t="shared" si="54"/>
        <v>142.49294117647059</v>
      </c>
      <c r="V109" s="36">
        <f t="shared" si="55"/>
        <v>7.1246470588235296</v>
      </c>
      <c r="W109" s="36">
        <f t="shared" si="56"/>
        <v>0.8</v>
      </c>
      <c r="X109" s="63">
        <f t="shared" si="58"/>
        <v>7.8371117647058828</v>
      </c>
    </row>
    <row r="110" spans="1:24">
      <c r="A110" s="19" t="s">
        <v>441</v>
      </c>
      <c r="B110" s="19">
        <v>50</v>
      </c>
      <c r="C110" s="26" t="s">
        <v>206</v>
      </c>
      <c r="D110" s="19">
        <v>18</v>
      </c>
      <c r="E110" s="19" t="s">
        <v>447</v>
      </c>
      <c r="F110" s="19">
        <v>15</v>
      </c>
      <c r="G110" s="19"/>
      <c r="H110" s="19"/>
      <c r="I110" s="89"/>
      <c r="J110" s="89"/>
      <c r="K110" s="23">
        <f t="shared" si="45"/>
        <v>14.428571428571429</v>
      </c>
      <c r="L110" s="23">
        <f t="shared" si="46"/>
        <v>259.71428571428572</v>
      </c>
      <c r="M110" s="23">
        <f t="shared" si="47"/>
        <v>1.8823529411764708</v>
      </c>
      <c r="N110" s="23">
        <f t="shared" si="48"/>
        <v>28.235294117647062</v>
      </c>
      <c r="O110" s="23" t="str">
        <f t="shared" si="49"/>
        <v/>
      </c>
      <c r="P110" s="23" t="str">
        <f t="shared" si="50"/>
        <v/>
      </c>
      <c r="Q110" s="23" t="str">
        <f t="shared" si="51"/>
        <v/>
      </c>
      <c r="R110" s="23" t="str">
        <f t="shared" si="52"/>
        <v/>
      </c>
      <c r="S110" s="108">
        <f>B110*0.1</f>
        <v>5</v>
      </c>
      <c r="T110" s="28">
        <f t="shared" si="53"/>
        <v>292.94957983193279</v>
      </c>
      <c r="U110" s="28">
        <f t="shared" si="54"/>
        <v>307.59705882352944</v>
      </c>
      <c r="V110" s="36">
        <f t="shared" si="55"/>
        <v>6.1519411764705891</v>
      </c>
      <c r="W110" s="36">
        <f t="shared" si="56"/>
        <v>0.65999999999999992</v>
      </c>
      <c r="X110" s="63">
        <f t="shared" si="58"/>
        <v>6.767135294117649</v>
      </c>
    </row>
    <row r="111" spans="1:24">
      <c r="A111" s="19"/>
      <c r="B111" s="19"/>
      <c r="C111" s="20"/>
      <c r="D111" s="19"/>
      <c r="E111" s="19"/>
      <c r="F111" s="19"/>
      <c r="G111" s="19"/>
      <c r="H111" s="19"/>
      <c r="I111" s="89"/>
      <c r="J111" s="89"/>
      <c r="K111" s="23" t="str">
        <f t="shared" si="45"/>
        <v/>
      </c>
      <c r="L111" s="23" t="str">
        <f t="shared" si="46"/>
        <v/>
      </c>
      <c r="M111" s="23" t="str">
        <f t="shared" si="47"/>
        <v/>
      </c>
      <c r="N111" s="23" t="str">
        <f t="shared" si="48"/>
        <v/>
      </c>
      <c r="O111" s="23" t="str">
        <f t="shared" si="49"/>
        <v/>
      </c>
      <c r="P111" s="23" t="str">
        <f t="shared" si="50"/>
        <v/>
      </c>
      <c r="Q111" s="23" t="str">
        <f t="shared" si="51"/>
        <v/>
      </c>
      <c r="R111" s="23" t="str">
        <f t="shared" si="52"/>
        <v/>
      </c>
      <c r="S111" s="108">
        <f t="shared" si="44"/>
        <v>0</v>
      </c>
      <c r="T111" s="28">
        <f t="shared" si="53"/>
        <v>0</v>
      </c>
      <c r="U111" s="28">
        <f t="shared" si="54"/>
        <v>0</v>
      </c>
      <c r="V111" s="36" t="e">
        <f t="shared" si="55"/>
        <v>#DIV/0!</v>
      </c>
      <c r="W111" s="36" t="e">
        <f t="shared" si="56"/>
        <v>#DIV/0!</v>
      </c>
      <c r="X111" s="63" t="e">
        <f t="shared" si="58"/>
        <v>#DIV/0!</v>
      </c>
    </row>
    <row r="112" spans="1:24">
      <c r="A112" s="19" t="s">
        <v>442</v>
      </c>
      <c r="B112" s="19">
        <v>20</v>
      </c>
      <c r="C112" s="32" t="s">
        <v>266</v>
      </c>
      <c r="D112" s="19">
        <v>10</v>
      </c>
      <c r="E112" s="20" t="s">
        <v>451</v>
      </c>
      <c r="F112" s="19">
        <v>2</v>
      </c>
      <c r="G112" s="89" t="s">
        <v>453</v>
      </c>
      <c r="H112" s="19">
        <v>0.5</v>
      </c>
      <c r="I112" s="89"/>
      <c r="J112" s="89"/>
      <c r="K112" s="23">
        <f t="shared" si="45"/>
        <v>5.7142857142857144</v>
      </c>
      <c r="L112" s="23">
        <f t="shared" si="46"/>
        <v>57.142857142857146</v>
      </c>
      <c r="M112" s="23">
        <f t="shared" si="47"/>
        <v>10.77</v>
      </c>
      <c r="N112" s="23">
        <f t="shared" si="48"/>
        <v>21.54</v>
      </c>
      <c r="O112" s="23">
        <f t="shared" si="49"/>
        <v>2.2352941176470589</v>
      </c>
      <c r="P112" s="23">
        <f t="shared" si="50"/>
        <v>1.1176470588235294</v>
      </c>
      <c r="Q112" s="23" t="str">
        <f t="shared" si="51"/>
        <v/>
      </c>
      <c r="R112" s="23" t="str">
        <f t="shared" si="52"/>
        <v/>
      </c>
      <c r="S112" s="108">
        <f t="shared" si="44"/>
        <v>4</v>
      </c>
      <c r="T112" s="28">
        <f t="shared" si="53"/>
        <v>83.800504201680681</v>
      </c>
      <c r="U112" s="28">
        <f t="shared" si="54"/>
        <v>87.990529411764726</v>
      </c>
      <c r="V112" s="36">
        <f t="shared" si="55"/>
        <v>4.3995264705882366</v>
      </c>
      <c r="W112" s="36">
        <f t="shared" si="56"/>
        <v>0.625</v>
      </c>
      <c r="X112" s="63">
        <f t="shared" si="58"/>
        <v>4.8394791176470608</v>
      </c>
    </row>
    <row r="113" spans="1:24">
      <c r="A113" s="19" t="s">
        <v>443</v>
      </c>
      <c r="B113" s="19">
        <v>30</v>
      </c>
      <c r="C113" s="19" t="s">
        <v>447</v>
      </c>
      <c r="D113" s="19">
        <v>12</v>
      </c>
      <c r="E113" s="26" t="s">
        <v>353</v>
      </c>
      <c r="F113" s="19">
        <v>0.5</v>
      </c>
      <c r="G113" s="19" t="s">
        <v>454</v>
      </c>
      <c r="H113" s="19">
        <v>3</v>
      </c>
      <c r="I113" s="89"/>
      <c r="J113" s="89"/>
      <c r="K113" s="23">
        <f t="shared" si="45"/>
        <v>1.8823529411764708</v>
      </c>
      <c r="L113" s="23">
        <f t="shared" si="46"/>
        <v>22.588235294117649</v>
      </c>
      <c r="M113" s="23">
        <f t="shared" si="47"/>
        <v>61.428571428571431</v>
      </c>
      <c r="N113" s="23">
        <f t="shared" si="48"/>
        <v>30.714285714285715</v>
      </c>
      <c r="O113" s="23">
        <f t="shared" si="49"/>
        <v>10.857142857142858</v>
      </c>
      <c r="P113" s="23">
        <f t="shared" si="50"/>
        <v>32.571428571428569</v>
      </c>
      <c r="Q113" s="23" t="str">
        <f t="shared" si="51"/>
        <v/>
      </c>
      <c r="R113" s="23" t="str">
        <f t="shared" si="52"/>
        <v/>
      </c>
      <c r="S113" s="108">
        <f t="shared" si="44"/>
        <v>6</v>
      </c>
      <c r="T113" s="28">
        <f t="shared" si="53"/>
        <v>91.87394957983193</v>
      </c>
      <c r="U113" s="28">
        <f t="shared" si="54"/>
        <v>96.46764705882353</v>
      </c>
      <c r="V113" s="36">
        <f t="shared" si="55"/>
        <v>3.2155882352941179</v>
      </c>
      <c r="W113" s="36">
        <f t="shared" si="56"/>
        <v>0.51666666666666672</v>
      </c>
      <c r="X113" s="63">
        <f t="shared" si="58"/>
        <v>3.5371470588235301</v>
      </c>
    </row>
    <row r="114" spans="1:24">
      <c r="A114" s="89" t="s">
        <v>444</v>
      </c>
      <c r="B114" s="89">
        <v>30</v>
      </c>
      <c r="C114" s="89" t="s">
        <v>319</v>
      </c>
      <c r="D114" s="89">
        <v>12</v>
      </c>
      <c r="E114" s="13" t="s">
        <v>59</v>
      </c>
      <c r="F114" s="89">
        <v>6</v>
      </c>
      <c r="G114" s="89"/>
      <c r="H114" s="89"/>
      <c r="I114" s="89"/>
      <c r="J114" s="89"/>
      <c r="K114" s="23">
        <f t="shared" si="45"/>
        <v>3.5714285714285716</v>
      </c>
      <c r="L114" s="23">
        <f t="shared" si="46"/>
        <v>42.857142857142861</v>
      </c>
      <c r="M114" s="23">
        <f t="shared" si="47"/>
        <v>2.1176470588235294</v>
      </c>
      <c r="N114" s="23">
        <f t="shared" si="48"/>
        <v>12.705882352941178</v>
      </c>
      <c r="O114" s="23" t="str">
        <f t="shared" si="49"/>
        <v/>
      </c>
      <c r="P114" s="23" t="str">
        <f t="shared" si="50"/>
        <v/>
      </c>
      <c r="Q114" s="23" t="str">
        <f t="shared" si="51"/>
        <v/>
      </c>
      <c r="R114" s="23" t="str">
        <f t="shared" si="52"/>
        <v/>
      </c>
      <c r="S114" s="108">
        <f t="shared" si="44"/>
        <v>6</v>
      </c>
      <c r="T114" s="28">
        <f t="shared" si="53"/>
        <v>61.563025210084035</v>
      </c>
      <c r="U114" s="28">
        <f t="shared" si="54"/>
        <v>64.641176470588235</v>
      </c>
      <c r="V114" s="36">
        <f t="shared" si="55"/>
        <v>2.1547058823529412</v>
      </c>
      <c r="W114" s="36">
        <f t="shared" si="56"/>
        <v>0.60000000000000009</v>
      </c>
      <c r="X114" s="63">
        <f t="shared" si="58"/>
        <v>2.3701764705882358</v>
      </c>
    </row>
    <row r="115" spans="1:24">
      <c r="A115" s="19" t="s">
        <v>445</v>
      </c>
      <c r="B115" s="19">
        <v>30</v>
      </c>
      <c r="C115" s="19" t="s">
        <v>448</v>
      </c>
      <c r="D115" s="19">
        <v>9</v>
      </c>
      <c r="E115" s="9" t="s">
        <v>2801</v>
      </c>
      <c r="F115" s="19">
        <v>12</v>
      </c>
      <c r="G115" s="89"/>
      <c r="H115" s="19"/>
      <c r="I115" s="19"/>
      <c r="J115" s="19"/>
      <c r="K115" s="23">
        <f t="shared" si="45"/>
        <v>2.882352941176471</v>
      </c>
      <c r="L115" s="23">
        <f t="shared" si="46"/>
        <v>25.941176470588239</v>
      </c>
      <c r="M115" s="23">
        <f t="shared" si="47"/>
        <v>1.6235294117647059</v>
      </c>
      <c r="N115" s="23">
        <f t="shared" si="48"/>
        <v>19.482352941176472</v>
      </c>
      <c r="O115" s="23" t="str">
        <f t="shared" si="49"/>
        <v/>
      </c>
      <c r="P115" s="23" t="str">
        <f t="shared" si="50"/>
        <v/>
      </c>
      <c r="Q115" s="23" t="str">
        <f t="shared" si="51"/>
        <v/>
      </c>
      <c r="R115" s="23" t="str">
        <f t="shared" si="52"/>
        <v/>
      </c>
      <c r="S115" s="108">
        <f t="shared" si="44"/>
        <v>6</v>
      </c>
      <c r="T115" s="28">
        <f t="shared" si="53"/>
        <v>51.423529411764711</v>
      </c>
      <c r="U115" s="28">
        <f t="shared" si="54"/>
        <v>53.994705882352946</v>
      </c>
      <c r="V115" s="36">
        <f t="shared" si="55"/>
        <v>1.7998235294117648</v>
      </c>
      <c r="W115" s="36">
        <f t="shared" si="56"/>
        <v>0.7</v>
      </c>
      <c r="X115" s="63">
        <f t="shared" si="58"/>
        <v>1.9798058823529414</v>
      </c>
    </row>
    <row r="116" spans="1:24">
      <c r="A116" s="19" t="s">
        <v>446</v>
      </c>
      <c r="B116" s="19">
        <v>20</v>
      </c>
      <c r="C116" s="89" t="s">
        <v>449</v>
      </c>
      <c r="D116" s="19">
        <v>10</v>
      </c>
      <c r="E116" s="49" t="s">
        <v>2805</v>
      </c>
      <c r="F116" s="19">
        <v>3</v>
      </c>
      <c r="G116" s="19" t="s">
        <v>456</v>
      </c>
      <c r="H116" s="19">
        <v>0.5</v>
      </c>
      <c r="I116" s="19"/>
      <c r="J116" s="19"/>
      <c r="K116" s="23">
        <f t="shared" si="45"/>
        <v>2.7058823529411762</v>
      </c>
      <c r="L116" s="23">
        <f t="shared" si="46"/>
        <v>27.058823529411761</v>
      </c>
      <c r="M116" s="23">
        <f t="shared" si="47"/>
        <v>14.000000000000002</v>
      </c>
      <c r="N116" s="23">
        <f t="shared" si="48"/>
        <v>42.000000000000007</v>
      </c>
      <c r="O116" s="23">
        <f t="shared" si="49"/>
        <v>14.117647058823529</v>
      </c>
      <c r="P116" s="23">
        <f t="shared" si="50"/>
        <v>7.0588235294117645</v>
      </c>
      <c r="Q116" s="23" t="str">
        <f t="shared" si="51"/>
        <v/>
      </c>
      <c r="R116" s="23" t="str">
        <f t="shared" si="52"/>
        <v/>
      </c>
      <c r="S116" s="108">
        <f t="shared" si="44"/>
        <v>4</v>
      </c>
      <c r="T116" s="28">
        <f t="shared" si="53"/>
        <v>80.117647058823536</v>
      </c>
      <c r="U116" s="28">
        <f t="shared" si="54"/>
        <v>84.123529411764721</v>
      </c>
      <c r="V116" s="36">
        <f t="shared" si="55"/>
        <v>4.2061764705882361</v>
      </c>
      <c r="W116" s="36">
        <f t="shared" si="56"/>
        <v>0.67500000000000004</v>
      </c>
      <c r="X116" s="63">
        <f t="shared" si="58"/>
        <v>4.6267941176470604</v>
      </c>
    </row>
    <row r="117" spans="1:24">
      <c r="A117" s="19" t="s">
        <v>458</v>
      </c>
      <c r="B117" s="19">
        <v>15</v>
      </c>
      <c r="C117" s="89" t="s">
        <v>454</v>
      </c>
      <c r="D117" s="19">
        <v>6</v>
      </c>
      <c r="E117" s="19" t="s">
        <v>436</v>
      </c>
      <c r="F117" s="19">
        <v>3</v>
      </c>
      <c r="G117" s="19"/>
      <c r="H117" s="19"/>
      <c r="I117" s="19"/>
      <c r="J117" s="19"/>
      <c r="K117" s="127">
        <f t="shared" si="45"/>
        <v>10.857142857142858</v>
      </c>
      <c r="L117" s="23">
        <f t="shared" si="46"/>
        <v>65.142857142857139</v>
      </c>
      <c r="M117" s="23">
        <f t="shared" si="47"/>
        <v>1.6470588235294117</v>
      </c>
      <c r="N117" s="23">
        <f t="shared" si="48"/>
        <v>4.9411764705882355</v>
      </c>
      <c r="O117" s="23" t="str">
        <f t="shared" si="49"/>
        <v/>
      </c>
      <c r="P117" s="23" t="str">
        <f t="shared" si="50"/>
        <v/>
      </c>
      <c r="Q117" s="23" t="str">
        <f t="shared" si="51"/>
        <v/>
      </c>
      <c r="R117" s="23" t="str">
        <f t="shared" si="52"/>
        <v/>
      </c>
      <c r="S117" s="108">
        <f t="shared" si="44"/>
        <v>3</v>
      </c>
      <c r="T117" s="28">
        <f t="shared" si="53"/>
        <v>73.084033613445371</v>
      </c>
      <c r="U117" s="28">
        <f t="shared" si="54"/>
        <v>76.738235294117644</v>
      </c>
      <c r="V117" s="36">
        <f t="shared" si="55"/>
        <v>5.1158823529411759</v>
      </c>
      <c r="W117" s="36">
        <f t="shared" si="56"/>
        <v>0.60000000000000009</v>
      </c>
      <c r="X117" s="63">
        <f t="shared" si="58"/>
        <v>5.627470588235294</v>
      </c>
    </row>
    <row r="118" spans="1:24">
      <c r="A118" s="19" t="s">
        <v>459</v>
      </c>
      <c r="B118" s="19">
        <v>30</v>
      </c>
      <c r="C118" s="19" t="s">
        <v>460</v>
      </c>
      <c r="D118" s="19">
        <v>18</v>
      </c>
      <c r="E118" s="19"/>
      <c r="F118" s="19"/>
      <c r="G118" s="89"/>
      <c r="H118" s="19"/>
      <c r="I118" s="19"/>
      <c r="J118" s="19"/>
      <c r="K118" s="23">
        <f t="shared" si="45"/>
        <v>10.714285714285715</v>
      </c>
      <c r="L118" s="23">
        <f t="shared" si="46"/>
        <v>192.85714285714289</v>
      </c>
      <c r="M118" s="23" t="str">
        <f t="shared" si="47"/>
        <v/>
      </c>
      <c r="N118" s="23" t="str">
        <f t="shared" si="48"/>
        <v/>
      </c>
      <c r="O118" s="23" t="str">
        <f t="shared" si="49"/>
        <v/>
      </c>
      <c r="P118" s="23" t="str">
        <f t="shared" si="50"/>
        <v/>
      </c>
      <c r="Q118" s="23" t="str">
        <f t="shared" si="51"/>
        <v/>
      </c>
      <c r="R118" s="23" t="str">
        <f t="shared" si="52"/>
        <v/>
      </c>
      <c r="S118" s="108">
        <f t="shared" si="44"/>
        <v>6</v>
      </c>
      <c r="T118" s="28">
        <f t="shared" si="53"/>
        <v>198.85714285714289</v>
      </c>
      <c r="U118" s="28">
        <f t="shared" si="54"/>
        <v>208.80000000000004</v>
      </c>
      <c r="V118" s="36">
        <f t="shared" si="55"/>
        <v>6.9600000000000017</v>
      </c>
      <c r="W118" s="36">
        <f t="shared" si="56"/>
        <v>0.6</v>
      </c>
      <c r="X118" s="63">
        <f t="shared" si="58"/>
        <v>7.6560000000000024</v>
      </c>
    </row>
    <row r="119" spans="1:24">
      <c r="A119" s="19" t="s">
        <v>462</v>
      </c>
      <c r="B119" s="19">
        <v>30</v>
      </c>
      <c r="C119" s="89" t="s">
        <v>460</v>
      </c>
      <c r="D119" s="19">
        <v>18</v>
      </c>
      <c r="E119" s="89"/>
      <c r="F119" s="19"/>
      <c r="G119" s="19"/>
      <c r="H119" s="19"/>
      <c r="I119" s="19"/>
      <c r="J119" s="19"/>
      <c r="K119" s="23">
        <f t="shared" si="45"/>
        <v>10.714285714285715</v>
      </c>
      <c r="L119" s="23">
        <f t="shared" si="46"/>
        <v>192.85714285714289</v>
      </c>
      <c r="M119" s="23" t="str">
        <f t="shared" si="47"/>
        <v/>
      </c>
      <c r="N119" s="23" t="str">
        <f t="shared" si="48"/>
        <v/>
      </c>
      <c r="O119" s="23" t="str">
        <f t="shared" si="49"/>
        <v/>
      </c>
      <c r="P119" s="23" t="str">
        <f t="shared" si="50"/>
        <v/>
      </c>
      <c r="Q119" s="23" t="str">
        <f t="shared" si="51"/>
        <v/>
      </c>
      <c r="R119" s="23" t="str">
        <f t="shared" si="52"/>
        <v/>
      </c>
      <c r="S119" s="108">
        <f t="shared" ref="S119:S149" si="59">B119*0.2</f>
        <v>6</v>
      </c>
      <c r="T119" s="28">
        <f t="shared" si="53"/>
        <v>198.85714285714289</v>
      </c>
      <c r="U119" s="28">
        <f t="shared" si="54"/>
        <v>208.80000000000004</v>
      </c>
      <c r="V119" s="36">
        <f t="shared" si="55"/>
        <v>6.9600000000000017</v>
      </c>
      <c r="W119" s="36">
        <f t="shared" si="56"/>
        <v>0.6</v>
      </c>
      <c r="X119" s="63">
        <f t="shared" si="58"/>
        <v>7.6560000000000024</v>
      </c>
    </row>
    <row r="120" spans="1:24">
      <c r="A120" s="19" t="s">
        <v>463</v>
      </c>
      <c r="B120" s="19">
        <v>60</v>
      </c>
      <c r="C120" s="18" t="s">
        <v>222</v>
      </c>
      <c r="D120" s="19">
        <v>18</v>
      </c>
      <c r="E120" s="9" t="s">
        <v>2801</v>
      </c>
      <c r="F120" s="19">
        <v>12</v>
      </c>
      <c r="G120" s="19" t="s">
        <v>452</v>
      </c>
      <c r="H120" s="19">
        <v>6</v>
      </c>
      <c r="I120" s="19"/>
      <c r="J120" s="19"/>
      <c r="K120" s="23">
        <f t="shared" si="45"/>
        <v>24.142857142857142</v>
      </c>
      <c r="L120" s="23">
        <f t="shared" si="46"/>
        <v>434.57142857142856</v>
      </c>
      <c r="M120" s="23">
        <f t="shared" si="47"/>
        <v>1.6235294117647059</v>
      </c>
      <c r="N120" s="23">
        <f t="shared" si="48"/>
        <v>19.482352941176472</v>
      </c>
      <c r="O120" s="23">
        <f t="shared" si="49"/>
        <v>1.2941176470588236</v>
      </c>
      <c r="P120" s="23">
        <f t="shared" si="50"/>
        <v>7.764705882352942</v>
      </c>
      <c r="Q120" s="23" t="str">
        <f t="shared" si="51"/>
        <v/>
      </c>
      <c r="R120" s="23" t="str">
        <f t="shared" si="52"/>
        <v/>
      </c>
      <c r="S120" s="108">
        <f t="shared" si="59"/>
        <v>12</v>
      </c>
      <c r="T120" s="28">
        <f t="shared" si="53"/>
        <v>473.81848739495797</v>
      </c>
      <c r="U120" s="28">
        <f t="shared" si="54"/>
        <v>497.50941176470587</v>
      </c>
      <c r="V120" s="36">
        <f t="shared" si="55"/>
        <v>8.291823529411765</v>
      </c>
      <c r="W120" s="36">
        <f t="shared" si="56"/>
        <v>0.6</v>
      </c>
      <c r="X120" s="63">
        <f t="shared" si="58"/>
        <v>9.121005882352943</v>
      </c>
    </row>
    <row r="121" spans="1:24">
      <c r="A121" s="19" t="s">
        <v>464</v>
      </c>
      <c r="B121" s="19">
        <v>15</v>
      </c>
      <c r="C121" s="19" t="s">
        <v>471</v>
      </c>
      <c r="D121" s="19">
        <v>7</v>
      </c>
      <c r="E121" s="19" t="s">
        <v>434</v>
      </c>
      <c r="F121" s="19">
        <v>3</v>
      </c>
      <c r="G121" s="19"/>
      <c r="H121" s="19"/>
      <c r="I121" s="19"/>
      <c r="J121" s="19"/>
      <c r="K121" s="23">
        <f t="shared" si="45"/>
        <v>1.5999999999999999</v>
      </c>
      <c r="L121" s="23">
        <f t="shared" si="46"/>
        <v>11.2</v>
      </c>
      <c r="M121" s="23">
        <f t="shared" si="47"/>
        <v>15.428571428571431</v>
      </c>
      <c r="N121" s="23">
        <f t="shared" si="48"/>
        <v>46.285714285714292</v>
      </c>
      <c r="O121" s="23" t="str">
        <f t="shared" si="49"/>
        <v/>
      </c>
      <c r="P121" s="23" t="str">
        <f t="shared" si="50"/>
        <v/>
      </c>
      <c r="Q121" s="23" t="str">
        <f t="shared" si="51"/>
        <v/>
      </c>
      <c r="R121" s="23" t="str">
        <f t="shared" si="52"/>
        <v/>
      </c>
      <c r="S121" s="108">
        <f t="shared" si="59"/>
        <v>3</v>
      </c>
      <c r="T121" s="28">
        <f t="shared" si="53"/>
        <v>60.485714285714295</v>
      </c>
      <c r="U121" s="28">
        <f t="shared" si="54"/>
        <v>63.510000000000012</v>
      </c>
      <c r="V121" s="36">
        <f t="shared" si="55"/>
        <v>4.2340000000000009</v>
      </c>
      <c r="W121" s="36">
        <f t="shared" si="56"/>
        <v>0.66666666666666674</v>
      </c>
      <c r="X121" s="63">
        <f t="shared" si="58"/>
        <v>4.6574000000000018</v>
      </c>
    </row>
    <row r="122" spans="1:24">
      <c r="A122" s="89" t="s">
        <v>465</v>
      </c>
      <c r="B122" s="89">
        <v>30</v>
      </c>
      <c r="C122" s="9" t="s">
        <v>2792</v>
      </c>
      <c r="D122" s="89">
        <v>12</v>
      </c>
      <c r="E122" s="89" t="s">
        <v>434</v>
      </c>
      <c r="F122" s="89">
        <v>3</v>
      </c>
      <c r="G122" s="89" t="s">
        <v>476</v>
      </c>
      <c r="H122" s="89">
        <v>3</v>
      </c>
      <c r="I122" s="89" t="s">
        <v>455</v>
      </c>
      <c r="J122" s="89">
        <v>1</v>
      </c>
      <c r="K122" s="23">
        <f t="shared" si="45"/>
        <v>1.6235294117647059</v>
      </c>
      <c r="L122" s="23">
        <f t="shared" si="46"/>
        <v>19.482352941176472</v>
      </c>
      <c r="M122" s="23">
        <f t="shared" si="47"/>
        <v>15.428571428571431</v>
      </c>
      <c r="N122" s="23">
        <f t="shared" si="48"/>
        <v>46.285714285714292</v>
      </c>
      <c r="O122" s="23">
        <f t="shared" si="49"/>
        <v>2.1176470588235294</v>
      </c>
      <c r="P122" s="23">
        <f t="shared" si="50"/>
        <v>6.3529411764705888</v>
      </c>
      <c r="Q122" s="23">
        <f t="shared" si="51"/>
        <v>1.6470588235294117</v>
      </c>
      <c r="R122" s="23">
        <f t="shared" si="52"/>
        <v>1.6470588235294117</v>
      </c>
      <c r="S122" s="108">
        <f t="shared" si="59"/>
        <v>6</v>
      </c>
      <c r="T122" s="28">
        <f t="shared" si="53"/>
        <v>79.768067226890764</v>
      </c>
      <c r="U122" s="28">
        <f t="shared" si="54"/>
        <v>83.756470588235302</v>
      </c>
      <c r="V122" s="36">
        <f t="shared" si="55"/>
        <v>2.7918823529411769</v>
      </c>
      <c r="W122" s="36">
        <f t="shared" si="56"/>
        <v>0.6333333333333333</v>
      </c>
      <c r="X122" s="63">
        <f t="shared" si="58"/>
        <v>3.0710705882352949</v>
      </c>
    </row>
    <row r="123" spans="1:24">
      <c r="A123" s="89" t="s">
        <v>466</v>
      </c>
      <c r="B123" s="89">
        <v>20</v>
      </c>
      <c r="C123" s="6" t="s">
        <v>315</v>
      </c>
      <c r="D123" s="89">
        <v>8</v>
      </c>
      <c r="E123" s="89" t="s">
        <v>475</v>
      </c>
      <c r="F123" s="89">
        <v>2</v>
      </c>
      <c r="G123" s="20" t="s">
        <v>477</v>
      </c>
      <c r="H123" s="89">
        <v>1</v>
      </c>
      <c r="I123" s="89"/>
      <c r="J123" s="89"/>
      <c r="K123" s="23">
        <f t="shared" si="45"/>
        <v>12.285714285714286</v>
      </c>
      <c r="L123" s="23">
        <f t="shared" si="46"/>
        <v>98.285714285714292</v>
      </c>
      <c r="M123" s="23">
        <f t="shared" si="47"/>
        <v>3.4117647058823528</v>
      </c>
      <c r="N123" s="23">
        <f t="shared" si="48"/>
        <v>6.8235294117647056</v>
      </c>
      <c r="O123" s="23">
        <f t="shared" si="49"/>
        <v>7</v>
      </c>
      <c r="P123" s="23">
        <f t="shared" si="50"/>
        <v>7</v>
      </c>
      <c r="Q123" s="23" t="str">
        <f t="shared" si="51"/>
        <v/>
      </c>
      <c r="R123" s="23" t="str">
        <f t="shared" si="52"/>
        <v/>
      </c>
      <c r="S123" s="108">
        <f t="shared" si="59"/>
        <v>4</v>
      </c>
      <c r="T123" s="28">
        <f t="shared" si="53"/>
        <v>116.109243697479</v>
      </c>
      <c r="U123" s="28">
        <f t="shared" si="54"/>
        <v>121.91470588235296</v>
      </c>
      <c r="V123" s="36">
        <f t="shared" si="55"/>
        <v>6.0957352941176479</v>
      </c>
      <c r="W123" s="36">
        <f t="shared" si="56"/>
        <v>0.55000000000000004</v>
      </c>
      <c r="X123" s="63">
        <f t="shared" si="58"/>
        <v>6.7053088235294132</v>
      </c>
    </row>
    <row r="124" spans="1:24">
      <c r="A124" s="19" t="s">
        <v>467</v>
      </c>
      <c r="B124" s="19">
        <v>50</v>
      </c>
      <c r="C124" s="19" t="s">
        <v>472</v>
      </c>
      <c r="D124" s="19">
        <v>4</v>
      </c>
      <c r="E124" s="19" t="s">
        <v>455</v>
      </c>
      <c r="F124" s="19">
        <v>5</v>
      </c>
      <c r="G124" s="19" t="s">
        <v>478</v>
      </c>
      <c r="H124" s="19">
        <v>2</v>
      </c>
      <c r="I124" s="19"/>
      <c r="J124" s="19"/>
      <c r="K124" s="23">
        <f t="shared" si="45"/>
        <v>33.333333333333336</v>
      </c>
      <c r="L124" s="23">
        <f t="shared" si="46"/>
        <v>133.33333333333334</v>
      </c>
      <c r="M124" s="23">
        <f t="shared" si="47"/>
        <v>1.6470588235294117</v>
      </c>
      <c r="N124" s="23">
        <f t="shared" si="48"/>
        <v>8.235294117647058</v>
      </c>
      <c r="O124" s="23">
        <f t="shared" si="49"/>
        <v>8.3529411764705888</v>
      </c>
      <c r="P124" s="23">
        <f t="shared" si="50"/>
        <v>16.705882352941178</v>
      </c>
      <c r="Q124" s="23" t="str">
        <f t="shared" si="51"/>
        <v/>
      </c>
      <c r="R124" s="23" t="str">
        <f t="shared" si="52"/>
        <v/>
      </c>
      <c r="S124" s="108">
        <f t="shared" si="59"/>
        <v>10</v>
      </c>
      <c r="T124" s="28">
        <f t="shared" si="53"/>
        <v>168.27450980392157</v>
      </c>
      <c r="U124" s="28">
        <f t="shared" si="54"/>
        <v>176.68823529411767</v>
      </c>
      <c r="V124" s="36">
        <f t="shared" si="55"/>
        <v>3.5337647058823536</v>
      </c>
      <c r="W124" s="36">
        <f t="shared" si="56"/>
        <v>0.22</v>
      </c>
      <c r="X124" s="63">
        <f t="shared" si="58"/>
        <v>3.8871411764705894</v>
      </c>
    </row>
    <row r="125" spans="1:24">
      <c r="A125" s="89" t="s">
        <v>468</v>
      </c>
      <c r="B125" s="19">
        <v>40</v>
      </c>
      <c r="C125" s="19" t="s">
        <v>449</v>
      </c>
      <c r="D125" s="19">
        <v>20</v>
      </c>
      <c r="E125" s="13" t="s">
        <v>163</v>
      </c>
      <c r="F125" s="19">
        <v>4</v>
      </c>
      <c r="G125" s="13" t="s">
        <v>59</v>
      </c>
      <c r="H125" s="19">
        <v>1</v>
      </c>
      <c r="I125" s="19"/>
      <c r="J125" s="19"/>
      <c r="K125" s="23">
        <f t="shared" si="45"/>
        <v>2.7058823529411762</v>
      </c>
      <c r="L125" s="23">
        <f t="shared" si="46"/>
        <v>54.117647058823522</v>
      </c>
      <c r="M125" s="23">
        <f t="shared" si="47"/>
        <v>6</v>
      </c>
      <c r="N125" s="23">
        <f t="shared" si="48"/>
        <v>24</v>
      </c>
      <c r="O125" s="23">
        <f t="shared" si="49"/>
        <v>2.1176470588235294</v>
      </c>
      <c r="P125" s="23">
        <f t="shared" si="50"/>
        <v>2.1176470588235294</v>
      </c>
      <c r="Q125" s="23" t="str">
        <f t="shared" si="51"/>
        <v/>
      </c>
      <c r="R125" s="23" t="str">
        <f t="shared" si="52"/>
        <v/>
      </c>
      <c r="S125" s="108">
        <f t="shared" si="59"/>
        <v>8</v>
      </c>
      <c r="T125" s="28">
        <f t="shared" si="53"/>
        <v>88.235294117647058</v>
      </c>
      <c r="U125" s="28">
        <f t="shared" si="54"/>
        <v>92.64705882352942</v>
      </c>
      <c r="V125" s="36">
        <f t="shared" si="55"/>
        <v>2.3161764705882355</v>
      </c>
      <c r="W125" s="36">
        <f t="shared" si="56"/>
        <v>0.625</v>
      </c>
      <c r="X125" s="63">
        <f t="shared" si="58"/>
        <v>2.5477941176470593</v>
      </c>
    </row>
    <row r="126" spans="1:24">
      <c r="A126" s="19" t="s">
        <v>469</v>
      </c>
      <c r="B126" s="19">
        <v>50</v>
      </c>
      <c r="C126" s="9" t="s">
        <v>2801</v>
      </c>
      <c r="D126" s="19">
        <v>35</v>
      </c>
      <c r="E126" s="18" t="s">
        <v>1537</v>
      </c>
      <c r="F126" s="19">
        <v>5</v>
      </c>
      <c r="G126" s="19"/>
      <c r="H126" s="19"/>
      <c r="I126" s="19"/>
      <c r="J126" s="19"/>
      <c r="K126" s="23">
        <f t="shared" si="45"/>
        <v>1.6235294117647059</v>
      </c>
      <c r="L126" s="23">
        <f t="shared" si="46"/>
        <v>56.823529411764703</v>
      </c>
      <c r="M126" s="23">
        <f t="shared" si="47"/>
        <v>1.6470588235294117</v>
      </c>
      <c r="N126" s="23">
        <f t="shared" si="48"/>
        <v>8.235294117647058</v>
      </c>
      <c r="O126" s="23" t="str">
        <f t="shared" si="49"/>
        <v/>
      </c>
      <c r="P126" s="23" t="str">
        <f t="shared" si="50"/>
        <v/>
      </c>
      <c r="Q126" s="23" t="str">
        <f t="shared" si="51"/>
        <v/>
      </c>
      <c r="R126" s="23" t="str">
        <f t="shared" si="52"/>
        <v/>
      </c>
      <c r="S126" s="108">
        <f t="shared" si="59"/>
        <v>10</v>
      </c>
      <c r="T126" s="28">
        <f t="shared" si="53"/>
        <v>75.058823529411768</v>
      </c>
      <c r="U126" s="28">
        <f t="shared" si="54"/>
        <v>78.811764705882354</v>
      </c>
      <c r="V126" s="36">
        <f t="shared" si="55"/>
        <v>1.5762352941176472</v>
      </c>
      <c r="W126" s="36">
        <f t="shared" si="56"/>
        <v>0.79999999999999993</v>
      </c>
      <c r="X126" s="63">
        <f t="shared" si="58"/>
        <v>1.7338588235294121</v>
      </c>
    </row>
    <row r="127" spans="1:24" ht="15">
      <c r="A127" s="18" t="s">
        <v>1647</v>
      </c>
      <c r="B127" s="19">
        <v>30</v>
      </c>
      <c r="C127" s="19" t="s">
        <v>473</v>
      </c>
      <c r="D127" s="19">
        <v>20</v>
      </c>
      <c r="E127" s="50"/>
      <c r="F127" s="19"/>
      <c r="G127" s="19"/>
      <c r="H127" s="19"/>
      <c r="I127" s="19"/>
      <c r="J127" s="19"/>
      <c r="K127" s="23">
        <f t="shared" si="45"/>
        <v>1.5294117647058825</v>
      </c>
      <c r="L127" s="23">
        <f t="shared" si="46"/>
        <v>30.588235294117649</v>
      </c>
      <c r="M127" s="23" t="str">
        <f t="shared" si="47"/>
        <v/>
      </c>
      <c r="N127" s="23" t="str">
        <f t="shared" si="48"/>
        <v/>
      </c>
      <c r="O127" s="23" t="str">
        <f t="shared" si="49"/>
        <v/>
      </c>
      <c r="P127" s="23" t="str">
        <f t="shared" si="50"/>
        <v/>
      </c>
      <c r="Q127" s="23" t="str">
        <f t="shared" si="51"/>
        <v/>
      </c>
      <c r="R127" s="23" t="str">
        <f t="shared" si="52"/>
        <v/>
      </c>
      <c r="S127" s="108">
        <f t="shared" si="59"/>
        <v>6</v>
      </c>
      <c r="T127" s="28">
        <f t="shared" si="53"/>
        <v>36.588235294117652</v>
      </c>
      <c r="U127" s="28">
        <f t="shared" si="54"/>
        <v>38.417647058823533</v>
      </c>
      <c r="V127" s="36">
        <f t="shared" si="55"/>
        <v>1.2805882352941178</v>
      </c>
      <c r="W127" s="36">
        <f t="shared" si="56"/>
        <v>0.66666666666666663</v>
      </c>
      <c r="X127" s="63">
        <f t="shared" si="58"/>
        <v>1.4086470588235298</v>
      </c>
    </row>
    <row r="128" spans="1:24">
      <c r="A128" s="89" t="s">
        <v>479</v>
      </c>
      <c r="B128" s="89">
        <v>30</v>
      </c>
      <c r="C128" s="89" t="s">
        <v>470</v>
      </c>
      <c r="D128" s="89">
        <v>12</v>
      </c>
      <c r="E128" s="9" t="s">
        <v>2792</v>
      </c>
      <c r="F128" s="89">
        <v>6</v>
      </c>
      <c r="G128" s="26" t="s">
        <v>386</v>
      </c>
      <c r="H128" s="89">
        <v>3</v>
      </c>
      <c r="I128" s="89"/>
      <c r="J128" s="89"/>
      <c r="K128" s="127">
        <f t="shared" si="45"/>
        <v>7.2857142857142856</v>
      </c>
      <c r="L128" s="127">
        <f t="shared" si="46"/>
        <v>87.428571428571431</v>
      </c>
      <c r="M128" s="127">
        <f t="shared" si="47"/>
        <v>1.6235294117647059</v>
      </c>
      <c r="N128" s="23">
        <f t="shared" si="48"/>
        <v>9.7411764705882362</v>
      </c>
      <c r="O128" s="23">
        <f t="shared" si="49"/>
        <v>4.2352941176470589</v>
      </c>
      <c r="P128" s="23">
        <f t="shared" si="50"/>
        <v>12.705882352941178</v>
      </c>
      <c r="Q128" s="23" t="str">
        <f t="shared" si="51"/>
        <v/>
      </c>
      <c r="R128" s="23" t="str">
        <f t="shared" si="52"/>
        <v/>
      </c>
      <c r="S128" s="108">
        <f t="shared" si="59"/>
        <v>6</v>
      </c>
      <c r="T128" s="28">
        <f t="shared" si="53"/>
        <v>115.87563025210083</v>
      </c>
      <c r="U128" s="28">
        <f t="shared" si="54"/>
        <v>121.66941176470588</v>
      </c>
      <c r="V128" s="36">
        <f t="shared" si="55"/>
        <v>4.0556470588235296</v>
      </c>
      <c r="W128" s="36">
        <f t="shared" si="56"/>
        <v>0.70000000000000007</v>
      </c>
      <c r="X128" s="63">
        <f t="shared" si="58"/>
        <v>4.4612117647058831</v>
      </c>
    </row>
    <row r="129" spans="1:24">
      <c r="A129" s="19" t="s">
        <v>480</v>
      </c>
      <c r="B129" s="19">
        <v>30</v>
      </c>
      <c r="C129" s="19" t="s">
        <v>434</v>
      </c>
      <c r="D129" s="19">
        <v>9</v>
      </c>
      <c r="E129" s="26" t="s">
        <v>353</v>
      </c>
      <c r="F129" s="19">
        <v>0.2</v>
      </c>
      <c r="G129" s="19" t="s">
        <v>485</v>
      </c>
      <c r="H129" s="19">
        <v>3</v>
      </c>
      <c r="I129" s="19" t="s">
        <v>455</v>
      </c>
      <c r="J129" s="19">
        <v>1</v>
      </c>
      <c r="K129" s="23">
        <f t="shared" si="45"/>
        <v>15.428571428571431</v>
      </c>
      <c r="L129" s="23">
        <f t="shared" si="46"/>
        <v>138.85714285714289</v>
      </c>
      <c r="M129" s="23">
        <f t="shared" si="47"/>
        <v>61.428571428571431</v>
      </c>
      <c r="N129" s="23">
        <f t="shared" si="48"/>
        <v>12.285714285714286</v>
      </c>
      <c r="O129" s="23">
        <f t="shared" si="49"/>
        <v>6.4285714285714288</v>
      </c>
      <c r="P129" s="23">
        <f t="shared" si="50"/>
        <v>19.285714285714285</v>
      </c>
      <c r="Q129" s="23">
        <f t="shared" si="51"/>
        <v>1.6470588235294117</v>
      </c>
      <c r="R129" s="23">
        <f t="shared" si="52"/>
        <v>1.6470588235294117</v>
      </c>
      <c r="S129" s="108">
        <f t="shared" si="59"/>
        <v>6</v>
      </c>
      <c r="T129" s="28">
        <f t="shared" si="53"/>
        <v>178.07563025210086</v>
      </c>
      <c r="U129" s="28">
        <f t="shared" si="54"/>
        <v>186.97941176470593</v>
      </c>
      <c r="V129" s="36">
        <f t="shared" si="55"/>
        <v>6.232647058823531</v>
      </c>
      <c r="W129" s="36">
        <f t="shared" si="56"/>
        <v>0.43999999999999995</v>
      </c>
      <c r="X129" s="63">
        <f t="shared" si="58"/>
        <v>6.8559117647058843</v>
      </c>
    </row>
    <row r="130" spans="1:24">
      <c r="A130" s="19" t="s">
        <v>481</v>
      </c>
      <c r="B130" s="19">
        <v>20</v>
      </c>
      <c r="C130" s="19" t="s">
        <v>483</v>
      </c>
      <c r="D130" s="19">
        <v>6</v>
      </c>
      <c r="E130" s="19" t="s">
        <v>455</v>
      </c>
      <c r="F130" s="19">
        <v>4</v>
      </c>
      <c r="G130" s="19" t="s">
        <v>434</v>
      </c>
      <c r="H130" s="19">
        <v>6</v>
      </c>
      <c r="I130" s="19"/>
      <c r="J130" s="19"/>
      <c r="K130" s="23">
        <f t="shared" ref="K130:K160" si="60">IF(C130="","",VLOOKUP(C130,成本单价,8,0))</f>
        <v>0.94117647058823539</v>
      </c>
      <c r="L130" s="23">
        <f t="shared" ref="L130:L160" si="61">IFERROR(D130*K130,"")</f>
        <v>5.6470588235294121</v>
      </c>
      <c r="M130" s="23">
        <f t="shared" ref="M130:M160" si="62">IF(E130="","",VLOOKUP(E130,成本单价,8,0))</f>
        <v>1.6470588235294117</v>
      </c>
      <c r="N130" s="23">
        <f t="shared" ref="N130:N160" si="63">IFERROR(F130*M130,"")</f>
        <v>6.5882352941176467</v>
      </c>
      <c r="O130" s="23">
        <f t="shared" ref="O130:O160" si="64">IF(G130="","",VLOOKUP(G130,成本单价,8,0))</f>
        <v>15.428571428571431</v>
      </c>
      <c r="P130" s="23">
        <f t="shared" ref="P130:P160" si="65">IFERROR(H130*O130,"")</f>
        <v>92.571428571428584</v>
      </c>
      <c r="Q130" s="23" t="str">
        <f t="shared" ref="Q130:Q160" si="66">IF(I130="","",VLOOKUP(I130,成本单价,8,0))</f>
        <v/>
      </c>
      <c r="R130" s="23" t="str">
        <f t="shared" ref="R130:R193" si="67">IFERROR(J130*Q130,"")</f>
        <v/>
      </c>
      <c r="S130" s="108">
        <f t="shared" si="59"/>
        <v>4</v>
      </c>
      <c r="T130" s="28">
        <f t="shared" ref="T130:T160" si="68">IFERROR(SUM(L130,N130,P130,R130,S130),"")</f>
        <v>108.80672268907564</v>
      </c>
      <c r="U130" s="28">
        <f t="shared" ref="U130:U160" si="69">T130*(1+物料比)</f>
        <v>114.24705882352943</v>
      </c>
      <c r="V130" s="36">
        <f t="shared" ref="V130:V160" si="70">U130/B130</f>
        <v>5.7123529411764711</v>
      </c>
      <c r="W130" s="36">
        <f t="shared" ref="W130:W160" si="71">D130/B130+F130/B130+H130/B130+J130/B130</f>
        <v>0.8</v>
      </c>
      <c r="X130" s="63">
        <f t="shared" si="58"/>
        <v>6.2835882352941184</v>
      </c>
    </row>
    <row r="131" spans="1:24">
      <c r="A131" s="19" t="s">
        <v>482</v>
      </c>
      <c r="B131" s="19">
        <v>20</v>
      </c>
      <c r="C131" s="21" t="s">
        <v>2802</v>
      </c>
      <c r="D131" s="19">
        <v>12</v>
      </c>
      <c r="E131" s="19" t="s">
        <v>455</v>
      </c>
      <c r="F131" s="19">
        <v>2</v>
      </c>
      <c r="G131" s="19" t="s">
        <v>478</v>
      </c>
      <c r="H131" s="19">
        <v>1</v>
      </c>
      <c r="I131" s="19"/>
      <c r="J131" s="19"/>
      <c r="K131" s="23">
        <f t="shared" si="60"/>
        <v>1.1764705882352942</v>
      </c>
      <c r="L131" s="23">
        <f t="shared" si="61"/>
        <v>14.117647058823529</v>
      </c>
      <c r="M131" s="23">
        <f t="shared" si="62"/>
        <v>1.6470588235294117</v>
      </c>
      <c r="N131" s="23">
        <f t="shared" si="63"/>
        <v>3.2941176470588234</v>
      </c>
      <c r="O131" s="23">
        <f t="shared" si="64"/>
        <v>8.3529411764705888</v>
      </c>
      <c r="P131" s="23">
        <f t="shared" si="65"/>
        <v>8.3529411764705888</v>
      </c>
      <c r="Q131" s="23" t="str">
        <f t="shared" si="66"/>
        <v/>
      </c>
      <c r="R131" s="23" t="str">
        <f t="shared" si="67"/>
        <v/>
      </c>
      <c r="S131" s="108">
        <f t="shared" si="59"/>
        <v>4</v>
      </c>
      <c r="T131" s="28">
        <f t="shared" si="68"/>
        <v>29.764705882352942</v>
      </c>
      <c r="U131" s="28">
        <f t="shared" si="69"/>
        <v>31.252941176470589</v>
      </c>
      <c r="V131" s="36">
        <f t="shared" si="70"/>
        <v>1.5626470588235295</v>
      </c>
      <c r="W131" s="36">
        <f t="shared" si="71"/>
        <v>0.75</v>
      </c>
      <c r="X131" s="63">
        <f t="shared" si="58"/>
        <v>1.7189117647058827</v>
      </c>
    </row>
    <row r="132" spans="1:24">
      <c r="A132" s="19" t="s">
        <v>486</v>
      </c>
      <c r="B132" s="19">
        <v>20</v>
      </c>
      <c r="C132" s="19" t="s">
        <v>460</v>
      </c>
      <c r="D132" s="19">
        <v>10</v>
      </c>
      <c r="E132" s="47" t="s">
        <v>2147</v>
      </c>
      <c r="F132" s="89">
        <v>2</v>
      </c>
      <c r="G132" s="19" t="s">
        <v>498</v>
      </c>
      <c r="H132" s="19">
        <v>2</v>
      </c>
      <c r="I132" s="19"/>
      <c r="J132" s="19"/>
      <c r="K132" s="23">
        <f t="shared" si="60"/>
        <v>10.714285714285715</v>
      </c>
      <c r="L132" s="23">
        <f t="shared" si="61"/>
        <v>107.14285714285715</v>
      </c>
      <c r="M132" s="23" t="e">
        <f t="shared" si="62"/>
        <v>#N/A</v>
      </c>
      <c r="N132" s="23" t="str">
        <f t="shared" si="63"/>
        <v/>
      </c>
      <c r="O132" s="23">
        <f t="shared" si="64"/>
        <v>1.6470588235294117</v>
      </c>
      <c r="P132" s="23">
        <f t="shared" si="65"/>
        <v>3.2941176470588234</v>
      </c>
      <c r="Q132" s="23" t="str">
        <f t="shared" si="66"/>
        <v/>
      </c>
      <c r="R132" s="23" t="str">
        <f t="shared" si="67"/>
        <v/>
      </c>
      <c r="S132" s="108">
        <f>B132*0.6</f>
        <v>12</v>
      </c>
      <c r="T132" s="28">
        <f t="shared" si="68"/>
        <v>122.43697478991598</v>
      </c>
      <c r="U132" s="28">
        <f t="shared" si="69"/>
        <v>128.5588235294118</v>
      </c>
      <c r="V132" s="36">
        <f t="shared" si="70"/>
        <v>6.4279411764705898</v>
      </c>
      <c r="W132" s="36">
        <f t="shared" si="71"/>
        <v>0.7</v>
      </c>
      <c r="X132" s="63">
        <f t="shared" si="58"/>
        <v>7.0707352941176493</v>
      </c>
    </row>
    <row r="133" spans="1:24">
      <c r="A133" s="89" t="s">
        <v>487</v>
      </c>
      <c r="B133" s="89">
        <v>30</v>
      </c>
      <c r="C133" s="89" t="s">
        <v>495</v>
      </c>
      <c r="D133" s="89">
        <v>10</v>
      </c>
      <c r="E133" s="89" t="s">
        <v>500</v>
      </c>
      <c r="F133" s="89">
        <v>10</v>
      </c>
      <c r="G133" s="89"/>
      <c r="H133" s="89"/>
      <c r="I133" s="89"/>
      <c r="J133" s="89"/>
      <c r="K133" s="23">
        <f t="shared" si="60"/>
        <v>19.428571428571431</v>
      </c>
      <c r="L133" s="23">
        <f t="shared" si="61"/>
        <v>194.28571428571431</v>
      </c>
      <c r="M133" s="23">
        <f t="shared" si="62"/>
        <v>0.70588235294117652</v>
      </c>
      <c r="N133" s="23">
        <f t="shared" si="63"/>
        <v>7.0588235294117654</v>
      </c>
      <c r="O133" s="23" t="str">
        <f t="shared" si="64"/>
        <v/>
      </c>
      <c r="P133" s="23" t="str">
        <f t="shared" si="65"/>
        <v/>
      </c>
      <c r="Q133" s="23" t="str">
        <f t="shared" si="66"/>
        <v/>
      </c>
      <c r="R133" s="23" t="str">
        <f t="shared" si="67"/>
        <v/>
      </c>
      <c r="S133" s="108">
        <f t="shared" si="59"/>
        <v>6</v>
      </c>
      <c r="T133" s="28">
        <f t="shared" si="68"/>
        <v>207.34453781512607</v>
      </c>
      <c r="U133" s="28">
        <f t="shared" si="69"/>
        <v>217.71176470588239</v>
      </c>
      <c r="V133" s="36">
        <f t="shared" si="70"/>
        <v>7.2570588235294133</v>
      </c>
      <c r="W133" s="36">
        <f t="shared" si="71"/>
        <v>0.66666666666666663</v>
      </c>
      <c r="X133" s="63">
        <f t="shared" si="58"/>
        <v>7.9827647058823556</v>
      </c>
    </row>
    <row r="134" spans="1:24">
      <c r="A134" s="89" t="s">
        <v>488</v>
      </c>
      <c r="B134" s="89">
        <v>60</v>
      </c>
      <c r="C134" s="51" t="s">
        <v>2805</v>
      </c>
      <c r="D134" s="89">
        <v>30</v>
      </c>
      <c r="E134" s="9" t="s">
        <v>2792</v>
      </c>
      <c r="F134" s="89">
        <v>15</v>
      </c>
      <c r="G134" s="18" t="s">
        <v>2645</v>
      </c>
      <c r="H134" s="89">
        <v>6</v>
      </c>
      <c r="I134" s="89"/>
      <c r="J134" s="89"/>
      <c r="K134" s="23">
        <f t="shared" si="60"/>
        <v>14.000000000000002</v>
      </c>
      <c r="L134" s="23">
        <f t="shared" si="61"/>
        <v>420.00000000000006</v>
      </c>
      <c r="M134" s="23">
        <f t="shared" si="62"/>
        <v>1.6235294117647059</v>
      </c>
      <c r="N134" s="23">
        <f t="shared" si="63"/>
        <v>24.352941176470587</v>
      </c>
      <c r="O134" s="23">
        <f t="shared" si="64"/>
        <v>1.2857142857142858</v>
      </c>
      <c r="P134" s="23">
        <f t="shared" si="65"/>
        <v>7.7142857142857153</v>
      </c>
      <c r="Q134" s="23" t="str">
        <f t="shared" si="66"/>
        <v/>
      </c>
      <c r="R134" s="23" t="str">
        <f t="shared" si="67"/>
        <v/>
      </c>
      <c r="S134" s="108">
        <f>B134*0.002</f>
        <v>0.12</v>
      </c>
      <c r="T134" s="28">
        <f t="shared" si="68"/>
        <v>452.18722689075639</v>
      </c>
      <c r="U134" s="28">
        <f t="shared" si="69"/>
        <v>474.79658823529422</v>
      </c>
      <c r="V134" s="36">
        <f t="shared" si="70"/>
        <v>7.9132764705882375</v>
      </c>
      <c r="W134" s="36">
        <f t="shared" si="71"/>
        <v>0.85</v>
      </c>
      <c r="X134" s="63">
        <f t="shared" si="58"/>
        <v>8.7046041176470617</v>
      </c>
    </row>
    <row r="135" spans="1:24">
      <c r="A135" s="89" t="s">
        <v>489</v>
      </c>
      <c r="B135" s="89">
        <v>30</v>
      </c>
      <c r="C135" s="89" t="s">
        <v>489</v>
      </c>
      <c r="D135" s="89">
        <v>18</v>
      </c>
      <c r="E135" s="89"/>
      <c r="F135" s="89"/>
      <c r="G135" s="89"/>
      <c r="H135" s="89"/>
      <c r="I135" s="89"/>
      <c r="J135" s="89"/>
      <c r="K135" s="23">
        <f t="shared" si="60"/>
        <v>9.571428571428573</v>
      </c>
      <c r="L135" s="23">
        <f t="shared" si="61"/>
        <v>172.28571428571431</v>
      </c>
      <c r="M135" s="23" t="str">
        <f t="shared" si="62"/>
        <v/>
      </c>
      <c r="N135" s="23" t="str">
        <f t="shared" si="63"/>
        <v/>
      </c>
      <c r="O135" s="23" t="str">
        <f t="shared" si="64"/>
        <v/>
      </c>
      <c r="P135" s="23" t="str">
        <f t="shared" si="65"/>
        <v/>
      </c>
      <c r="Q135" s="23" t="str">
        <f t="shared" si="66"/>
        <v/>
      </c>
      <c r="R135" s="23" t="str">
        <f t="shared" si="67"/>
        <v/>
      </c>
      <c r="S135" s="108">
        <f t="shared" si="59"/>
        <v>6</v>
      </c>
      <c r="T135" s="28">
        <f t="shared" si="68"/>
        <v>178.28571428571431</v>
      </c>
      <c r="U135" s="28">
        <f t="shared" si="69"/>
        <v>187.20000000000002</v>
      </c>
      <c r="V135" s="36">
        <f t="shared" si="70"/>
        <v>6.24</v>
      </c>
      <c r="W135" s="36">
        <f t="shared" si="71"/>
        <v>0.6</v>
      </c>
      <c r="X135" s="63">
        <f t="shared" si="58"/>
        <v>6.8640000000000008</v>
      </c>
    </row>
    <row r="136" spans="1:24">
      <c r="A136" s="89" t="s">
        <v>490</v>
      </c>
      <c r="B136" s="89">
        <v>50</v>
      </c>
      <c r="C136" s="9" t="s">
        <v>1489</v>
      </c>
      <c r="D136" s="89">
        <v>20</v>
      </c>
      <c r="E136" s="89" t="s">
        <v>434</v>
      </c>
      <c r="F136" s="89">
        <v>5</v>
      </c>
      <c r="G136" s="89" t="s">
        <v>502</v>
      </c>
      <c r="H136" s="89">
        <v>5</v>
      </c>
      <c r="I136" s="89"/>
      <c r="J136" s="89"/>
      <c r="K136" s="44">
        <f t="shared" si="60"/>
        <v>6</v>
      </c>
      <c r="L136" s="44">
        <f t="shared" si="61"/>
        <v>120</v>
      </c>
      <c r="M136" s="44">
        <f t="shared" si="62"/>
        <v>15.428571428571431</v>
      </c>
      <c r="N136" s="44">
        <f t="shared" si="63"/>
        <v>77.142857142857153</v>
      </c>
      <c r="O136" s="44">
        <f t="shared" si="64"/>
        <v>0.94117647058823539</v>
      </c>
      <c r="P136" s="44">
        <f t="shared" si="65"/>
        <v>4.7058823529411766</v>
      </c>
      <c r="Q136" s="44" t="str">
        <f t="shared" si="66"/>
        <v/>
      </c>
      <c r="R136" s="44" t="str">
        <f t="shared" si="67"/>
        <v/>
      </c>
      <c r="S136" s="108">
        <f t="shared" si="59"/>
        <v>10</v>
      </c>
      <c r="T136" s="42">
        <f t="shared" si="68"/>
        <v>211.84873949579836</v>
      </c>
      <c r="U136" s="42">
        <f t="shared" si="69"/>
        <v>222.44117647058829</v>
      </c>
      <c r="V136" s="36">
        <f t="shared" si="70"/>
        <v>4.448823529411766</v>
      </c>
      <c r="W136" s="36">
        <f t="shared" si="71"/>
        <v>0.6</v>
      </c>
      <c r="X136" s="63">
        <f t="shared" ref="X136:X166" si="72">V136*(1+大灶毛利)</f>
        <v>4.8937058823529433</v>
      </c>
    </row>
    <row r="137" spans="1:24">
      <c r="A137" s="19" t="s">
        <v>491</v>
      </c>
      <c r="B137" s="19">
        <v>40</v>
      </c>
      <c r="C137" s="31" t="s">
        <v>2332</v>
      </c>
      <c r="D137" s="19">
        <v>20</v>
      </c>
      <c r="E137" s="51" t="s">
        <v>2805</v>
      </c>
      <c r="F137" s="19">
        <v>4</v>
      </c>
      <c r="G137" s="19" t="s">
        <v>439</v>
      </c>
      <c r="H137" s="19">
        <v>1</v>
      </c>
      <c r="I137" s="89"/>
      <c r="J137" s="89"/>
      <c r="K137" s="23">
        <f t="shared" si="60"/>
        <v>2.5333333333333332</v>
      </c>
      <c r="L137" s="23">
        <f t="shared" si="61"/>
        <v>50.666666666666664</v>
      </c>
      <c r="M137" s="23">
        <f t="shared" si="62"/>
        <v>14.000000000000002</v>
      </c>
      <c r="N137" s="23">
        <f t="shared" si="63"/>
        <v>56.000000000000007</v>
      </c>
      <c r="O137" s="23">
        <f t="shared" si="64"/>
        <v>2.1176470588235294</v>
      </c>
      <c r="P137" s="23">
        <f t="shared" si="65"/>
        <v>2.1176470588235294</v>
      </c>
      <c r="Q137" s="23" t="str">
        <f t="shared" si="66"/>
        <v/>
      </c>
      <c r="R137" s="23" t="str">
        <f t="shared" si="67"/>
        <v/>
      </c>
      <c r="S137" s="108">
        <f t="shared" si="59"/>
        <v>8</v>
      </c>
      <c r="T137" s="28">
        <f t="shared" si="68"/>
        <v>116.78431372549021</v>
      </c>
      <c r="U137" s="28">
        <f t="shared" si="69"/>
        <v>122.62352941176472</v>
      </c>
      <c r="V137" s="36">
        <f t="shared" si="70"/>
        <v>3.0655882352941179</v>
      </c>
      <c r="W137" s="36">
        <f t="shared" si="71"/>
        <v>0.625</v>
      </c>
      <c r="X137" s="63">
        <f t="shared" si="72"/>
        <v>3.3721470588235301</v>
      </c>
    </row>
    <row r="138" spans="1:24">
      <c r="A138" s="19" t="s">
        <v>492</v>
      </c>
      <c r="B138" s="19">
        <v>40</v>
      </c>
      <c r="C138" s="19" t="s">
        <v>498</v>
      </c>
      <c r="D138" s="19">
        <v>12</v>
      </c>
      <c r="E138" s="89" t="s">
        <v>501</v>
      </c>
      <c r="F138" s="19">
        <v>4</v>
      </c>
      <c r="G138" s="19" t="s">
        <v>476</v>
      </c>
      <c r="H138" s="19">
        <v>4</v>
      </c>
      <c r="I138" s="18" t="s">
        <v>1490</v>
      </c>
      <c r="J138" s="89">
        <v>2</v>
      </c>
      <c r="K138" s="23">
        <f t="shared" si="60"/>
        <v>1.6470588235294117</v>
      </c>
      <c r="L138" s="23">
        <f t="shared" si="61"/>
        <v>19.764705882352942</v>
      </c>
      <c r="M138" s="23">
        <f t="shared" si="62"/>
        <v>42.857142857142861</v>
      </c>
      <c r="N138" s="23">
        <f t="shared" si="63"/>
        <v>171.42857142857144</v>
      </c>
      <c r="O138" s="23">
        <f t="shared" si="64"/>
        <v>2.1176470588235294</v>
      </c>
      <c r="P138" s="23">
        <f t="shared" si="65"/>
        <v>8.4705882352941178</v>
      </c>
      <c r="Q138" s="23">
        <f t="shared" si="66"/>
        <v>7</v>
      </c>
      <c r="R138" s="23">
        <f t="shared" si="67"/>
        <v>14</v>
      </c>
      <c r="S138" s="108">
        <f t="shared" si="59"/>
        <v>8</v>
      </c>
      <c r="T138" s="28">
        <f t="shared" si="68"/>
        <v>221.66386554621849</v>
      </c>
      <c r="U138" s="28">
        <f t="shared" si="69"/>
        <v>232.74705882352941</v>
      </c>
      <c r="V138" s="36">
        <f t="shared" si="70"/>
        <v>5.818676470588235</v>
      </c>
      <c r="W138" s="36">
        <f t="shared" si="71"/>
        <v>0.55000000000000004</v>
      </c>
      <c r="X138" s="63">
        <f t="shared" si="72"/>
        <v>6.4005441176470592</v>
      </c>
    </row>
    <row r="139" spans="1:24">
      <c r="A139" s="19" t="s">
        <v>493</v>
      </c>
      <c r="B139" s="19">
        <v>20</v>
      </c>
      <c r="C139" s="89" t="s">
        <v>438</v>
      </c>
      <c r="D139" s="19">
        <v>12</v>
      </c>
      <c r="E139" s="89"/>
      <c r="F139" s="19"/>
      <c r="G139" s="19"/>
      <c r="H139" s="19"/>
      <c r="I139" s="89"/>
      <c r="J139" s="89"/>
      <c r="K139" s="23">
        <f t="shared" si="60"/>
        <v>0.88235294117647056</v>
      </c>
      <c r="L139" s="23">
        <f t="shared" si="61"/>
        <v>10.588235294117647</v>
      </c>
      <c r="M139" s="23" t="str">
        <f t="shared" si="62"/>
        <v/>
      </c>
      <c r="N139" s="23" t="str">
        <f t="shared" si="63"/>
        <v/>
      </c>
      <c r="O139" s="23" t="str">
        <f t="shared" si="64"/>
        <v/>
      </c>
      <c r="P139" s="23" t="str">
        <f t="shared" si="65"/>
        <v/>
      </c>
      <c r="Q139" s="23" t="str">
        <f t="shared" si="66"/>
        <v/>
      </c>
      <c r="R139" s="23" t="str">
        <f t="shared" si="67"/>
        <v/>
      </c>
      <c r="S139" s="108">
        <f t="shared" si="59"/>
        <v>4</v>
      </c>
      <c r="T139" s="28">
        <f t="shared" si="68"/>
        <v>14.588235294117647</v>
      </c>
      <c r="U139" s="28">
        <f t="shared" si="69"/>
        <v>15.31764705882353</v>
      </c>
      <c r="V139" s="36">
        <f t="shared" si="70"/>
        <v>0.76588235294117646</v>
      </c>
      <c r="W139" s="36">
        <f t="shared" si="71"/>
        <v>0.6</v>
      </c>
      <c r="X139" s="63">
        <f t="shared" si="72"/>
        <v>0.84247058823529419</v>
      </c>
    </row>
    <row r="140" spans="1:24">
      <c r="A140" s="19" t="s">
        <v>494</v>
      </c>
      <c r="B140" s="19">
        <v>20</v>
      </c>
      <c r="C140" s="19" t="s">
        <v>499</v>
      </c>
      <c r="D140" s="19">
        <v>14</v>
      </c>
      <c r="E140" s="19"/>
      <c r="F140" s="19"/>
      <c r="G140" s="19"/>
      <c r="H140" s="19"/>
      <c r="I140" s="89"/>
      <c r="J140" s="89"/>
      <c r="K140" s="23">
        <f t="shared" si="60"/>
        <v>1.5294117647058825</v>
      </c>
      <c r="L140" s="23">
        <f t="shared" si="61"/>
        <v>21.411764705882355</v>
      </c>
      <c r="M140" s="23" t="str">
        <f t="shared" si="62"/>
        <v/>
      </c>
      <c r="N140" s="23" t="str">
        <f t="shared" si="63"/>
        <v/>
      </c>
      <c r="O140" s="23" t="str">
        <f t="shared" si="64"/>
        <v/>
      </c>
      <c r="P140" s="23" t="str">
        <f t="shared" si="65"/>
        <v/>
      </c>
      <c r="Q140" s="23" t="str">
        <f t="shared" si="66"/>
        <v/>
      </c>
      <c r="R140" s="23" t="str">
        <f t="shared" si="67"/>
        <v/>
      </c>
      <c r="S140" s="108">
        <f t="shared" si="59"/>
        <v>4</v>
      </c>
      <c r="T140" s="28">
        <f t="shared" si="68"/>
        <v>25.411764705882355</v>
      </c>
      <c r="U140" s="28">
        <f t="shared" si="69"/>
        <v>26.682352941176475</v>
      </c>
      <c r="V140" s="36">
        <f t="shared" si="70"/>
        <v>1.3341176470588239</v>
      </c>
      <c r="W140" s="36">
        <f t="shared" si="71"/>
        <v>0.7</v>
      </c>
      <c r="X140" s="63">
        <f t="shared" si="72"/>
        <v>1.4675294117647064</v>
      </c>
    </row>
    <row r="141" spans="1:24">
      <c r="A141" s="19" t="s">
        <v>503</v>
      </c>
      <c r="B141" s="19">
        <v>20</v>
      </c>
      <c r="C141" s="19" t="s">
        <v>454</v>
      </c>
      <c r="D141" s="19">
        <v>10</v>
      </c>
      <c r="E141" s="89" t="s">
        <v>496</v>
      </c>
      <c r="F141" s="19">
        <v>4</v>
      </c>
      <c r="G141" s="19"/>
      <c r="H141" s="19"/>
      <c r="I141" s="89"/>
      <c r="J141" s="89"/>
      <c r="K141" s="23">
        <f t="shared" si="60"/>
        <v>10.857142857142858</v>
      </c>
      <c r="L141" s="23">
        <f t="shared" si="61"/>
        <v>108.57142857142858</v>
      </c>
      <c r="M141" s="23">
        <f t="shared" si="62"/>
        <v>2.5882352941176472</v>
      </c>
      <c r="N141" s="23">
        <f t="shared" si="63"/>
        <v>10.352941176470589</v>
      </c>
      <c r="O141" s="23" t="str">
        <f t="shared" si="64"/>
        <v/>
      </c>
      <c r="P141" s="23" t="str">
        <f t="shared" si="65"/>
        <v/>
      </c>
      <c r="Q141" s="23" t="str">
        <f t="shared" si="66"/>
        <v/>
      </c>
      <c r="R141" s="23" t="str">
        <f t="shared" si="67"/>
        <v/>
      </c>
      <c r="S141" s="108">
        <f t="shared" si="59"/>
        <v>4</v>
      </c>
      <c r="T141" s="28">
        <f t="shared" si="68"/>
        <v>122.92436974789918</v>
      </c>
      <c r="U141" s="28">
        <f t="shared" si="69"/>
        <v>129.07058823529414</v>
      </c>
      <c r="V141" s="36">
        <f t="shared" si="70"/>
        <v>6.4535294117647073</v>
      </c>
      <c r="W141" s="36">
        <f t="shared" si="71"/>
        <v>0.7</v>
      </c>
      <c r="X141" s="63">
        <f t="shared" si="72"/>
        <v>7.0988823529411782</v>
      </c>
    </row>
    <row r="142" spans="1:24">
      <c r="A142" s="19" t="s">
        <v>504</v>
      </c>
      <c r="B142" s="19">
        <v>20</v>
      </c>
      <c r="C142" s="31" t="s">
        <v>2148</v>
      </c>
      <c r="D142" s="19">
        <v>10</v>
      </c>
      <c r="E142" s="48" t="s">
        <v>73</v>
      </c>
      <c r="F142" s="19">
        <v>2</v>
      </c>
      <c r="G142" s="26" t="s">
        <v>190</v>
      </c>
      <c r="H142" s="19">
        <v>2</v>
      </c>
      <c r="I142" s="89"/>
      <c r="J142" s="89"/>
      <c r="K142" s="23">
        <f t="shared" si="60"/>
        <v>2.5333333333333332</v>
      </c>
      <c r="L142" s="23">
        <f t="shared" si="61"/>
        <v>25.333333333333332</v>
      </c>
      <c r="M142" s="23">
        <f t="shared" si="62"/>
        <v>1.2857142857142858</v>
      </c>
      <c r="N142" s="23">
        <f t="shared" si="63"/>
        <v>2.5714285714285716</v>
      </c>
      <c r="O142" s="23">
        <f t="shared" si="64"/>
        <v>13</v>
      </c>
      <c r="P142" s="23">
        <f t="shared" si="65"/>
        <v>26</v>
      </c>
      <c r="Q142" s="23" t="str">
        <f t="shared" si="66"/>
        <v/>
      </c>
      <c r="R142" s="23" t="str">
        <f t="shared" si="67"/>
        <v/>
      </c>
      <c r="S142" s="108">
        <f t="shared" si="59"/>
        <v>4</v>
      </c>
      <c r="T142" s="28">
        <f t="shared" si="68"/>
        <v>57.904761904761905</v>
      </c>
      <c r="U142" s="28">
        <f t="shared" si="69"/>
        <v>60.800000000000004</v>
      </c>
      <c r="V142" s="36">
        <f t="shared" si="70"/>
        <v>3.04</v>
      </c>
      <c r="W142" s="36">
        <f t="shared" si="71"/>
        <v>0.7</v>
      </c>
      <c r="X142" s="63">
        <f t="shared" si="72"/>
        <v>3.3440000000000003</v>
      </c>
    </row>
    <row r="143" spans="1:24" ht="15">
      <c r="A143" s="89" t="s">
        <v>505</v>
      </c>
      <c r="B143" s="89">
        <v>30</v>
      </c>
      <c r="C143" s="89" t="s">
        <v>498</v>
      </c>
      <c r="D143" s="89">
        <v>12</v>
      </c>
      <c r="E143" s="30" t="s">
        <v>363</v>
      </c>
      <c r="F143" s="89">
        <v>1</v>
      </c>
      <c r="G143" s="26" t="s">
        <v>190</v>
      </c>
      <c r="H143" s="89">
        <v>3</v>
      </c>
      <c r="I143" s="89"/>
      <c r="J143" s="89"/>
      <c r="K143" s="23">
        <f t="shared" si="60"/>
        <v>1.6470588235294117</v>
      </c>
      <c r="L143" s="23">
        <f t="shared" si="61"/>
        <v>19.764705882352942</v>
      </c>
      <c r="M143" s="23">
        <f t="shared" si="62"/>
        <v>6.4285714285714288</v>
      </c>
      <c r="N143" s="23">
        <f t="shared" si="63"/>
        <v>6.4285714285714288</v>
      </c>
      <c r="O143" s="23">
        <f t="shared" si="64"/>
        <v>13</v>
      </c>
      <c r="P143" s="23">
        <f t="shared" si="65"/>
        <v>39</v>
      </c>
      <c r="Q143" s="23" t="str">
        <f t="shared" si="66"/>
        <v/>
      </c>
      <c r="R143" s="23" t="str">
        <f t="shared" si="67"/>
        <v/>
      </c>
      <c r="S143" s="108">
        <f t="shared" si="59"/>
        <v>6</v>
      </c>
      <c r="T143" s="28">
        <f t="shared" si="68"/>
        <v>71.193277310924373</v>
      </c>
      <c r="U143" s="28">
        <f t="shared" si="69"/>
        <v>74.7529411764706</v>
      </c>
      <c r="V143" s="36">
        <f t="shared" si="70"/>
        <v>2.4917647058823533</v>
      </c>
      <c r="W143" s="36">
        <f t="shared" si="71"/>
        <v>0.53333333333333333</v>
      </c>
      <c r="X143" s="63">
        <f t="shared" si="72"/>
        <v>2.7409411764705887</v>
      </c>
    </row>
    <row r="144" spans="1:24">
      <c r="A144" s="19" t="s">
        <v>506</v>
      </c>
      <c r="B144" s="19">
        <v>50</v>
      </c>
      <c r="C144" s="89" t="s">
        <v>439</v>
      </c>
      <c r="D144" s="19">
        <v>25</v>
      </c>
      <c r="E144" s="89" t="s">
        <v>319</v>
      </c>
      <c r="F144" s="19">
        <v>10</v>
      </c>
      <c r="G144" s="89"/>
      <c r="H144" s="19"/>
      <c r="I144" s="19"/>
      <c r="J144" s="19"/>
      <c r="K144" s="23">
        <f t="shared" si="60"/>
        <v>2.1176470588235294</v>
      </c>
      <c r="L144" s="23">
        <f t="shared" si="61"/>
        <v>52.941176470588239</v>
      </c>
      <c r="M144" s="23">
        <f t="shared" si="62"/>
        <v>3.5714285714285716</v>
      </c>
      <c r="N144" s="23">
        <f t="shared" si="63"/>
        <v>35.714285714285715</v>
      </c>
      <c r="O144" s="23" t="str">
        <f t="shared" si="64"/>
        <v/>
      </c>
      <c r="P144" s="23" t="str">
        <f t="shared" si="65"/>
        <v/>
      </c>
      <c r="Q144" s="23" t="str">
        <f t="shared" si="66"/>
        <v/>
      </c>
      <c r="R144" s="23" t="str">
        <f t="shared" si="67"/>
        <v/>
      </c>
      <c r="S144" s="108">
        <f t="shared" si="59"/>
        <v>10</v>
      </c>
      <c r="T144" s="28">
        <f t="shared" si="68"/>
        <v>98.655462184873954</v>
      </c>
      <c r="U144" s="28">
        <f t="shared" si="69"/>
        <v>103.58823529411765</v>
      </c>
      <c r="V144" s="36">
        <f t="shared" si="70"/>
        <v>2.071764705882353</v>
      </c>
      <c r="W144" s="36">
        <f t="shared" si="71"/>
        <v>0.7</v>
      </c>
      <c r="X144" s="63">
        <f t="shared" si="72"/>
        <v>2.2789411764705885</v>
      </c>
    </row>
    <row r="145" spans="1:24">
      <c r="A145" s="19" t="s">
        <v>508</v>
      </c>
      <c r="B145" s="19">
        <v>40</v>
      </c>
      <c r="C145" s="89" t="s">
        <v>460</v>
      </c>
      <c r="D145" s="19">
        <v>24</v>
      </c>
      <c r="E145" s="51" t="s">
        <v>2805</v>
      </c>
      <c r="F145" s="19">
        <v>1</v>
      </c>
      <c r="G145" s="38" t="s">
        <v>120</v>
      </c>
      <c r="H145" s="19">
        <v>1</v>
      </c>
      <c r="I145" s="48" t="s">
        <v>180</v>
      </c>
      <c r="J145" s="19">
        <v>1</v>
      </c>
      <c r="K145" s="23">
        <f t="shared" si="60"/>
        <v>10.714285714285715</v>
      </c>
      <c r="L145" s="23">
        <f t="shared" si="61"/>
        <v>257.14285714285717</v>
      </c>
      <c r="M145" s="23">
        <f t="shared" si="62"/>
        <v>14.000000000000002</v>
      </c>
      <c r="N145" s="23">
        <f t="shared" si="63"/>
        <v>14.000000000000002</v>
      </c>
      <c r="O145" s="23">
        <f t="shared" si="64"/>
        <v>25.714285714285715</v>
      </c>
      <c r="P145" s="23">
        <f t="shared" si="65"/>
        <v>25.714285714285715</v>
      </c>
      <c r="Q145" s="23">
        <f t="shared" si="66"/>
        <v>7.6470588235294121</v>
      </c>
      <c r="R145" s="23">
        <f t="shared" si="67"/>
        <v>7.6470588235294121</v>
      </c>
      <c r="S145" s="108">
        <f t="shared" si="59"/>
        <v>8</v>
      </c>
      <c r="T145" s="28">
        <f t="shared" si="68"/>
        <v>312.50420168067228</v>
      </c>
      <c r="U145" s="28">
        <f t="shared" si="69"/>
        <v>328.12941176470594</v>
      </c>
      <c r="V145" s="36">
        <f t="shared" si="70"/>
        <v>8.2032352941176487</v>
      </c>
      <c r="W145" s="36">
        <f t="shared" si="71"/>
        <v>0.67500000000000004</v>
      </c>
      <c r="X145" s="63">
        <f t="shared" si="72"/>
        <v>9.0235588235294149</v>
      </c>
    </row>
    <row r="146" spans="1:24">
      <c r="A146" s="19" t="s">
        <v>509</v>
      </c>
      <c r="B146" s="19">
        <v>40</v>
      </c>
      <c r="C146" s="21" t="s">
        <v>1491</v>
      </c>
      <c r="D146" s="19">
        <v>9</v>
      </c>
      <c r="E146" s="89" t="s">
        <v>455</v>
      </c>
      <c r="F146" s="19">
        <v>10</v>
      </c>
      <c r="G146" s="19" t="s">
        <v>478</v>
      </c>
      <c r="H146" s="19">
        <v>2</v>
      </c>
      <c r="I146" s="18" t="s">
        <v>1648</v>
      </c>
      <c r="J146" s="19">
        <v>5</v>
      </c>
      <c r="K146" s="23">
        <f t="shared" si="60"/>
        <v>33.000000000000007</v>
      </c>
      <c r="L146" s="23">
        <f t="shared" si="61"/>
        <v>297.00000000000006</v>
      </c>
      <c r="M146" s="23">
        <f t="shared" si="62"/>
        <v>1.6470588235294117</v>
      </c>
      <c r="N146" s="23">
        <f t="shared" si="63"/>
        <v>16.470588235294116</v>
      </c>
      <c r="O146" s="23">
        <f t="shared" si="64"/>
        <v>8.3529411764705888</v>
      </c>
      <c r="P146" s="23">
        <f t="shared" si="65"/>
        <v>16.705882352941178</v>
      </c>
      <c r="Q146" s="23">
        <f t="shared" si="66"/>
        <v>0.94117647058823539</v>
      </c>
      <c r="R146" s="23">
        <f t="shared" si="67"/>
        <v>4.7058823529411766</v>
      </c>
      <c r="S146" s="108">
        <f t="shared" si="59"/>
        <v>8</v>
      </c>
      <c r="T146" s="28">
        <f t="shared" si="68"/>
        <v>342.88235294117646</v>
      </c>
      <c r="U146" s="28">
        <f t="shared" si="69"/>
        <v>360.02647058823533</v>
      </c>
      <c r="V146" s="36">
        <f t="shared" si="70"/>
        <v>9.0006617647058835</v>
      </c>
      <c r="W146" s="36">
        <f t="shared" si="71"/>
        <v>0.65</v>
      </c>
      <c r="X146" s="63">
        <f t="shared" si="72"/>
        <v>9.9007279411764735</v>
      </c>
    </row>
    <row r="147" spans="1:24">
      <c r="A147" s="19" t="s">
        <v>510</v>
      </c>
      <c r="B147" s="19">
        <v>30</v>
      </c>
      <c r="C147" s="19" t="s">
        <v>434</v>
      </c>
      <c r="D147" s="19">
        <v>10</v>
      </c>
      <c r="E147" s="89" t="s">
        <v>516</v>
      </c>
      <c r="F147" s="19">
        <v>3</v>
      </c>
      <c r="G147" s="19" t="s">
        <v>497</v>
      </c>
      <c r="H147" s="19">
        <v>3</v>
      </c>
      <c r="I147" s="19"/>
      <c r="J147" s="19"/>
      <c r="K147" s="23">
        <f t="shared" si="60"/>
        <v>15.428571428571431</v>
      </c>
      <c r="L147" s="23">
        <f t="shared" si="61"/>
        <v>154.28571428571431</v>
      </c>
      <c r="M147" s="23">
        <f t="shared" si="62"/>
        <v>4</v>
      </c>
      <c r="N147" s="23">
        <f t="shared" si="63"/>
        <v>12</v>
      </c>
      <c r="O147" s="23">
        <f t="shared" si="64"/>
        <v>1.1176470588235294</v>
      </c>
      <c r="P147" s="23">
        <f t="shared" si="65"/>
        <v>3.3529411764705883</v>
      </c>
      <c r="Q147" s="23" t="str">
        <f t="shared" si="66"/>
        <v/>
      </c>
      <c r="R147" s="23" t="str">
        <f t="shared" si="67"/>
        <v/>
      </c>
      <c r="S147" s="108">
        <f t="shared" si="59"/>
        <v>6</v>
      </c>
      <c r="T147" s="28">
        <f t="shared" si="68"/>
        <v>175.63865546218489</v>
      </c>
      <c r="U147" s="28">
        <f t="shared" si="69"/>
        <v>184.42058823529413</v>
      </c>
      <c r="V147" s="36">
        <f t="shared" si="70"/>
        <v>6.1473529411764707</v>
      </c>
      <c r="W147" s="36">
        <f t="shared" si="71"/>
        <v>0.53333333333333333</v>
      </c>
      <c r="X147" s="63">
        <f t="shared" si="72"/>
        <v>6.7620882352941187</v>
      </c>
    </row>
    <row r="148" spans="1:24">
      <c r="A148" s="19" t="s">
        <v>511</v>
      </c>
      <c r="B148" s="19">
        <v>50</v>
      </c>
      <c r="C148" s="32" t="s">
        <v>207</v>
      </c>
      <c r="D148" s="19">
        <v>20</v>
      </c>
      <c r="E148" s="89" t="s">
        <v>507</v>
      </c>
      <c r="F148" s="19">
        <v>10</v>
      </c>
      <c r="G148" s="19"/>
      <c r="H148" s="19"/>
      <c r="I148" s="19"/>
      <c r="J148" s="19"/>
      <c r="K148" s="23">
        <f t="shared" si="60"/>
        <v>14.428571428571429</v>
      </c>
      <c r="L148" s="23">
        <f t="shared" si="61"/>
        <v>288.57142857142856</v>
      </c>
      <c r="M148" s="23">
        <f t="shared" si="62"/>
        <v>3.2941176470588234</v>
      </c>
      <c r="N148" s="23">
        <f t="shared" si="63"/>
        <v>32.941176470588232</v>
      </c>
      <c r="O148" s="23" t="str">
        <f t="shared" si="64"/>
        <v/>
      </c>
      <c r="P148" s="23" t="str">
        <f t="shared" si="65"/>
        <v/>
      </c>
      <c r="Q148" s="23" t="str">
        <f t="shared" si="66"/>
        <v/>
      </c>
      <c r="R148" s="23" t="str">
        <f t="shared" si="67"/>
        <v/>
      </c>
      <c r="S148" s="108">
        <f t="shared" si="59"/>
        <v>10</v>
      </c>
      <c r="T148" s="28">
        <f t="shared" si="68"/>
        <v>331.51260504201679</v>
      </c>
      <c r="U148" s="28">
        <f t="shared" si="69"/>
        <v>348.08823529411762</v>
      </c>
      <c r="V148" s="36">
        <f t="shared" si="70"/>
        <v>6.9617647058823522</v>
      </c>
      <c r="W148" s="36">
        <f t="shared" si="71"/>
        <v>0.60000000000000009</v>
      </c>
      <c r="X148" s="63">
        <f t="shared" si="72"/>
        <v>7.6579411764705876</v>
      </c>
    </row>
    <row r="149" spans="1:24">
      <c r="A149" s="19" t="s">
        <v>512</v>
      </c>
      <c r="B149" s="19">
        <v>40</v>
      </c>
      <c r="C149" s="19" t="s">
        <v>438</v>
      </c>
      <c r="D149" s="19">
        <v>20</v>
      </c>
      <c r="E149" s="51" t="s">
        <v>2805</v>
      </c>
      <c r="F149" s="19">
        <v>4</v>
      </c>
      <c r="G149" s="19"/>
      <c r="H149" s="19"/>
      <c r="I149" s="19"/>
      <c r="J149" s="19"/>
      <c r="K149" s="23">
        <f t="shared" si="60"/>
        <v>0.88235294117647056</v>
      </c>
      <c r="L149" s="23">
        <f t="shared" si="61"/>
        <v>17.647058823529413</v>
      </c>
      <c r="M149" s="23">
        <f t="shared" si="62"/>
        <v>14.000000000000002</v>
      </c>
      <c r="N149" s="23">
        <f t="shared" si="63"/>
        <v>56.000000000000007</v>
      </c>
      <c r="O149" s="23" t="str">
        <f t="shared" si="64"/>
        <v/>
      </c>
      <c r="P149" s="23" t="str">
        <f t="shared" si="65"/>
        <v/>
      </c>
      <c r="Q149" s="23" t="str">
        <f t="shared" si="66"/>
        <v/>
      </c>
      <c r="R149" s="23" t="str">
        <f t="shared" si="67"/>
        <v/>
      </c>
      <c r="S149" s="108">
        <f t="shared" si="59"/>
        <v>8</v>
      </c>
      <c r="T149" s="28">
        <f t="shared" si="68"/>
        <v>81.64705882352942</v>
      </c>
      <c r="U149" s="28">
        <f t="shared" si="69"/>
        <v>85.729411764705901</v>
      </c>
      <c r="V149" s="36">
        <f t="shared" si="70"/>
        <v>2.1432352941176473</v>
      </c>
      <c r="W149" s="36">
        <f t="shared" si="71"/>
        <v>0.6</v>
      </c>
      <c r="X149" s="63">
        <f t="shared" si="72"/>
        <v>2.3575588235294123</v>
      </c>
    </row>
    <row r="150" spans="1:24">
      <c r="A150" s="19" t="s">
        <v>513</v>
      </c>
      <c r="B150" s="19">
        <v>50</v>
      </c>
      <c r="C150" s="89" t="s">
        <v>496</v>
      </c>
      <c r="D150" s="19">
        <v>25</v>
      </c>
      <c r="E150" s="19" t="s">
        <v>434</v>
      </c>
      <c r="F150" s="19">
        <v>5</v>
      </c>
      <c r="G150" s="19"/>
      <c r="H150" s="19"/>
      <c r="I150" s="19"/>
      <c r="J150" s="19"/>
      <c r="K150" s="23">
        <f t="shared" si="60"/>
        <v>2.5882352941176472</v>
      </c>
      <c r="L150" s="23">
        <f t="shared" si="61"/>
        <v>64.705882352941174</v>
      </c>
      <c r="M150" s="23">
        <f t="shared" si="62"/>
        <v>15.428571428571431</v>
      </c>
      <c r="N150" s="23">
        <f t="shared" si="63"/>
        <v>77.142857142857153</v>
      </c>
      <c r="O150" s="23" t="str">
        <f t="shared" si="64"/>
        <v/>
      </c>
      <c r="P150" s="23" t="str">
        <f t="shared" si="65"/>
        <v/>
      </c>
      <c r="Q150" s="23" t="str">
        <f t="shared" si="66"/>
        <v/>
      </c>
      <c r="R150" s="23" t="str">
        <f t="shared" si="67"/>
        <v/>
      </c>
      <c r="S150" s="108">
        <f t="shared" ref="S150:S181" si="73">B150*0.2</f>
        <v>10</v>
      </c>
      <c r="T150" s="28">
        <f t="shared" si="68"/>
        <v>151.84873949579833</v>
      </c>
      <c r="U150" s="28">
        <f t="shared" si="69"/>
        <v>159.44117647058826</v>
      </c>
      <c r="V150" s="36">
        <f t="shared" si="70"/>
        <v>3.1888235294117653</v>
      </c>
      <c r="W150" s="36">
        <f t="shared" si="71"/>
        <v>0.6</v>
      </c>
      <c r="X150" s="63">
        <f t="shared" si="72"/>
        <v>3.5077058823529419</v>
      </c>
    </row>
    <row r="151" spans="1:24">
      <c r="A151" s="19" t="s">
        <v>514</v>
      </c>
      <c r="B151" s="19">
        <v>30</v>
      </c>
      <c r="C151" s="19" t="s">
        <v>474</v>
      </c>
      <c r="D151" s="19">
        <v>18</v>
      </c>
      <c r="E151" s="89"/>
      <c r="F151" s="19"/>
      <c r="G151" s="19"/>
      <c r="H151" s="19"/>
      <c r="I151" s="19"/>
      <c r="J151" s="19"/>
      <c r="K151" s="23">
        <f t="shared" si="60"/>
        <v>1.0588235294117647</v>
      </c>
      <c r="L151" s="23">
        <f t="shared" si="61"/>
        <v>19.058823529411764</v>
      </c>
      <c r="M151" s="23" t="str">
        <f t="shared" si="62"/>
        <v/>
      </c>
      <c r="N151" s="23" t="str">
        <f t="shared" si="63"/>
        <v/>
      </c>
      <c r="O151" s="23" t="str">
        <f t="shared" si="64"/>
        <v/>
      </c>
      <c r="P151" s="23" t="str">
        <f t="shared" si="65"/>
        <v/>
      </c>
      <c r="Q151" s="23" t="str">
        <f t="shared" si="66"/>
        <v/>
      </c>
      <c r="R151" s="23" t="str">
        <f t="shared" si="67"/>
        <v/>
      </c>
      <c r="S151" s="108">
        <f t="shared" si="73"/>
        <v>6</v>
      </c>
      <c r="T151" s="28">
        <f t="shared" si="68"/>
        <v>25.058823529411764</v>
      </c>
      <c r="U151" s="28">
        <f t="shared" si="69"/>
        <v>26.311764705882354</v>
      </c>
      <c r="V151" s="36">
        <f t="shared" si="70"/>
        <v>0.87705882352941178</v>
      </c>
      <c r="W151" s="36">
        <f t="shared" si="71"/>
        <v>0.6</v>
      </c>
      <c r="X151" s="63">
        <f t="shared" si="72"/>
        <v>0.96476470588235308</v>
      </c>
    </row>
    <row r="152" spans="1:24">
      <c r="A152" s="19" t="s">
        <v>515</v>
      </c>
      <c r="B152" s="19">
        <v>50</v>
      </c>
      <c r="C152" s="19" t="s">
        <v>448</v>
      </c>
      <c r="D152" s="19">
        <v>15</v>
      </c>
      <c r="E152" s="9" t="s">
        <v>2807</v>
      </c>
      <c r="F152" s="19">
        <v>15</v>
      </c>
      <c r="G152" s="19"/>
      <c r="H152" s="19"/>
      <c r="I152" s="19"/>
      <c r="J152" s="19"/>
      <c r="K152" s="23">
        <f t="shared" si="60"/>
        <v>2.882352941176471</v>
      </c>
      <c r="L152" s="23">
        <f t="shared" si="61"/>
        <v>43.235294117647065</v>
      </c>
      <c r="M152" s="23">
        <f t="shared" si="62"/>
        <v>1.6235294117647059</v>
      </c>
      <c r="N152" s="23">
        <f t="shared" si="63"/>
        <v>24.352941176470587</v>
      </c>
      <c r="O152" s="23" t="str">
        <f t="shared" si="64"/>
        <v/>
      </c>
      <c r="P152" s="23" t="str">
        <f t="shared" si="65"/>
        <v/>
      </c>
      <c r="Q152" s="23" t="str">
        <f t="shared" si="66"/>
        <v/>
      </c>
      <c r="R152" s="23" t="str">
        <f t="shared" si="67"/>
        <v/>
      </c>
      <c r="S152" s="108">
        <f t="shared" si="73"/>
        <v>10</v>
      </c>
      <c r="T152" s="28">
        <f t="shared" si="68"/>
        <v>77.588235294117652</v>
      </c>
      <c r="U152" s="28">
        <f t="shared" si="69"/>
        <v>81.467647058823545</v>
      </c>
      <c r="V152" s="36">
        <f t="shared" si="70"/>
        <v>1.6293529411764709</v>
      </c>
      <c r="W152" s="36">
        <f t="shared" si="71"/>
        <v>0.6</v>
      </c>
      <c r="X152" s="63">
        <f t="shared" si="72"/>
        <v>1.7922882352941181</v>
      </c>
    </row>
    <row r="153" spans="1:24">
      <c r="A153" s="89" t="s">
        <v>517</v>
      </c>
      <c r="B153" s="89">
        <v>20</v>
      </c>
      <c r="C153" s="89" t="s">
        <v>523</v>
      </c>
      <c r="D153" s="89">
        <v>8</v>
      </c>
      <c r="E153" s="20" t="s">
        <v>525</v>
      </c>
      <c r="F153" s="89">
        <v>2</v>
      </c>
      <c r="G153" s="89" t="s">
        <v>455</v>
      </c>
      <c r="H153" s="89">
        <v>2</v>
      </c>
      <c r="I153" s="89"/>
      <c r="J153" s="89"/>
      <c r="K153" s="23">
        <f t="shared" si="60"/>
        <v>11.285714285714286</v>
      </c>
      <c r="L153" s="23">
        <f t="shared" si="61"/>
        <v>90.285714285714292</v>
      </c>
      <c r="M153" s="22" t="e">
        <f t="shared" si="62"/>
        <v>#N/A</v>
      </c>
      <c r="N153" s="23" t="str">
        <f t="shared" si="63"/>
        <v/>
      </c>
      <c r="O153" s="23">
        <f t="shared" si="64"/>
        <v>1.6470588235294117</v>
      </c>
      <c r="P153" s="23">
        <f t="shared" si="65"/>
        <v>3.2941176470588234</v>
      </c>
      <c r="Q153" s="23" t="str">
        <f t="shared" si="66"/>
        <v/>
      </c>
      <c r="R153" s="23" t="str">
        <f t="shared" si="67"/>
        <v/>
      </c>
      <c r="S153" s="108">
        <f t="shared" si="73"/>
        <v>4</v>
      </c>
      <c r="T153" s="28">
        <f t="shared" si="68"/>
        <v>97.579831932773118</v>
      </c>
      <c r="U153" s="28">
        <f t="shared" si="69"/>
        <v>102.45882352941177</v>
      </c>
      <c r="V153" s="36">
        <f t="shared" si="70"/>
        <v>5.1229411764705883</v>
      </c>
      <c r="W153" s="36">
        <f t="shared" si="71"/>
        <v>0.6</v>
      </c>
      <c r="X153" s="63">
        <f t="shared" si="72"/>
        <v>5.6352352941176473</v>
      </c>
    </row>
    <row r="154" spans="1:24" ht="15">
      <c r="A154" s="19" t="s">
        <v>518</v>
      </c>
      <c r="B154" s="19">
        <v>50</v>
      </c>
      <c r="C154" s="51" t="s">
        <v>2805</v>
      </c>
      <c r="D154" s="19">
        <v>20</v>
      </c>
      <c r="E154" s="21" t="s">
        <v>128</v>
      </c>
      <c r="F154" s="19">
        <v>10</v>
      </c>
      <c r="G154" s="30" t="s">
        <v>363</v>
      </c>
      <c r="H154" s="19">
        <v>1</v>
      </c>
      <c r="I154" s="19"/>
      <c r="J154" s="19"/>
      <c r="K154" s="23">
        <f t="shared" si="60"/>
        <v>14.000000000000002</v>
      </c>
      <c r="L154" s="23">
        <f t="shared" si="61"/>
        <v>280.00000000000006</v>
      </c>
      <c r="M154" s="23">
        <f t="shared" si="62"/>
        <v>0.94117647058823539</v>
      </c>
      <c r="N154" s="23">
        <f t="shared" si="63"/>
        <v>9.4117647058823533</v>
      </c>
      <c r="O154" s="23">
        <f t="shared" si="64"/>
        <v>6.4285714285714288</v>
      </c>
      <c r="P154" s="23">
        <f t="shared" si="65"/>
        <v>6.4285714285714288</v>
      </c>
      <c r="Q154" s="23" t="str">
        <f t="shared" si="66"/>
        <v/>
      </c>
      <c r="R154" s="23" t="str">
        <f t="shared" si="67"/>
        <v/>
      </c>
      <c r="S154" s="108">
        <f t="shared" si="73"/>
        <v>10</v>
      </c>
      <c r="T154" s="28">
        <f t="shared" si="68"/>
        <v>305.84033613445388</v>
      </c>
      <c r="U154" s="28">
        <f t="shared" si="69"/>
        <v>321.13235294117658</v>
      </c>
      <c r="V154" s="36">
        <f t="shared" si="70"/>
        <v>6.4226470588235314</v>
      </c>
      <c r="W154" s="36">
        <f t="shared" si="71"/>
        <v>0.62000000000000011</v>
      </c>
      <c r="X154" s="63">
        <f t="shared" si="72"/>
        <v>7.0649117647058848</v>
      </c>
    </row>
    <row r="155" spans="1:24">
      <c r="A155" s="19" t="s">
        <v>519</v>
      </c>
      <c r="B155" s="19">
        <v>30</v>
      </c>
      <c r="C155" s="32" t="s">
        <v>277</v>
      </c>
      <c r="D155" s="19">
        <v>18</v>
      </c>
      <c r="E155" s="19"/>
      <c r="F155" s="19"/>
      <c r="G155" s="19"/>
      <c r="H155" s="19"/>
      <c r="I155" s="19"/>
      <c r="J155" s="19"/>
      <c r="K155" s="23">
        <f t="shared" si="60"/>
        <v>9.8571428571428577</v>
      </c>
      <c r="L155" s="23">
        <f t="shared" si="61"/>
        <v>177.42857142857144</v>
      </c>
      <c r="M155" s="23" t="str">
        <f t="shared" si="62"/>
        <v/>
      </c>
      <c r="N155" s="23" t="str">
        <f t="shared" si="63"/>
        <v/>
      </c>
      <c r="O155" s="23" t="str">
        <f t="shared" si="64"/>
        <v/>
      </c>
      <c r="P155" s="23" t="str">
        <f t="shared" si="65"/>
        <v/>
      </c>
      <c r="Q155" s="23" t="str">
        <f t="shared" si="66"/>
        <v/>
      </c>
      <c r="R155" s="23" t="str">
        <f t="shared" si="67"/>
        <v/>
      </c>
      <c r="S155" s="108">
        <f t="shared" si="73"/>
        <v>6</v>
      </c>
      <c r="T155" s="28">
        <f t="shared" si="68"/>
        <v>183.42857142857144</v>
      </c>
      <c r="U155" s="28">
        <f t="shared" si="69"/>
        <v>192.60000000000002</v>
      </c>
      <c r="V155" s="36">
        <f t="shared" si="70"/>
        <v>6.4200000000000008</v>
      </c>
      <c r="W155" s="36">
        <f t="shared" si="71"/>
        <v>0.6</v>
      </c>
      <c r="X155" s="63">
        <f t="shared" si="72"/>
        <v>7.0620000000000012</v>
      </c>
    </row>
    <row r="156" spans="1:24">
      <c r="A156" s="19" t="s">
        <v>520</v>
      </c>
      <c r="B156" s="19">
        <v>30</v>
      </c>
      <c r="C156" s="19" t="s">
        <v>319</v>
      </c>
      <c r="D156" s="19">
        <v>9</v>
      </c>
      <c r="E156" s="13" t="s">
        <v>59</v>
      </c>
      <c r="F156" s="19">
        <v>2</v>
      </c>
      <c r="G156" s="18" t="s">
        <v>1278</v>
      </c>
      <c r="H156" s="19">
        <v>2</v>
      </c>
      <c r="I156" s="19"/>
      <c r="J156" s="19"/>
      <c r="K156" s="23">
        <f t="shared" si="60"/>
        <v>3.5714285714285716</v>
      </c>
      <c r="L156" s="23">
        <f t="shared" si="61"/>
        <v>32.142857142857146</v>
      </c>
      <c r="M156" s="23">
        <f t="shared" si="62"/>
        <v>2.1176470588235294</v>
      </c>
      <c r="N156" s="23">
        <f t="shared" si="63"/>
        <v>4.2352941176470589</v>
      </c>
      <c r="O156" s="23" t="e">
        <f t="shared" si="64"/>
        <v>#N/A</v>
      </c>
      <c r="P156" s="23" t="str">
        <f t="shared" si="65"/>
        <v/>
      </c>
      <c r="Q156" s="23" t="str">
        <f t="shared" si="66"/>
        <v/>
      </c>
      <c r="R156" s="23" t="str">
        <f t="shared" si="67"/>
        <v/>
      </c>
      <c r="S156" s="108">
        <f t="shared" si="73"/>
        <v>6</v>
      </c>
      <c r="T156" s="28">
        <f t="shared" si="68"/>
        <v>42.378151260504204</v>
      </c>
      <c r="U156" s="28">
        <f t="shared" si="69"/>
        <v>44.497058823529414</v>
      </c>
      <c r="V156" s="36">
        <f t="shared" si="70"/>
        <v>1.4832352941176472</v>
      </c>
      <c r="W156" s="36">
        <f t="shared" si="71"/>
        <v>0.43333333333333329</v>
      </c>
      <c r="X156" s="63">
        <f t="shared" si="72"/>
        <v>1.6315588235294121</v>
      </c>
    </row>
    <row r="157" spans="1:24">
      <c r="A157" s="19" t="s">
        <v>521</v>
      </c>
      <c r="B157" s="19">
        <v>30</v>
      </c>
      <c r="C157" s="19" t="s">
        <v>436</v>
      </c>
      <c r="D157" s="19">
        <v>18</v>
      </c>
      <c r="E157" s="20" t="s">
        <v>526</v>
      </c>
      <c r="F157" s="19">
        <v>1</v>
      </c>
      <c r="G157" s="26" t="s">
        <v>190</v>
      </c>
      <c r="H157" s="19">
        <v>3</v>
      </c>
      <c r="I157" s="19"/>
      <c r="J157" s="19"/>
      <c r="K157" s="23">
        <f t="shared" si="60"/>
        <v>1.6470588235294117</v>
      </c>
      <c r="L157" s="23">
        <f t="shared" si="61"/>
        <v>29.647058823529409</v>
      </c>
      <c r="M157" s="22">
        <f t="shared" si="62"/>
        <v>2.5</v>
      </c>
      <c r="N157" s="23">
        <f t="shared" si="63"/>
        <v>2.5</v>
      </c>
      <c r="O157" s="23">
        <f t="shared" si="64"/>
        <v>13</v>
      </c>
      <c r="P157" s="23">
        <f t="shared" si="65"/>
        <v>39</v>
      </c>
      <c r="Q157" s="23" t="str">
        <f t="shared" si="66"/>
        <v/>
      </c>
      <c r="R157" s="23" t="str">
        <f t="shared" si="67"/>
        <v/>
      </c>
      <c r="S157" s="108">
        <f t="shared" si="73"/>
        <v>6</v>
      </c>
      <c r="T157" s="28">
        <f t="shared" si="68"/>
        <v>77.147058823529406</v>
      </c>
      <c r="U157" s="28">
        <f t="shared" si="69"/>
        <v>81.004411764705878</v>
      </c>
      <c r="V157" s="36">
        <f t="shared" si="70"/>
        <v>2.7001470588235295</v>
      </c>
      <c r="W157" s="36">
        <f t="shared" si="71"/>
        <v>0.73333333333333328</v>
      </c>
      <c r="X157" s="63">
        <f t="shared" si="72"/>
        <v>2.9701617647058827</v>
      </c>
    </row>
    <row r="158" spans="1:24">
      <c r="A158" s="19" t="s">
        <v>522</v>
      </c>
      <c r="B158" s="19">
        <v>20</v>
      </c>
      <c r="C158" s="89" t="s">
        <v>524</v>
      </c>
      <c r="D158" s="19">
        <v>12</v>
      </c>
      <c r="E158" s="20" t="s">
        <v>526</v>
      </c>
      <c r="F158" s="19">
        <v>1</v>
      </c>
      <c r="G158" s="19"/>
      <c r="H158" s="19"/>
      <c r="I158" s="19"/>
      <c r="J158" s="19"/>
      <c r="K158" s="23">
        <f t="shared" si="60"/>
        <v>0.94117647058823539</v>
      </c>
      <c r="L158" s="23">
        <f t="shared" si="61"/>
        <v>11.294117647058824</v>
      </c>
      <c r="M158" s="22">
        <f t="shared" si="62"/>
        <v>2.5</v>
      </c>
      <c r="N158" s="23">
        <f t="shared" si="63"/>
        <v>2.5</v>
      </c>
      <c r="O158" s="23" t="str">
        <f t="shared" si="64"/>
        <v/>
      </c>
      <c r="P158" s="23" t="str">
        <f t="shared" si="65"/>
        <v/>
      </c>
      <c r="Q158" s="23" t="str">
        <f t="shared" si="66"/>
        <v/>
      </c>
      <c r="R158" s="23" t="str">
        <f t="shared" si="67"/>
        <v/>
      </c>
      <c r="S158" s="108">
        <f t="shared" si="73"/>
        <v>4</v>
      </c>
      <c r="T158" s="28">
        <f t="shared" si="68"/>
        <v>17.794117647058826</v>
      </c>
      <c r="U158" s="28">
        <f t="shared" si="69"/>
        <v>18.683823529411768</v>
      </c>
      <c r="V158" s="36">
        <f t="shared" si="70"/>
        <v>0.93419117647058836</v>
      </c>
      <c r="W158" s="36">
        <f t="shared" si="71"/>
        <v>0.65</v>
      </c>
      <c r="X158" s="63">
        <f t="shared" si="72"/>
        <v>1.0276102941176473</v>
      </c>
    </row>
    <row r="159" spans="1:24">
      <c r="A159" s="19" t="s">
        <v>527</v>
      </c>
      <c r="B159" s="19">
        <v>30</v>
      </c>
      <c r="C159" s="19" t="s">
        <v>460</v>
      </c>
      <c r="D159" s="19">
        <v>15</v>
      </c>
      <c r="E159" s="19" t="s">
        <v>539</v>
      </c>
      <c r="F159" s="19">
        <v>6</v>
      </c>
      <c r="G159" s="19"/>
      <c r="H159" s="19"/>
      <c r="I159" s="19"/>
      <c r="J159" s="19"/>
      <c r="K159" s="23">
        <f t="shared" si="60"/>
        <v>10.714285714285715</v>
      </c>
      <c r="L159" s="23">
        <f t="shared" si="61"/>
        <v>160.71428571428572</v>
      </c>
      <c r="M159" s="23">
        <f t="shared" si="62"/>
        <v>1.4285714285714286</v>
      </c>
      <c r="N159" s="23">
        <f t="shared" si="63"/>
        <v>8.5714285714285712</v>
      </c>
      <c r="O159" s="23" t="str">
        <f t="shared" si="64"/>
        <v/>
      </c>
      <c r="P159" s="23" t="str">
        <f t="shared" si="65"/>
        <v/>
      </c>
      <c r="Q159" s="23" t="str">
        <f t="shared" si="66"/>
        <v/>
      </c>
      <c r="R159" s="23" t="str">
        <f t="shared" si="67"/>
        <v/>
      </c>
      <c r="S159" s="108">
        <f t="shared" si="73"/>
        <v>6</v>
      </c>
      <c r="T159" s="28">
        <f t="shared" si="68"/>
        <v>175.28571428571431</v>
      </c>
      <c r="U159" s="28">
        <f t="shared" si="69"/>
        <v>184.05000000000004</v>
      </c>
      <c r="V159" s="36">
        <f t="shared" si="70"/>
        <v>6.1350000000000016</v>
      </c>
      <c r="W159" s="36">
        <f t="shared" si="71"/>
        <v>0.7</v>
      </c>
      <c r="X159" s="63">
        <f t="shared" si="72"/>
        <v>6.7485000000000026</v>
      </c>
    </row>
    <row r="160" spans="1:24">
      <c r="A160" s="89" t="s">
        <v>528</v>
      </c>
      <c r="B160" s="89">
        <v>40</v>
      </c>
      <c r="C160" s="89" t="s">
        <v>434</v>
      </c>
      <c r="D160" s="89">
        <v>12</v>
      </c>
      <c r="E160" s="31" t="s">
        <v>2144</v>
      </c>
      <c r="F160" s="89">
        <v>4</v>
      </c>
      <c r="G160" s="89" t="s">
        <v>497</v>
      </c>
      <c r="H160" s="89">
        <v>4</v>
      </c>
      <c r="I160" s="89" t="s">
        <v>475</v>
      </c>
      <c r="J160" s="89">
        <v>4</v>
      </c>
      <c r="K160" s="23">
        <f t="shared" si="60"/>
        <v>15.428571428571431</v>
      </c>
      <c r="L160" s="23">
        <f t="shared" si="61"/>
        <v>185.14285714285717</v>
      </c>
      <c r="M160" s="23">
        <f t="shared" si="62"/>
        <v>4.3999999999999995</v>
      </c>
      <c r="N160" s="23">
        <f t="shared" si="63"/>
        <v>17.599999999999998</v>
      </c>
      <c r="O160" s="23">
        <f t="shared" si="64"/>
        <v>1.1176470588235294</v>
      </c>
      <c r="P160" s="23">
        <f t="shared" si="65"/>
        <v>4.4705882352941178</v>
      </c>
      <c r="Q160" s="23">
        <f t="shared" si="66"/>
        <v>3.4117647058823528</v>
      </c>
      <c r="R160" s="23">
        <f t="shared" si="67"/>
        <v>13.647058823529411</v>
      </c>
      <c r="S160" s="108">
        <f t="shared" si="73"/>
        <v>8</v>
      </c>
      <c r="T160" s="28">
        <f t="shared" si="68"/>
        <v>228.8605042016807</v>
      </c>
      <c r="U160" s="28">
        <f t="shared" si="69"/>
        <v>240.30352941176474</v>
      </c>
      <c r="V160" s="36">
        <f t="shared" si="70"/>
        <v>6.0075882352941186</v>
      </c>
      <c r="W160" s="36">
        <f t="shared" si="71"/>
        <v>0.6</v>
      </c>
      <c r="X160" s="63">
        <f t="shared" si="72"/>
        <v>6.6083470588235311</v>
      </c>
    </row>
    <row r="161" spans="1:24">
      <c r="A161" s="19" t="s">
        <v>529</v>
      </c>
      <c r="B161" s="19">
        <v>20</v>
      </c>
      <c r="C161" s="19" t="s">
        <v>434</v>
      </c>
      <c r="D161" s="19">
        <v>7.7</v>
      </c>
      <c r="E161" s="19" t="s">
        <v>497</v>
      </c>
      <c r="F161" s="19">
        <v>4</v>
      </c>
      <c r="G161" s="19"/>
      <c r="H161" s="19"/>
      <c r="I161" s="19"/>
      <c r="J161" s="19"/>
      <c r="K161" s="23">
        <f t="shared" ref="K161:K270" si="74">IF(C161="","",VLOOKUP(C161,成本单价,8,0))</f>
        <v>15.428571428571431</v>
      </c>
      <c r="L161" s="23">
        <f t="shared" ref="L161:L271" si="75">IFERROR(D161*K161,"")</f>
        <v>118.80000000000001</v>
      </c>
      <c r="M161" s="23">
        <f t="shared" ref="M161:M270" si="76">IF(E161="","",VLOOKUP(E161,成本单价,8,0))</f>
        <v>1.1176470588235294</v>
      </c>
      <c r="N161" s="23">
        <f t="shared" ref="N161:N270" si="77">IFERROR(F161*M161,"")</f>
        <v>4.4705882352941178</v>
      </c>
      <c r="O161" s="23" t="str">
        <f t="shared" ref="O161:O270" si="78">IF(G161="","",VLOOKUP(G161,成本单价,8,0))</f>
        <v/>
      </c>
      <c r="P161" s="23" t="str">
        <f t="shared" ref="P161:P270" si="79">IFERROR(H161*O161,"")</f>
        <v/>
      </c>
      <c r="Q161" s="23" t="str">
        <f t="shared" ref="Q161:Q270" si="80">IF(I161="","",VLOOKUP(I161,成本单价,8,0))</f>
        <v/>
      </c>
      <c r="R161" s="182" t="str">
        <f t="shared" si="67"/>
        <v/>
      </c>
      <c r="S161" s="108">
        <f t="shared" si="73"/>
        <v>4</v>
      </c>
      <c r="T161" s="28">
        <f t="shared" ref="T161:T270" si="81">IFERROR(SUM(L161,N161,P161,R161,S161),"")</f>
        <v>127.27058823529413</v>
      </c>
      <c r="U161" s="28">
        <f t="shared" ref="U161:U270" si="82">T161*(1+物料比)</f>
        <v>133.63411764705884</v>
      </c>
      <c r="V161" s="36">
        <f t="shared" ref="V161:V270" si="83">U161/B161</f>
        <v>6.6817058823529418</v>
      </c>
      <c r="W161" s="36">
        <f t="shared" ref="W161:W270" si="84">D161/B161+F161/B161+H161/B161+J161/B161</f>
        <v>0.58499999999999996</v>
      </c>
      <c r="X161" s="63">
        <f t="shared" si="72"/>
        <v>7.3498764705882369</v>
      </c>
    </row>
    <row r="162" spans="1:24">
      <c r="A162" s="19" t="s">
        <v>530</v>
      </c>
      <c r="B162" s="19">
        <v>40</v>
      </c>
      <c r="C162" s="19" t="s">
        <v>470</v>
      </c>
      <c r="D162" s="19">
        <v>20</v>
      </c>
      <c r="E162" s="9" t="s">
        <v>2792</v>
      </c>
      <c r="F162" s="19">
        <v>10</v>
      </c>
      <c r="G162" s="19"/>
      <c r="H162" s="19"/>
      <c r="I162" s="19"/>
      <c r="J162" s="19"/>
      <c r="K162" s="23">
        <f t="shared" si="74"/>
        <v>7.2857142857142856</v>
      </c>
      <c r="L162" s="23">
        <f t="shared" si="75"/>
        <v>145.71428571428572</v>
      </c>
      <c r="M162" s="23">
        <f t="shared" si="76"/>
        <v>1.6235294117647059</v>
      </c>
      <c r="N162" s="23">
        <f t="shared" si="77"/>
        <v>16.235294117647058</v>
      </c>
      <c r="O162" s="23" t="str">
        <f t="shared" si="78"/>
        <v/>
      </c>
      <c r="P162" s="23" t="str">
        <f t="shared" si="79"/>
        <v/>
      </c>
      <c r="Q162" s="23" t="str">
        <f t="shared" si="80"/>
        <v/>
      </c>
      <c r="R162" s="182" t="str">
        <f t="shared" si="67"/>
        <v/>
      </c>
      <c r="S162" s="108">
        <f t="shared" si="73"/>
        <v>8</v>
      </c>
      <c r="T162" s="28">
        <f t="shared" si="81"/>
        <v>169.94957983193279</v>
      </c>
      <c r="U162" s="28">
        <f t="shared" si="82"/>
        <v>178.44705882352943</v>
      </c>
      <c r="V162" s="36">
        <f t="shared" si="83"/>
        <v>4.461176470588236</v>
      </c>
      <c r="W162" s="36">
        <f t="shared" si="84"/>
        <v>0.75</v>
      </c>
      <c r="X162" s="63">
        <f t="shared" si="72"/>
        <v>4.9072941176470604</v>
      </c>
    </row>
    <row r="163" spans="1:24">
      <c r="A163" s="19" t="s">
        <v>531</v>
      </c>
      <c r="B163" s="19">
        <v>20</v>
      </c>
      <c r="C163" s="89" t="s">
        <v>538</v>
      </c>
      <c r="D163" s="19">
        <v>10</v>
      </c>
      <c r="E163" s="26" t="s">
        <v>190</v>
      </c>
      <c r="F163" s="19">
        <v>2</v>
      </c>
      <c r="G163" s="19"/>
      <c r="H163" s="19"/>
      <c r="I163" s="19"/>
      <c r="J163" s="19"/>
      <c r="K163" s="23">
        <f t="shared" si="74"/>
        <v>2.7142857142857144</v>
      </c>
      <c r="L163" s="23">
        <f t="shared" si="75"/>
        <v>27.142857142857146</v>
      </c>
      <c r="M163" s="23">
        <f t="shared" si="76"/>
        <v>13</v>
      </c>
      <c r="N163" s="23">
        <f t="shared" si="77"/>
        <v>26</v>
      </c>
      <c r="O163" s="23" t="str">
        <f t="shared" si="78"/>
        <v/>
      </c>
      <c r="P163" s="23" t="str">
        <f t="shared" si="79"/>
        <v/>
      </c>
      <c r="Q163" s="23" t="str">
        <f t="shared" si="80"/>
        <v/>
      </c>
      <c r="R163" s="182" t="str">
        <f t="shared" si="67"/>
        <v/>
      </c>
      <c r="S163" s="108">
        <f t="shared" si="73"/>
        <v>4</v>
      </c>
      <c r="T163" s="28">
        <f t="shared" si="81"/>
        <v>57.142857142857146</v>
      </c>
      <c r="U163" s="28">
        <f t="shared" si="82"/>
        <v>60.000000000000007</v>
      </c>
      <c r="V163" s="36">
        <f t="shared" si="83"/>
        <v>3.0000000000000004</v>
      </c>
      <c r="W163" s="36">
        <f t="shared" si="84"/>
        <v>0.6</v>
      </c>
      <c r="X163" s="63">
        <f t="shared" si="72"/>
        <v>3.3000000000000007</v>
      </c>
    </row>
    <row r="164" spans="1:24">
      <c r="A164" s="19" t="s">
        <v>532</v>
      </c>
      <c r="B164" s="19">
        <v>30</v>
      </c>
      <c r="C164" s="19" t="s">
        <v>498</v>
      </c>
      <c r="D164" s="19">
        <v>12</v>
      </c>
      <c r="E164" s="40" t="s">
        <v>2149</v>
      </c>
      <c r="F164" s="19">
        <v>3</v>
      </c>
      <c r="G164" s="26" t="s">
        <v>190</v>
      </c>
      <c r="H164" s="19">
        <v>3</v>
      </c>
      <c r="I164" s="19"/>
      <c r="J164" s="19"/>
      <c r="K164" s="23">
        <f t="shared" si="74"/>
        <v>1.6470588235294117</v>
      </c>
      <c r="L164" s="23">
        <f t="shared" si="75"/>
        <v>19.764705882352942</v>
      </c>
      <c r="M164" s="23">
        <f t="shared" si="76"/>
        <v>3.4666666666666668</v>
      </c>
      <c r="N164" s="23">
        <f t="shared" si="77"/>
        <v>10.4</v>
      </c>
      <c r="O164" s="23">
        <f t="shared" si="78"/>
        <v>13</v>
      </c>
      <c r="P164" s="23">
        <f t="shared" si="79"/>
        <v>39</v>
      </c>
      <c r="Q164" s="23" t="str">
        <f t="shared" si="80"/>
        <v/>
      </c>
      <c r="R164" s="182" t="str">
        <f t="shared" si="67"/>
        <v/>
      </c>
      <c r="S164" s="108">
        <f t="shared" si="73"/>
        <v>6</v>
      </c>
      <c r="T164" s="28">
        <f t="shared" si="81"/>
        <v>75.164705882352933</v>
      </c>
      <c r="U164" s="28">
        <f t="shared" si="82"/>
        <v>78.922941176470587</v>
      </c>
      <c r="V164" s="36">
        <f t="shared" si="83"/>
        <v>2.6307647058823531</v>
      </c>
      <c r="W164" s="36">
        <f t="shared" si="84"/>
        <v>0.6</v>
      </c>
      <c r="X164" s="63">
        <f t="shared" si="72"/>
        <v>2.8938411764705885</v>
      </c>
    </row>
    <row r="165" spans="1:24">
      <c r="A165" s="19" t="s">
        <v>533</v>
      </c>
      <c r="B165" s="19">
        <v>50</v>
      </c>
      <c r="C165" s="13" t="s">
        <v>59</v>
      </c>
      <c r="D165" s="19">
        <v>25</v>
      </c>
      <c r="E165" s="16" t="s">
        <v>319</v>
      </c>
      <c r="F165" s="19">
        <v>10</v>
      </c>
      <c r="G165" s="19"/>
      <c r="H165" s="19"/>
      <c r="I165" s="19"/>
      <c r="J165" s="19"/>
      <c r="K165" s="23">
        <f t="shared" si="74"/>
        <v>2.1176470588235294</v>
      </c>
      <c r="L165" s="23">
        <f t="shared" si="75"/>
        <v>52.941176470588239</v>
      </c>
      <c r="M165" s="23">
        <f t="shared" si="76"/>
        <v>3.5714285714285716</v>
      </c>
      <c r="N165" s="23">
        <f t="shared" si="77"/>
        <v>35.714285714285715</v>
      </c>
      <c r="O165" s="23" t="str">
        <f t="shared" si="78"/>
        <v/>
      </c>
      <c r="P165" s="23" t="str">
        <f t="shared" si="79"/>
        <v/>
      </c>
      <c r="Q165" s="23" t="str">
        <f t="shared" si="80"/>
        <v/>
      </c>
      <c r="R165" s="182" t="str">
        <f t="shared" si="67"/>
        <v/>
      </c>
      <c r="S165" s="108">
        <f t="shared" si="73"/>
        <v>10</v>
      </c>
      <c r="T165" s="28">
        <f t="shared" si="81"/>
        <v>98.655462184873954</v>
      </c>
      <c r="U165" s="28">
        <f t="shared" si="82"/>
        <v>103.58823529411765</v>
      </c>
      <c r="V165" s="36">
        <f t="shared" si="83"/>
        <v>2.071764705882353</v>
      </c>
      <c r="W165" s="36">
        <f t="shared" si="84"/>
        <v>0.7</v>
      </c>
      <c r="X165" s="63">
        <f t="shared" si="72"/>
        <v>2.2789411764705885</v>
      </c>
    </row>
    <row r="166" spans="1:24">
      <c r="A166" s="19" t="s">
        <v>534</v>
      </c>
      <c r="B166" s="19">
        <v>40</v>
      </c>
      <c r="C166" s="21" t="s">
        <v>128</v>
      </c>
      <c r="D166" s="19">
        <v>16</v>
      </c>
      <c r="E166" s="51" t="s">
        <v>2805</v>
      </c>
      <c r="F166" s="19">
        <v>4</v>
      </c>
      <c r="G166" s="31" t="s">
        <v>2148</v>
      </c>
      <c r="H166" s="19">
        <v>4</v>
      </c>
      <c r="I166" s="19"/>
      <c r="J166" s="19"/>
      <c r="K166" s="23">
        <f t="shared" si="74"/>
        <v>0.94117647058823539</v>
      </c>
      <c r="L166" s="23">
        <f t="shared" si="75"/>
        <v>15.058823529411766</v>
      </c>
      <c r="M166" s="23">
        <f t="shared" si="76"/>
        <v>14.000000000000002</v>
      </c>
      <c r="N166" s="23">
        <f t="shared" si="77"/>
        <v>56.000000000000007</v>
      </c>
      <c r="O166" s="23">
        <f t="shared" si="78"/>
        <v>2.5333333333333332</v>
      </c>
      <c r="P166" s="23">
        <f t="shared" si="79"/>
        <v>10.133333333333333</v>
      </c>
      <c r="Q166" s="23" t="str">
        <f t="shared" si="80"/>
        <v/>
      </c>
      <c r="R166" s="182" t="str">
        <f t="shared" si="67"/>
        <v/>
      </c>
      <c r="S166" s="108">
        <f t="shared" si="73"/>
        <v>8</v>
      </c>
      <c r="T166" s="28">
        <f t="shared" si="81"/>
        <v>89.192156862745094</v>
      </c>
      <c r="U166" s="28">
        <f t="shared" si="82"/>
        <v>93.651764705882357</v>
      </c>
      <c r="V166" s="36">
        <f t="shared" si="83"/>
        <v>2.3412941176470587</v>
      </c>
      <c r="W166" s="36">
        <f t="shared" si="84"/>
        <v>0.6</v>
      </c>
      <c r="X166" s="63">
        <f t="shared" si="72"/>
        <v>2.5754235294117649</v>
      </c>
    </row>
    <row r="167" spans="1:24">
      <c r="A167" s="19" t="s">
        <v>535</v>
      </c>
      <c r="B167" s="19">
        <v>20</v>
      </c>
      <c r="C167" s="89" t="s">
        <v>476</v>
      </c>
      <c r="D167" s="19">
        <v>12</v>
      </c>
      <c r="E167" s="19"/>
      <c r="F167" s="19"/>
      <c r="G167" s="89"/>
      <c r="H167" s="19"/>
      <c r="I167" s="19"/>
      <c r="J167" s="19"/>
      <c r="K167" s="23">
        <f t="shared" si="74"/>
        <v>2.1176470588235294</v>
      </c>
      <c r="L167" s="23">
        <f t="shared" si="75"/>
        <v>25.411764705882355</v>
      </c>
      <c r="M167" s="23" t="str">
        <f t="shared" si="76"/>
        <v/>
      </c>
      <c r="N167" s="23" t="str">
        <f t="shared" si="77"/>
        <v/>
      </c>
      <c r="O167" s="23" t="str">
        <f t="shared" si="78"/>
        <v/>
      </c>
      <c r="P167" s="23" t="str">
        <f t="shared" si="79"/>
        <v/>
      </c>
      <c r="Q167" s="23" t="str">
        <f t="shared" si="80"/>
        <v/>
      </c>
      <c r="R167" s="182" t="str">
        <f t="shared" si="67"/>
        <v/>
      </c>
      <c r="S167" s="108">
        <f t="shared" si="73"/>
        <v>4</v>
      </c>
      <c r="T167" s="28">
        <f t="shared" si="81"/>
        <v>29.411764705882355</v>
      </c>
      <c r="U167" s="28">
        <f t="shared" si="82"/>
        <v>30.882352941176475</v>
      </c>
      <c r="V167" s="36">
        <f t="shared" si="83"/>
        <v>1.5441176470588238</v>
      </c>
      <c r="W167" s="36">
        <f t="shared" si="84"/>
        <v>0.6</v>
      </c>
      <c r="X167" s="63">
        <f t="shared" ref="X167:X177" si="85">V167*(1+大灶毛利)</f>
        <v>1.6985294117647063</v>
      </c>
    </row>
    <row r="168" spans="1:24">
      <c r="A168" s="19" t="s">
        <v>536</v>
      </c>
      <c r="B168" s="19">
        <v>30</v>
      </c>
      <c r="C168" s="19" t="s">
        <v>507</v>
      </c>
      <c r="D168" s="19">
        <v>18</v>
      </c>
      <c r="E168" s="19"/>
      <c r="F168" s="19"/>
      <c r="G168" s="19"/>
      <c r="H168" s="19"/>
      <c r="I168" s="19"/>
      <c r="J168" s="19"/>
      <c r="K168" s="23">
        <f t="shared" si="74"/>
        <v>3.2941176470588234</v>
      </c>
      <c r="L168" s="23">
        <f t="shared" si="75"/>
        <v>59.294117647058819</v>
      </c>
      <c r="M168" s="23" t="str">
        <f t="shared" si="76"/>
        <v/>
      </c>
      <c r="N168" s="23" t="str">
        <f t="shared" si="77"/>
        <v/>
      </c>
      <c r="O168" s="23" t="str">
        <f t="shared" si="78"/>
        <v/>
      </c>
      <c r="P168" s="23" t="str">
        <f t="shared" si="79"/>
        <v/>
      </c>
      <c r="Q168" s="23" t="str">
        <f t="shared" si="80"/>
        <v/>
      </c>
      <c r="R168" s="182" t="str">
        <f t="shared" si="67"/>
        <v/>
      </c>
      <c r="S168" s="108">
        <f t="shared" si="73"/>
        <v>6</v>
      </c>
      <c r="T168" s="28">
        <f t="shared" si="81"/>
        <v>65.294117647058812</v>
      </c>
      <c r="U168" s="28">
        <f t="shared" si="82"/>
        <v>68.558823529411754</v>
      </c>
      <c r="V168" s="36">
        <f t="shared" si="83"/>
        <v>2.2852941176470583</v>
      </c>
      <c r="W168" s="36">
        <f t="shared" si="84"/>
        <v>0.6</v>
      </c>
      <c r="X168" s="63">
        <f t="shared" si="85"/>
        <v>2.5138235294117641</v>
      </c>
    </row>
    <row r="169" spans="1:24">
      <c r="A169" s="19" t="s">
        <v>537</v>
      </c>
      <c r="B169" s="19">
        <v>30</v>
      </c>
      <c r="C169" s="19" t="s">
        <v>473</v>
      </c>
      <c r="D169" s="19">
        <v>21</v>
      </c>
      <c r="E169" s="78" t="s">
        <v>357</v>
      </c>
      <c r="F169" s="19">
        <v>3</v>
      </c>
      <c r="G169" s="89"/>
      <c r="H169" s="19"/>
      <c r="I169" s="19"/>
      <c r="J169" s="19"/>
      <c r="K169" s="23">
        <f t="shared" si="74"/>
        <v>1.5294117647058825</v>
      </c>
      <c r="L169" s="23">
        <f t="shared" si="75"/>
        <v>32.117647058823529</v>
      </c>
      <c r="M169" s="23">
        <f t="shared" si="76"/>
        <v>8.5714285714285712</v>
      </c>
      <c r="N169" s="23">
        <f t="shared" si="77"/>
        <v>25.714285714285715</v>
      </c>
      <c r="O169" s="23" t="str">
        <f t="shared" si="78"/>
        <v/>
      </c>
      <c r="P169" s="23" t="str">
        <f t="shared" si="79"/>
        <v/>
      </c>
      <c r="Q169" s="23" t="str">
        <f t="shared" si="80"/>
        <v/>
      </c>
      <c r="R169" s="182" t="str">
        <f t="shared" si="67"/>
        <v/>
      </c>
      <c r="S169" s="108">
        <f t="shared" si="73"/>
        <v>6</v>
      </c>
      <c r="T169" s="28">
        <f t="shared" si="81"/>
        <v>63.831932773109244</v>
      </c>
      <c r="U169" s="28">
        <f t="shared" si="82"/>
        <v>67.023529411764713</v>
      </c>
      <c r="V169" s="36">
        <f t="shared" si="83"/>
        <v>2.2341176470588238</v>
      </c>
      <c r="W169" s="36">
        <f t="shared" si="84"/>
        <v>0.79999999999999993</v>
      </c>
      <c r="X169" s="63">
        <f t="shared" si="85"/>
        <v>2.4575294117647064</v>
      </c>
    </row>
    <row r="170" spans="1:24">
      <c r="A170" s="19" t="s">
        <v>540</v>
      </c>
      <c r="B170" s="19">
        <v>30</v>
      </c>
      <c r="C170" s="89" t="s">
        <v>547</v>
      </c>
      <c r="D170" s="19">
        <v>15</v>
      </c>
      <c r="E170" s="31" t="s">
        <v>2332</v>
      </c>
      <c r="F170" s="19">
        <v>6</v>
      </c>
      <c r="G170" s="19"/>
      <c r="H170" s="19"/>
      <c r="I170" s="19"/>
      <c r="J170" s="19"/>
      <c r="K170" s="23">
        <f t="shared" si="74"/>
        <v>7.0000000000000009</v>
      </c>
      <c r="L170" s="23">
        <f t="shared" si="75"/>
        <v>105.00000000000001</v>
      </c>
      <c r="M170" s="23">
        <f t="shared" si="76"/>
        <v>2.5333333333333332</v>
      </c>
      <c r="N170" s="23">
        <f t="shared" si="77"/>
        <v>15.2</v>
      </c>
      <c r="O170" s="23" t="str">
        <f t="shared" si="78"/>
        <v/>
      </c>
      <c r="P170" s="23" t="str">
        <f t="shared" si="79"/>
        <v/>
      </c>
      <c r="Q170" s="23" t="str">
        <f t="shared" si="80"/>
        <v/>
      </c>
      <c r="R170" s="182" t="str">
        <f t="shared" si="67"/>
        <v/>
      </c>
      <c r="S170" s="108">
        <f t="shared" si="73"/>
        <v>6</v>
      </c>
      <c r="T170" s="28">
        <f t="shared" si="81"/>
        <v>126.20000000000002</v>
      </c>
      <c r="U170" s="28">
        <f t="shared" si="82"/>
        <v>132.51000000000002</v>
      </c>
      <c r="V170" s="36">
        <f t="shared" si="83"/>
        <v>4.4170000000000007</v>
      </c>
      <c r="W170" s="36">
        <f t="shared" si="84"/>
        <v>0.7</v>
      </c>
      <c r="X170" s="63">
        <f t="shared" si="85"/>
        <v>4.8587000000000016</v>
      </c>
    </row>
    <row r="171" spans="1:24">
      <c r="A171" s="19" t="s">
        <v>541</v>
      </c>
      <c r="B171" s="19">
        <v>40</v>
      </c>
      <c r="C171" s="19" t="s">
        <v>1030</v>
      </c>
      <c r="D171" s="19">
        <v>22</v>
      </c>
      <c r="E171" s="89" t="s">
        <v>457</v>
      </c>
      <c r="F171" s="19">
        <v>12</v>
      </c>
      <c r="G171" s="19"/>
      <c r="H171" s="19"/>
      <c r="I171" s="19"/>
      <c r="J171" s="19"/>
      <c r="K171" s="23">
        <f t="shared" si="74"/>
        <v>12.285714285714286</v>
      </c>
      <c r="L171" s="23">
        <f t="shared" si="75"/>
        <v>270.28571428571428</v>
      </c>
      <c r="M171" s="23">
        <f t="shared" si="76"/>
        <v>0.94117647058823539</v>
      </c>
      <c r="N171" s="23">
        <f t="shared" si="77"/>
        <v>11.294117647058824</v>
      </c>
      <c r="O171" s="23" t="str">
        <f t="shared" si="78"/>
        <v/>
      </c>
      <c r="P171" s="23" t="str">
        <f t="shared" si="79"/>
        <v/>
      </c>
      <c r="Q171" s="23" t="str">
        <f t="shared" si="80"/>
        <v/>
      </c>
      <c r="R171" s="182" t="str">
        <f t="shared" si="67"/>
        <v/>
      </c>
      <c r="S171" s="108">
        <f t="shared" si="73"/>
        <v>8</v>
      </c>
      <c r="T171" s="28">
        <f t="shared" si="81"/>
        <v>289.57983193277312</v>
      </c>
      <c r="U171" s="28">
        <f t="shared" si="82"/>
        <v>304.05882352941177</v>
      </c>
      <c r="V171" s="36">
        <f t="shared" si="83"/>
        <v>7.6014705882352942</v>
      </c>
      <c r="W171" s="36">
        <f t="shared" si="84"/>
        <v>0.85000000000000009</v>
      </c>
      <c r="X171" s="63">
        <f t="shared" si="85"/>
        <v>8.361617647058825</v>
      </c>
    </row>
    <row r="172" spans="1:24">
      <c r="A172" s="19" t="s">
        <v>542</v>
      </c>
      <c r="B172" s="19">
        <v>30</v>
      </c>
      <c r="C172" s="19" t="s">
        <v>434</v>
      </c>
      <c r="D172" s="19">
        <v>9</v>
      </c>
      <c r="E172" s="26" t="s">
        <v>353</v>
      </c>
      <c r="F172" s="19">
        <v>0.3</v>
      </c>
      <c r="G172" s="19" t="s">
        <v>485</v>
      </c>
      <c r="H172" s="19">
        <v>3</v>
      </c>
      <c r="I172" s="19" t="s">
        <v>497</v>
      </c>
      <c r="J172" s="19">
        <v>6</v>
      </c>
      <c r="K172" s="23">
        <f t="shared" si="74"/>
        <v>15.428571428571431</v>
      </c>
      <c r="L172" s="23">
        <f t="shared" si="75"/>
        <v>138.85714285714289</v>
      </c>
      <c r="M172" s="23">
        <f t="shared" si="76"/>
        <v>61.428571428571431</v>
      </c>
      <c r="N172" s="23">
        <f t="shared" si="77"/>
        <v>18.428571428571427</v>
      </c>
      <c r="O172" s="23">
        <f t="shared" si="78"/>
        <v>6.4285714285714288</v>
      </c>
      <c r="P172" s="23">
        <f t="shared" si="79"/>
        <v>19.285714285714285</v>
      </c>
      <c r="Q172" s="23">
        <f t="shared" si="80"/>
        <v>1.1176470588235294</v>
      </c>
      <c r="R172" s="182">
        <f t="shared" si="67"/>
        <v>6.7058823529411766</v>
      </c>
      <c r="S172" s="108">
        <f t="shared" si="73"/>
        <v>6</v>
      </c>
      <c r="T172" s="28">
        <f t="shared" si="81"/>
        <v>189.27731092436977</v>
      </c>
      <c r="U172" s="28">
        <f t="shared" si="82"/>
        <v>198.74117647058827</v>
      </c>
      <c r="V172" s="36">
        <f t="shared" si="83"/>
        <v>6.6247058823529423</v>
      </c>
      <c r="W172" s="36">
        <f t="shared" si="84"/>
        <v>0.6100000000000001</v>
      </c>
      <c r="X172" s="63">
        <f t="shared" si="85"/>
        <v>7.2871764705882374</v>
      </c>
    </row>
    <row r="173" spans="1:24">
      <c r="A173" s="89" t="s">
        <v>543</v>
      </c>
      <c r="B173" s="89">
        <v>40</v>
      </c>
      <c r="C173" s="89" t="s">
        <v>548</v>
      </c>
      <c r="D173" s="89">
        <v>16</v>
      </c>
      <c r="E173" s="16" t="s">
        <v>319</v>
      </c>
      <c r="F173" s="89">
        <v>10</v>
      </c>
      <c r="G173" s="89"/>
      <c r="H173" s="89"/>
      <c r="I173" s="89"/>
      <c r="J173" s="89"/>
      <c r="K173" s="23">
        <f t="shared" si="74"/>
        <v>11.764705882352942</v>
      </c>
      <c r="L173" s="23">
        <f t="shared" si="75"/>
        <v>188.23529411764707</v>
      </c>
      <c r="M173" s="23">
        <f t="shared" si="76"/>
        <v>3.5714285714285716</v>
      </c>
      <c r="N173" s="23">
        <f t="shared" si="77"/>
        <v>35.714285714285715</v>
      </c>
      <c r="O173" s="23" t="str">
        <f t="shared" si="78"/>
        <v/>
      </c>
      <c r="P173" s="23" t="str">
        <f t="shared" si="79"/>
        <v/>
      </c>
      <c r="Q173" s="23" t="str">
        <f t="shared" si="80"/>
        <v/>
      </c>
      <c r="R173" s="182" t="str">
        <f t="shared" si="67"/>
        <v/>
      </c>
      <c r="S173" s="108">
        <f t="shared" si="73"/>
        <v>8</v>
      </c>
      <c r="T173" s="28">
        <f t="shared" si="81"/>
        <v>231.94957983193279</v>
      </c>
      <c r="U173" s="28">
        <f t="shared" si="82"/>
        <v>243.54705882352945</v>
      </c>
      <c r="V173" s="36">
        <f t="shared" si="83"/>
        <v>6.0886764705882364</v>
      </c>
      <c r="W173" s="36">
        <f t="shared" si="84"/>
        <v>0.65</v>
      </c>
      <c r="X173" s="63">
        <f t="shared" si="85"/>
        <v>6.6975441176470607</v>
      </c>
    </row>
    <row r="174" spans="1:24">
      <c r="A174" s="19" t="s">
        <v>544</v>
      </c>
      <c r="B174" s="19">
        <v>40</v>
      </c>
      <c r="C174" s="9" t="s">
        <v>2801</v>
      </c>
      <c r="D174" s="19">
        <v>20</v>
      </c>
      <c r="E174" s="51" t="s">
        <v>2805</v>
      </c>
      <c r="F174" s="19">
        <v>4</v>
      </c>
      <c r="G174" s="19" t="s">
        <v>455</v>
      </c>
      <c r="H174" s="19">
        <v>4</v>
      </c>
      <c r="I174" s="19"/>
      <c r="J174" s="19"/>
      <c r="K174" s="23">
        <f t="shared" si="74"/>
        <v>1.6235294117647059</v>
      </c>
      <c r="L174" s="23">
        <f t="shared" si="75"/>
        <v>32.470588235294116</v>
      </c>
      <c r="M174" s="23">
        <f t="shared" si="76"/>
        <v>14.000000000000002</v>
      </c>
      <c r="N174" s="23">
        <f t="shared" si="77"/>
        <v>56.000000000000007</v>
      </c>
      <c r="O174" s="23">
        <f t="shared" si="78"/>
        <v>1.6470588235294117</v>
      </c>
      <c r="P174" s="23">
        <f t="shared" si="79"/>
        <v>6.5882352941176467</v>
      </c>
      <c r="Q174" s="23" t="str">
        <f t="shared" si="80"/>
        <v/>
      </c>
      <c r="R174" s="182" t="str">
        <f t="shared" si="67"/>
        <v/>
      </c>
      <c r="S174" s="108">
        <f t="shared" si="73"/>
        <v>8</v>
      </c>
      <c r="T174" s="28">
        <f t="shared" si="81"/>
        <v>103.05882352941177</v>
      </c>
      <c r="U174" s="28">
        <f t="shared" si="82"/>
        <v>108.21176470588236</v>
      </c>
      <c r="V174" s="36">
        <f t="shared" si="83"/>
        <v>2.7052941176470591</v>
      </c>
      <c r="W174" s="36">
        <f t="shared" si="84"/>
        <v>0.7</v>
      </c>
      <c r="X174" s="63">
        <f t="shared" si="85"/>
        <v>2.9758235294117652</v>
      </c>
    </row>
    <row r="175" spans="1:24">
      <c r="A175" s="19" t="s">
        <v>545</v>
      </c>
      <c r="B175" s="19">
        <v>20</v>
      </c>
      <c r="C175" s="19" t="s">
        <v>457</v>
      </c>
      <c r="D175" s="19">
        <v>10</v>
      </c>
      <c r="E175" s="89" t="s">
        <v>434</v>
      </c>
      <c r="F175" s="19">
        <v>2</v>
      </c>
      <c r="G175" s="89"/>
      <c r="H175" s="19"/>
      <c r="I175" s="19"/>
      <c r="J175" s="19"/>
      <c r="K175" s="23">
        <f t="shared" si="74"/>
        <v>0.94117647058823539</v>
      </c>
      <c r="L175" s="23">
        <f t="shared" si="75"/>
        <v>9.4117647058823533</v>
      </c>
      <c r="M175" s="23">
        <f t="shared" si="76"/>
        <v>15.428571428571431</v>
      </c>
      <c r="N175" s="23">
        <f t="shared" si="77"/>
        <v>30.857142857142861</v>
      </c>
      <c r="O175" s="23" t="str">
        <f t="shared" si="78"/>
        <v/>
      </c>
      <c r="P175" s="23" t="str">
        <f t="shared" si="79"/>
        <v/>
      </c>
      <c r="Q175" s="23" t="str">
        <f t="shared" si="80"/>
        <v/>
      </c>
      <c r="R175" s="182" t="str">
        <f t="shared" si="67"/>
        <v/>
      </c>
      <c r="S175" s="108">
        <f t="shared" si="73"/>
        <v>4</v>
      </c>
      <c r="T175" s="28">
        <f t="shared" si="81"/>
        <v>44.268907563025216</v>
      </c>
      <c r="U175" s="28">
        <f t="shared" si="82"/>
        <v>46.48235294117648</v>
      </c>
      <c r="V175" s="36">
        <f t="shared" si="83"/>
        <v>2.3241176470588241</v>
      </c>
      <c r="W175" s="36">
        <f t="shared" si="84"/>
        <v>0.6</v>
      </c>
      <c r="X175" s="63">
        <f t="shared" si="85"/>
        <v>2.5565294117647066</v>
      </c>
    </row>
    <row r="176" spans="1:24" ht="15">
      <c r="A176" s="19" t="s">
        <v>546</v>
      </c>
      <c r="B176" s="19">
        <v>20</v>
      </c>
      <c r="C176" s="19" t="s">
        <v>450</v>
      </c>
      <c r="D176" s="19">
        <v>14</v>
      </c>
      <c r="E176" s="30" t="s">
        <v>393</v>
      </c>
      <c r="F176" s="19">
        <v>1</v>
      </c>
      <c r="G176" s="19"/>
      <c r="H176" s="19"/>
      <c r="I176" s="19"/>
      <c r="J176" s="19"/>
      <c r="K176" s="23">
        <f t="shared" si="74"/>
        <v>1.7647058823529411</v>
      </c>
      <c r="L176" s="23">
        <f t="shared" si="75"/>
        <v>24.705882352941174</v>
      </c>
      <c r="M176" s="23">
        <f t="shared" si="76"/>
        <v>2.8571428571428572</v>
      </c>
      <c r="N176" s="23">
        <f t="shared" si="77"/>
        <v>2.8571428571428572</v>
      </c>
      <c r="O176" s="23" t="str">
        <f t="shared" si="78"/>
        <v/>
      </c>
      <c r="P176" s="23" t="str">
        <f t="shared" si="79"/>
        <v/>
      </c>
      <c r="Q176" s="23" t="str">
        <f t="shared" si="80"/>
        <v/>
      </c>
      <c r="R176" s="182" t="str">
        <f t="shared" si="67"/>
        <v/>
      </c>
      <c r="S176" s="108">
        <f t="shared" si="73"/>
        <v>4</v>
      </c>
      <c r="T176" s="28">
        <f t="shared" si="81"/>
        <v>31.563025210084032</v>
      </c>
      <c r="U176" s="28">
        <f t="shared" si="82"/>
        <v>33.141176470588235</v>
      </c>
      <c r="V176" s="36">
        <f t="shared" si="83"/>
        <v>1.6570588235294117</v>
      </c>
      <c r="W176" s="36">
        <f t="shared" si="84"/>
        <v>0.75</v>
      </c>
      <c r="X176" s="63">
        <f t="shared" si="85"/>
        <v>1.8227647058823531</v>
      </c>
    </row>
    <row r="177" spans="1:24">
      <c r="A177" s="19" t="s">
        <v>549</v>
      </c>
      <c r="B177" s="19">
        <v>50</v>
      </c>
      <c r="C177" s="19" t="s">
        <v>222</v>
      </c>
      <c r="D177" s="19">
        <v>14</v>
      </c>
      <c r="E177" s="19" t="s">
        <v>461</v>
      </c>
      <c r="F177" s="19">
        <v>5</v>
      </c>
      <c r="G177" s="19" t="s">
        <v>483</v>
      </c>
      <c r="H177" s="19">
        <v>5</v>
      </c>
      <c r="I177" s="19" t="s">
        <v>498</v>
      </c>
      <c r="J177" s="19">
        <v>5</v>
      </c>
      <c r="K177" s="23">
        <f t="shared" si="74"/>
        <v>24.142857142857142</v>
      </c>
      <c r="L177" s="23">
        <f t="shared" si="75"/>
        <v>338</v>
      </c>
      <c r="M177" s="23">
        <f t="shared" si="76"/>
        <v>1.2941176470588236</v>
      </c>
      <c r="N177" s="23">
        <f t="shared" si="77"/>
        <v>6.4705882352941178</v>
      </c>
      <c r="O177" s="23">
        <f t="shared" si="78"/>
        <v>0.94117647058823539</v>
      </c>
      <c r="P177" s="23">
        <f t="shared" si="79"/>
        <v>4.7058823529411766</v>
      </c>
      <c r="Q177" s="23">
        <f t="shared" si="80"/>
        <v>1.6470588235294117</v>
      </c>
      <c r="R177" s="182">
        <f t="shared" si="67"/>
        <v>8.235294117647058</v>
      </c>
      <c r="S177" s="108">
        <f t="shared" si="73"/>
        <v>10</v>
      </c>
      <c r="T177" s="28">
        <f t="shared" si="81"/>
        <v>367.41176470588238</v>
      </c>
      <c r="U177" s="28">
        <f t="shared" si="82"/>
        <v>385.7823529411765</v>
      </c>
      <c r="V177" s="36">
        <f t="shared" si="83"/>
        <v>7.7156470588235297</v>
      </c>
      <c r="W177" s="36">
        <f t="shared" si="84"/>
        <v>0.57999999999999996</v>
      </c>
      <c r="X177" s="63">
        <f t="shared" si="85"/>
        <v>8.4872117647058829</v>
      </c>
    </row>
    <row r="178" spans="1:24">
      <c r="A178" s="19" t="s">
        <v>550</v>
      </c>
      <c r="B178" s="19">
        <v>50</v>
      </c>
      <c r="C178" s="89" t="s">
        <v>557</v>
      </c>
      <c r="D178" s="19">
        <v>14</v>
      </c>
      <c r="E178" s="18" t="s">
        <v>1490</v>
      </c>
      <c r="F178" s="19">
        <v>7</v>
      </c>
      <c r="G178" s="19" t="s">
        <v>455</v>
      </c>
      <c r="H178" s="19">
        <v>8</v>
      </c>
      <c r="I178" s="19"/>
      <c r="J178" s="19"/>
      <c r="K178" s="23">
        <f t="shared" si="74"/>
        <v>16.428571428571431</v>
      </c>
      <c r="L178" s="23">
        <f t="shared" si="75"/>
        <v>230.00000000000003</v>
      </c>
      <c r="M178" s="23">
        <f t="shared" si="76"/>
        <v>7</v>
      </c>
      <c r="N178" s="23">
        <f t="shared" si="77"/>
        <v>49</v>
      </c>
      <c r="O178" s="23">
        <f t="shared" si="78"/>
        <v>1.6470588235294117</v>
      </c>
      <c r="P178" s="23">
        <f t="shared" si="79"/>
        <v>13.176470588235293</v>
      </c>
      <c r="Q178" s="182" t="str">
        <f t="shared" si="80"/>
        <v/>
      </c>
      <c r="R178" s="182" t="str">
        <f t="shared" si="67"/>
        <v/>
      </c>
      <c r="S178" s="108">
        <f t="shared" si="73"/>
        <v>10</v>
      </c>
      <c r="T178" s="28">
        <f t="shared" si="81"/>
        <v>302.1764705882353</v>
      </c>
      <c r="U178" s="28">
        <f t="shared" si="82"/>
        <v>317.28529411764708</v>
      </c>
      <c r="V178" s="36">
        <f t="shared" si="83"/>
        <v>6.3457058823529415</v>
      </c>
      <c r="W178" s="36">
        <f t="shared" si="84"/>
        <v>0.58000000000000007</v>
      </c>
      <c r="X178" s="63">
        <f t="shared" ref="X178:X270" si="86">ROUND(V178*(1+大灶毛利),1)</f>
        <v>7</v>
      </c>
    </row>
    <row r="179" spans="1:24">
      <c r="A179" s="19" t="s">
        <v>551</v>
      </c>
      <c r="B179" s="19">
        <v>40</v>
      </c>
      <c r="C179" s="19" t="s">
        <v>558</v>
      </c>
      <c r="D179" s="19">
        <v>20</v>
      </c>
      <c r="E179" s="13" t="s">
        <v>1278</v>
      </c>
      <c r="F179" s="19">
        <v>4</v>
      </c>
      <c r="G179" s="19" t="s">
        <v>559</v>
      </c>
      <c r="H179" s="19">
        <v>2</v>
      </c>
      <c r="I179" s="20" t="s">
        <v>560</v>
      </c>
      <c r="J179" s="19">
        <v>2</v>
      </c>
      <c r="K179" s="23">
        <f t="shared" si="74"/>
        <v>9.4285714285714288</v>
      </c>
      <c r="L179" s="23">
        <f t="shared" si="75"/>
        <v>188.57142857142858</v>
      </c>
      <c r="M179" s="23" t="e">
        <f t="shared" si="76"/>
        <v>#N/A</v>
      </c>
      <c r="N179" s="23" t="str">
        <f t="shared" si="77"/>
        <v/>
      </c>
      <c r="O179" s="23" t="e">
        <f t="shared" si="78"/>
        <v>#N/A</v>
      </c>
      <c r="P179" s="23" t="str">
        <f t="shared" si="79"/>
        <v/>
      </c>
      <c r="Q179" s="182" t="e">
        <f t="shared" si="80"/>
        <v>#N/A</v>
      </c>
      <c r="R179" s="182" t="str">
        <f t="shared" si="67"/>
        <v/>
      </c>
      <c r="S179" s="108">
        <f>B179*0.8</f>
        <v>32</v>
      </c>
      <c r="T179" s="28">
        <f t="shared" si="81"/>
        <v>220.57142857142858</v>
      </c>
      <c r="U179" s="28">
        <f t="shared" si="82"/>
        <v>231.60000000000002</v>
      </c>
      <c r="V179" s="36">
        <f t="shared" si="83"/>
        <v>5.7900000000000009</v>
      </c>
      <c r="W179" s="36">
        <f t="shared" si="84"/>
        <v>0.70000000000000007</v>
      </c>
      <c r="X179" s="63">
        <f t="shared" si="86"/>
        <v>6.4</v>
      </c>
    </row>
    <row r="180" spans="1:24">
      <c r="A180" s="19" t="s">
        <v>552</v>
      </c>
      <c r="B180" s="19">
        <v>50</v>
      </c>
      <c r="C180" s="19" t="s">
        <v>496</v>
      </c>
      <c r="D180" s="19">
        <v>20</v>
      </c>
      <c r="E180" s="19" t="s">
        <v>319</v>
      </c>
      <c r="F180" s="19">
        <v>10</v>
      </c>
      <c r="G180" s="19"/>
      <c r="H180" s="19"/>
      <c r="I180" s="19"/>
      <c r="J180" s="19"/>
      <c r="K180" s="23">
        <f t="shared" si="74"/>
        <v>2.5882352941176472</v>
      </c>
      <c r="L180" s="23">
        <f t="shared" si="75"/>
        <v>51.764705882352942</v>
      </c>
      <c r="M180" s="23">
        <f t="shared" si="76"/>
        <v>3.5714285714285716</v>
      </c>
      <c r="N180" s="23">
        <f t="shared" si="77"/>
        <v>35.714285714285715</v>
      </c>
      <c r="O180" s="182" t="str">
        <f t="shared" si="78"/>
        <v/>
      </c>
      <c r="P180" s="182" t="str">
        <f t="shared" si="79"/>
        <v/>
      </c>
      <c r="Q180" s="182" t="str">
        <f t="shared" si="80"/>
        <v/>
      </c>
      <c r="R180" s="182" t="str">
        <f t="shared" si="67"/>
        <v/>
      </c>
      <c r="S180" s="108">
        <f t="shared" si="73"/>
        <v>10</v>
      </c>
      <c r="T180" s="28">
        <f t="shared" si="81"/>
        <v>97.47899159663865</v>
      </c>
      <c r="U180" s="28">
        <f t="shared" si="82"/>
        <v>102.35294117647059</v>
      </c>
      <c r="V180" s="36">
        <f t="shared" si="83"/>
        <v>2.047058823529412</v>
      </c>
      <c r="W180" s="36">
        <f t="shared" si="84"/>
        <v>0.60000000000000009</v>
      </c>
      <c r="X180" s="63">
        <f t="shared" si="86"/>
        <v>2.2999999999999998</v>
      </c>
    </row>
    <row r="181" spans="1:24">
      <c r="A181" s="19" t="s">
        <v>553</v>
      </c>
      <c r="B181" s="19">
        <v>20</v>
      </c>
      <c r="C181" s="31" t="s">
        <v>2148</v>
      </c>
      <c r="D181" s="19">
        <v>10</v>
      </c>
      <c r="E181" s="26" t="s">
        <v>190</v>
      </c>
      <c r="F181" s="19">
        <v>2</v>
      </c>
      <c r="G181" s="19"/>
      <c r="H181" s="19"/>
      <c r="I181" s="19"/>
      <c r="J181" s="19"/>
      <c r="K181" s="23">
        <f t="shared" si="74"/>
        <v>2.5333333333333332</v>
      </c>
      <c r="L181" s="23">
        <f t="shared" si="75"/>
        <v>25.333333333333332</v>
      </c>
      <c r="M181" s="23">
        <f t="shared" si="76"/>
        <v>13</v>
      </c>
      <c r="N181" s="23">
        <f t="shared" si="77"/>
        <v>26</v>
      </c>
      <c r="O181" s="182" t="str">
        <f t="shared" si="78"/>
        <v/>
      </c>
      <c r="P181" s="182" t="str">
        <f t="shared" si="79"/>
        <v/>
      </c>
      <c r="Q181" s="182" t="str">
        <f t="shared" si="80"/>
        <v/>
      </c>
      <c r="R181" s="182" t="str">
        <f t="shared" si="67"/>
        <v/>
      </c>
      <c r="S181" s="108">
        <f t="shared" si="73"/>
        <v>4</v>
      </c>
      <c r="T181" s="28">
        <f t="shared" si="81"/>
        <v>55.333333333333329</v>
      </c>
      <c r="U181" s="28">
        <f t="shared" si="82"/>
        <v>58.099999999999994</v>
      </c>
      <c r="V181" s="36">
        <f t="shared" si="83"/>
        <v>2.9049999999999998</v>
      </c>
      <c r="W181" s="36">
        <f t="shared" si="84"/>
        <v>0.6</v>
      </c>
      <c r="X181" s="63">
        <f t="shared" si="86"/>
        <v>3.2</v>
      </c>
    </row>
    <row r="182" spans="1:24">
      <c r="A182" s="89" t="s">
        <v>554</v>
      </c>
      <c r="B182" s="89">
        <v>20</v>
      </c>
      <c r="C182" s="89" t="s">
        <v>498</v>
      </c>
      <c r="D182" s="89">
        <v>10</v>
      </c>
      <c r="E182" s="89" t="s">
        <v>476</v>
      </c>
      <c r="F182" s="89">
        <v>2</v>
      </c>
      <c r="G182" s="89"/>
      <c r="H182" s="89"/>
      <c r="I182" s="89"/>
      <c r="J182" s="89"/>
      <c r="K182" s="23">
        <f t="shared" si="74"/>
        <v>1.6470588235294117</v>
      </c>
      <c r="L182" s="23">
        <f t="shared" si="75"/>
        <v>16.470588235294116</v>
      </c>
      <c r="M182" s="23">
        <f t="shared" si="76"/>
        <v>2.1176470588235294</v>
      </c>
      <c r="N182" s="23">
        <f t="shared" si="77"/>
        <v>4.2352941176470589</v>
      </c>
      <c r="O182" s="182" t="str">
        <f t="shared" si="78"/>
        <v/>
      </c>
      <c r="P182" s="182" t="str">
        <f t="shared" si="79"/>
        <v/>
      </c>
      <c r="Q182" s="182" t="str">
        <f t="shared" si="80"/>
        <v/>
      </c>
      <c r="R182" s="182" t="str">
        <f t="shared" si="67"/>
        <v/>
      </c>
      <c r="S182" s="108">
        <f t="shared" ref="S182:S271" si="87">B182*0.2</f>
        <v>4</v>
      </c>
      <c r="T182" s="28">
        <f t="shared" si="81"/>
        <v>24.705882352941174</v>
      </c>
      <c r="U182" s="28">
        <f t="shared" si="82"/>
        <v>25.941176470588236</v>
      </c>
      <c r="V182" s="36">
        <f t="shared" si="83"/>
        <v>1.2970588235294118</v>
      </c>
      <c r="W182" s="36">
        <f t="shared" si="84"/>
        <v>0.6</v>
      </c>
      <c r="X182" s="63">
        <f t="shared" si="86"/>
        <v>1.4</v>
      </c>
    </row>
    <row r="183" spans="1:24">
      <c r="A183" s="19" t="s">
        <v>555</v>
      </c>
      <c r="B183" s="19">
        <v>30</v>
      </c>
      <c r="C183" s="19" t="s">
        <v>461</v>
      </c>
      <c r="D183" s="19">
        <v>10</v>
      </c>
      <c r="E183" s="89" t="s">
        <v>484</v>
      </c>
      <c r="F183" s="19">
        <v>10</v>
      </c>
      <c r="G183" s="19"/>
      <c r="H183" s="19"/>
      <c r="I183" s="19"/>
      <c r="J183" s="19"/>
      <c r="K183" s="23">
        <f t="shared" si="74"/>
        <v>1.2941176470588236</v>
      </c>
      <c r="L183" s="23">
        <f t="shared" si="75"/>
        <v>12.941176470588236</v>
      </c>
      <c r="M183" s="23">
        <f t="shared" si="76"/>
        <v>2.2941176470588234</v>
      </c>
      <c r="N183" s="23">
        <f t="shared" si="77"/>
        <v>22.941176470588232</v>
      </c>
      <c r="O183" s="182" t="str">
        <f t="shared" si="78"/>
        <v/>
      </c>
      <c r="P183" s="182" t="str">
        <f t="shared" si="79"/>
        <v/>
      </c>
      <c r="Q183" s="182" t="str">
        <f t="shared" si="80"/>
        <v/>
      </c>
      <c r="R183" s="182" t="str">
        <f t="shared" si="67"/>
        <v/>
      </c>
      <c r="S183" s="108">
        <f t="shared" si="87"/>
        <v>6</v>
      </c>
      <c r="T183" s="28">
        <f t="shared" si="81"/>
        <v>41.882352941176464</v>
      </c>
      <c r="U183" s="28">
        <f t="shared" si="82"/>
        <v>43.976470588235287</v>
      </c>
      <c r="V183" s="36">
        <f t="shared" si="83"/>
        <v>1.4658823529411762</v>
      </c>
      <c r="W183" s="36">
        <f t="shared" si="84"/>
        <v>0.66666666666666663</v>
      </c>
      <c r="X183" s="63">
        <f t="shared" si="86"/>
        <v>1.6</v>
      </c>
    </row>
    <row r="184" spans="1:24" ht="15">
      <c r="A184" s="19" t="s">
        <v>556</v>
      </c>
      <c r="B184" s="19">
        <v>30</v>
      </c>
      <c r="C184" s="19" t="s">
        <v>474</v>
      </c>
      <c r="D184" s="19">
        <v>18</v>
      </c>
      <c r="E184" s="30" t="s">
        <v>358</v>
      </c>
      <c r="F184" s="19">
        <v>0.1</v>
      </c>
      <c r="G184" s="19"/>
      <c r="H184" s="19"/>
      <c r="I184" s="19"/>
      <c r="J184" s="19"/>
      <c r="K184" s="23">
        <f t="shared" si="74"/>
        <v>1.0588235294117647</v>
      </c>
      <c r="L184" s="23">
        <f t="shared" si="75"/>
        <v>19.058823529411764</v>
      </c>
      <c r="M184" s="23">
        <f t="shared" si="76"/>
        <v>42.857142857142861</v>
      </c>
      <c r="N184" s="23">
        <f t="shared" si="77"/>
        <v>4.2857142857142865</v>
      </c>
      <c r="O184" s="182" t="str">
        <f t="shared" si="78"/>
        <v/>
      </c>
      <c r="P184" s="182" t="str">
        <f t="shared" si="79"/>
        <v/>
      </c>
      <c r="Q184" s="182" t="str">
        <f t="shared" si="80"/>
        <v/>
      </c>
      <c r="R184" s="182" t="str">
        <f t="shared" si="67"/>
        <v/>
      </c>
      <c r="S184" s="108">
        <f t="shared" si="87"/>
        <v>6</v>
      </c>
      <c r="T184" s="28">
        <f t="shared" si="81"/>
        <v>29.344537815126053</v>
      </c>
      <c r="U184" s="28">
        <f t="shared" si="82"/>
        <v>30.811764705882357</v>
      </c>
      <c r="V184" s="36">
        <f t="shared" si="83"/>
        <v>1.0270588235294118</v>
      </c>
      <c r="W184" s="36">
        <f t="shared" si="84"/>
        <v>0.60333333333333328</v>
      </c>
      <c r="X184" s="63">
        <f t="shared" si="86"/>
        <v>1.1000000000000001</v>
      </c>
    </row>
    <row r="185" spans="1:24">
      <c r="A185" s="18" t="s">
        <v>1375</v>
      </c>
      <c r="B185" s="89">
        <v>30</v>
      </c>
      <c r="C185" s="18" t="s">
        <v>2801</v>
      </c>
      <c r="D185" s="89">
        <v>18</v>
      </c>
      <c r="E185" s="46" t="s">
        <v>1606</v>
      </c>
      <c r="F185" s="89">
        <v>3</v>
      </c>
      <c r="G185" s="89"/>
      <c r="H185" s="89"/>
      <c r="I185" s="89"/>
      <c r="J185" s="89"/>
      <c r="K185" s="178">
        <f t="shared" si="74"/>
        <v>1.6235294117647059</v>
      </c>
      <c r="L185" s="178">
        <f t="shared" si="75"/>
        <v>29.223529411764705</v>
      </c>
      <c r="M185" s="178">
        <f t="shared" si="76"/>
        <v>1.6470588235294117</v>
      </c>
      <c r="N185" s="178">
        <f t="shared" si="77"/>
        <v>4.9411764705882355</v>
      </c>
      <c r="O185" s="182" t="str">
        <f t="shared" si="78"/>
        <v/>
      </c>
      <c r="P185" s="182" t="str">
        <f t="shared" si="79"/>
        <v/>
      </c>
      <c r="Q185" s="182" t="str">
        <f t="shared" si="80"/>
        <v/>
      </c>
      <c r="R185" s="182" t="str">
        <f t="shared" si="67"/>
        <v/>
      </c>
      <c r="S185" s="108">
        <f t="shared" si="87"/>
        <v>6</v>
      </c>
      <c r="T185" s="179">
        <f t="shared" si="81"/>
        <v>40.164705882352941</v>
      </c>
      <c r="U185" s="179">
        <f t="shared" si="82"/>
        <v>42.172941176470587</v>
      </c>
      <c r="V185" s="36">
        <f t="shared" si="83"/>
        <v>1.4057647058823528</v>
      </c>
      <c r="W185" s="36">
        <f t="shared" si="84"/>
        <v>0.7</v>
      </c>
      <c r="X185" s="63">
        <f t="shared" si="86"/>
        <v>1.5</v>
      </c>
    </row>
    <row r="186" spans="1:24">
      <c r="A186" s="18" t="s">
        <v>1854</v>
      </c>
      <c r="B186" s="89">
        <v>30</v>
      </c>
      <c r="C186" s="18" t="s">
        <v>1857</v>
      </c>
      <c r="D186" s="89">
        <v>15</v>
      </c>
      <c r="E186" s="46" t="s">
        <v>1858</v>
      </c>
      <c r="F186" s="89">
        <v>3</v>
      </c>
      <c r="G186" s="89"/>
      <c r="H186" s="89"/>
      <c r="I186" s="89"/>
      <c r="J186" s="89"/>
      <c r="K186" s="182">
        <f t="shared" si="74"/>
        <v>10.857142857142858</v>
      </c>
      <c r="L186" s="182">
        <f t="shared" si="75"/>
        <v>162.85714285714286</v>
      </c>
      <c r="M186" s="182">
        <f t="shared" si="76"/>
        <v>1.6470588235294117</v>
      </c>
      <c r="N186" s="182">
        <f t="shared" si="77"/>
        <v>4.9411764705882355</v>
      </c>
      <c r="O186" s="182" t="str">
        <f t="shared" si="78"/>
        <v/>
      </c>
      <c r="P186" s="182" t="str">
        <f t="shared" si="79"/>
        <v/>
      </c>
      <c r="Q186" s="182" t="str">
        <f t="shared" si="80"/>
        <v/>
      </c>
      <c r="R186" s="182" t="str">
        <f t="shared" si="67"/>
        <v/>
      </c>
      <c r="S186" s="108">
        <f t="shared" si="87"/>
        <v>6</v>
      </c>
      <c r="T186" s="183">
        <f t="shared" si="81"/>
        <v>173.79831932773109</v>
      </c>
      <c r="U186" s="183">
        <f t="shared" si="82"/>
        <v>182.48823529411766</v>
      </c>
      <c r="V186" s="36">
        <f t="shared" si="83"/>
        <v>6.0829411764705883</v>
      </c>
      <c r="W186" s="36">
        <f t="shared" si="84"/>
        <v>0.6</v>
      </c>
      <c r="X186" s="63">
        <f t="shared" si="86"/>
        <v>6.7</v>
      </c>
    </row>
    <row r="187" spans="1:24">
      <c r="A187" s="18" t="s">
        <v>1853</v>
      </c>
      <c r="B187" s="89">
        <v>30</v>
      </c>
      <c r="C187" s="18" t="s">
        <v>1859</v>
      </c>
      <c r="D187" s="89">
        <v>18</v>
      </c>
      <c r="E187" s="46"/>
      <c r="F187" s="89"/>
      <c r="G187" s="89"/>
      <c r="H187" s="89"/>
      <c r="I187" s="89"/>
      <c r="J187" s="89"/>
      <c r="K187" s="182">
        <f t="shared" si="74"/>
        <v>7.4285714285714297</v>
      </c>
      <c r="L187" s="182">
        <f t="shared" si="75"/>
        <v>133.71428571428572</v>
      </c>
      <c r="M187" s="182" t="str">
        <f t="shared" si="76"/>
        <v/>
      </c>
      <c r="N187" s="182" t="str">
        <f t="shared" si="77"/>
        <v/>
      </c>
      <c r="O187" s="182" t="str">
        <f t="shared" si="78"/>
        <v/>
      </c>
      <c r="P187" s="182" t="str">
        <f t="shared" si="79"/>
        <v/>
      </c>
      <c r="Q187" s="182" t="str">
        <f t="shared" si="80"/>
        <v/>
      </c>
      <c r="R187" s="182" t="str">
        <f t="shared" si="67"/>
        <v/>
      </c>
      <c r="S187" s="108">
        <f t="shared" si="87"/>
        <v>6</v>
      </c>
      <c r="T187" s="183">
        <f t="shared" si="81"/>
        <v>139.71428571428572</v>
      </c>
      <c r="U187" s="183">
        <f t="shared" si="82"/>
        <v>146.70000000000002</v>
      </c>
      <c r="V187" s="36">
        <f t="shared" si="83"/>
        <v>4.8900000000000006</v>
      </c>
      <c r="W187" s="36">
        <f t="shared" si="84"/>
        <v>0.6</v>
      </c>
      <c r="X187" s="63">
        <f t="shared" si="86"/>
        <v>5.4</v>
      </c>
    </row>
    <row r="188" spans="1:24">
      <c r="A188" s="18" t="s">
        <v>1855</v>
      </c>
      <c r="B188" s="89">
        <v>30</v>
      </c>
      <c r="C188" s="18" t="s">
        <v>1857</v>
      </c>
      <c r="D188" s="89">
        <v>9</v>
      </c>
      <c r="E188" s="46" t="s">
        <v>319</v>
      </c>
      <c r="F188" s="89">
        <v>4</v>
      </c>
      <c r="G188" s="89"/>
      <c r="H188" s="89"/>
      <c r="I188" s="89"/>
      <c r="J188" s="89"/>
      <c r="K188" s="182">
        <f t="shared" si="74"/>
        <v>10.857142857142858</v>
      </c>
      <c r="L188" s="182">
        <f t="shared" si="75"/>
        <v>97.714285714285722</v>
      </c>
      <c r="M188" s="182">
        <f t="shared" si="76"/>
        <v>3.5714285714285716</v>
      </c>
      <c r="N188" s="182">
        <f t="shared" si="77"/>
        <v>14.285714285714286</v>
      </c>
      <c r="O188" s="182" t="str">
        <f t="shared" si="78"/>
        <v/>
      </c>
      <c r="P188" s="182" t="str">
        <f t="shared" si="79"/>
        <v/>
      </c>
      <c r="Q188" s="182" t="str">
        <f t="shared" si="80"/>
        <v/>
      </c>
      <c r="R188" s="182" t="str">
        <f t="shared" si="67"/>
        <v/>
      </c>
      <c r="S188" s="108">
        <f t="shared" si="87"/>
        <v>6</v>
      </c>
      <c r="T188" s="183">
        <f t="shared" si="81"/>
        <v>118.00000000000001</v>
      </c>
      <c r="U188" s="183">
        <f t="shared" si="82"/>
        <v>123.90000000000002</v>
      </c>
      <c r="V188" s="36">
        <f t="shared" si="83"/>
        <v>4.1300000000000008</v>
      </c>
      <c r="W188" s="36">
        <f t="shared" si="84"/>
        <v>0.43333333333333335</v>
      </c>
      <c r="X188" s="63">
        <f t="shared" si="86"/>
        <v>4.5</v>
      </c>
    </row>
    <row r="189" spans="1:24">
      <c r="A189" s="18" t="s">
        <v>1856</v>
      </c>
      <c r="B189" s="89">
        <v>30</v>
      </c>
      <c r="C189" s="18" t="s">
        <v>1860</v>
      </c>
      <c r="D189" s="89">
        <v>15</v>
      </c>
      <c r="E189" s="46" t="s">
        <v>193</v>
      </c>
      <c r="F189" s="89">
        <v>6</v>
      </c>
      <c r="G189" s="89"/>
      <c r="H189" s="89"/>
      <c r="I189" s="89"/>
      <c r="J189" s="89"/>
      <c r="K189" s="182">
        <f t="shared" si="74"/>
        <v>1.2857142857142858</v>
      </c>
      <c r="L189" s="182">
        <f t="shared" si="75"/>
        <v>19.285714285714288</v>
      </c>
      <c r="M189" s="182">
        <f t="shared" si="76"/>
        <v>14.000000000000002</v>
      </c>
      <c r="N189" s="182">
        <f t="shared" si="77"/>
        <v>84.000000000000014</v>
      </c>
      <c r="O189" s="182" t="str">
        <f t="shared" si="78"/>
        <v/>
      </c>
      <c r="P189" s="182" t="str">
        <f t="shared" si="79"/>
        <v/>
      </c>
      <c r="Q189" s="182" t="str">
        <f t="shared" si="80"/>
        <v/>
      </c>
      <c r="R189" s="182" t="str">
        <f t="shared" si="67"/>
        <v/>
      </c>
      <c r="S189" s="108">
        <f t="shared" si="87"/>
        <v>6</v>
      </c>
      <c r="T189" s="183">
        <f t="shared" si="81"/>
        <v>109.28571428571431</v>
      </c>
      <c r="U189" s="183">
        <f t="shared" si="82"/>
        <v>114.75000000000003</v>
      </c>
      <c r="V189" s="36">
        <f t="shared" si="83"/>
        <v>3.8250000000000011</v>
      </c>
      <c r="W189" s="36">
        <f t="shared" si="84"/>
        <v>0.7</v>
      </c>
      <c r="X189" s="63">
        <f t="shared" si="86"/>
        <v>4.2</v>
      </c>
    </row>
    <row r="190" spans="1:24">
      <c r="A190" s="18" t="s">
        <v>1861</v>
      </c>
      <c r="B190" s="89">
        <v>30</v>
      </c>
      <c r="C190" s="18" t="s">
        <v>266</v>
      </c>
      <c r="D190" s="89">
        <v>18</v>
      </c>
      <c r="E190" s="46"/>
      <c r="F190" s="89"/>
      <c r="G190" s="89"/>
      <c r="H190" s="89"/>
      <c r="I190" s="89"/>
      <c r="J190" s="89"/>
      <c r="K190" s="182">
        <f t="shared" si="74"/>
        <v>5.7142857142857144</v>
      </c>
      <c r="L190" s="182">
        <f t="shared" si="75"/>
        <v>102.85714285714286</v>
      </c>
      <c r="M190" s="182" t="str">
        <f t="shared" si="76"/>
        <v/>
      </c>
      <c r="N190" s="182" t="str">
        <f t="shared" si="77"/>
        <v/>
      </c>
      <c r="O190" s="182" t="str">
        <f t="shared" si="78"/>
        <v/>
      </c>
      <c r="P190" s="182" t="str">
        <f t="shared" si="79"/>
        <v/>
      </c>
      <c r="Q190" s="182" t="str">
        <f t="shared" si="80"/>
        <v/>
      </c>
      <c r="R190" s="182" t="str">
        <f t="shared" si="67"/>
        <v/>
      </c>
      <c r="S190" s="108">
        <f>B190*0.7</f>
        <v>21</v>
      </c>
      <c r="T190" s="183">
        <f t="shared" si="81"/>
        <v>123.85714285714286</v>
      </c>
      <c r="U190" s="183">
        <f t="shared" si="82"/>
        <v>130.05000000000001</v>
      </c>
      <c r="V190" s="36">
        <f t="shared" si="83"/>
        <v>4.335</v>
      </c>
      <c r="W190" s="36">
        <f t="shared" si="84"/>
        <v>0.6</v>
      </c>
      <c r="X190" s="63">
        <f t="shared" si="86"/>
        <v>4.8</v>
      </c>
    </row>
    <row r="191" spans="1:24">
      <c r="A191" s="18" t="s">
        <v>1750</v>
      </c>
      <c r="B191" s="89">
        <v>30</v>
      </c>
      <c r="C191" s="18" t="s">
        <v>235</v>
      </c>
      <c r="D191" s="89">
        <v>8</v>
      </c>
      <c r="E191" s="46" t="s">
        <v>1864</v>
      </c>
      <c r="F191" s="89">
        <v>10</v>
      </c>
      <c r="G191" s="89"/>
      <c r="H191" s="89"/>
      <c r="I191" s="89"/>
      <c r="J191" s="89"/>
      <c r="K191" s="182">
        <f t="shared" si="74"/>
        <v>34.714285714285715</v>
      </c>
      <c r="L191" s="182">
        <f t="shared" si="75"/>
        <v>277.71428571428572</v>
      </c>
      <c r="M191" s="182">
        <f t="shared" si="76"/>
        <v>2.1176470588235294</v>
      </c>
      <c r="N191" s="182">
        <f t="shared" si="77"/>
        <v>21.176470588235293</v>
      </c>
      <c r="O191" s="182" t="str">
        <f t="shared" si="78"/>
        <v/>
      </c>
      <c r="P191" s="182" t="str">
        <f t="shared" si="79"/>
        <v/>
      </c>
      <c r="Q191" s="182" t="str">
        <f t="shared" si="80"/>
        <v/>
      </c>
      <c r="R191" s="182" t="str">
        <f t="shared" si="67"/>
        <v/>
      </c>
      <c r="S191" s="108">
        <f>B191*0.7</f>
        <v>21</v>
      </c>
      <c r="T191" s="183">
        <f t="shared" si="81"/>
        <v>319.89075630252103</v>
      </c>
      <c r="U191" s="183">
        <f t="shared" si="82"/>
        <v>335.88529411764711</v>
      </c>
      <c r="V191" s="36">
        <f t="shared" si="83"/>
        <v>11.196176470588236</v>
      </c>
      <c r="W191" s="36">
        <f t="shared" si="84"/>
        <v>0.6</v>
      </c>
      <c r="X191" s="63">
        <f t="shared" si="86"/>
        <v>12.3</v>
      </c>
    </row>
    <row r="192" spans="1:24">
      <c r="A192" s="18" t="s">
        <v>1862</v>
      </c>
      <c r="B192" s="89">
        <v>30</v>
      </c>
      <c r="C192" s="18" t="s">
        <v>1865</v>
      </c>
      <c r="D192" s="89">
        <v>14</v>
      </c>
      <c r="E192" s="46" t="s">
        <v>193</v>
      </c>
      <c r="F192" s="89">
        <v>4</v>
      </c>
      <c r="G192" s="89"/>
      <c r="H192" s="89"/>
      <c r="I192" s="89"/>
      <c r="J192" s="89"/>
      <c r="K192" s="182">
        <f t="shared" si="74"/>
        <v>0.88235294117647056</v>
      </c>
      <c r="L192" s="182">
        <f t="shared" si="75"/>
        <v>12.352941176470587</v>
      </c>
      <c r="M192" s="182">
        <f t="shared" si="76"/>
        <v>14.000000000000002</v>
      </c>
      <c r="N192" s="182">
        <f t="shared" si="77"/>
        <v>56.000000000000007</v>
      </c>
      <c r="O192" s="182" t="str">
        <f t="shared" si="78"/>
        <v/>
      </c>
      <c r="P192" s="182" t="str">
        <f t="shared" si="79"/>
        <v/>
      </c>
      <c r="Q192" s="182" t="str">
        <f t="shared" si="80"/>
        <v/>
      </c>
      <c r="R192" s="182" t="str">
        <f t="shared" si="67"/>
        <v/>
      </c>
      <c r="S192" s="108">
        <f>B192*0.5</f>
        <v>15</v>
      </c>
      <c r="T192" s="183">
        <f t="shared" si="81"/>
        <v>83.352941176470594</v>
      </c>
      <c r="U192" s="183">
        <f t="shared" si="82"/>
        <v>87.520588235294127</v>
      </c>
      <c r="V192" s="36">
        <f t="shared" si="83"/>
        <v>2.9173529411764707</v>
      </c>
      <c r="W192" s="36">
        <f t="shared" si="84"/>
        <v>0.6</v>
      </c>
      <c r="X192" s="63">
        <f t="shared" si="86"/>
        <v>3.2</v>
      </c>
    </row>
    <row r="193" spans="1:24">
      <c r="A193" s="18" t="s">
        <v>1863</v>
      </c>
      <c r="B193" s="89">
        <v>30</v>
      </c>
      <c r="C193" s="18" t="s">
        <v>1866</v>
      </c>
      <c r="D193" s="89">
        <v>5</v>
      </c>
      <c r="E193" s="46" t="s">
        <v>2150</v>
      </c>
      <c r="F193" s="89">
        <v>8</v>
      </c>
      <c r="G193" s="18" t="s">
        <v>1867</v>
      </c>
      <c r="H193" s="89">
        <v>10</v>
      </c>
      <c r="I193" s="89"/>
      <c r="J193" s="89"/>
      <c r="K193" s="182">
        <f t="shared" si="74"/>
        <v>13.857142857142858</v>
      </c>
      <c r="L193" s="182">
        <f t="shared" si="75"/>
        <v>69.285714285714292</v>
      </c>
      <c r="M193" s="182">
        <f t="shared" si="76"/>
        <v>3.4666666666666668</v>
      </c>
      <c r="N193" s="182">
        <f t="shared" si="77"/>
        <v>27.733333333333334</v>
      </c>
      <c r="O193" s="182">
        <f t="shared" si="78"/>
        <v>1.6470588235294117</v>
      </c>
      <c r="P193" s="182">
        <f t="shared" si="79"/>
        <v>16.470588235294116</v>
      </c>
      <c r="Q193" s="182" t="str">
        <f t="shared" si="80"/>
        <v/>
      </c>
      <c r="R193" s="182" t="str">
        <f t="shared" si="67"/>
        <v/>
      </c>
      <c r="S193" s="108">
        <f>B193*0.3</f>
        <v>9</v>
      </c>
      <c r="T193" s="183">
        <f t="shared" si="81"/>
        <v>122.48963585434174</v>
      </c>
      <c r="U193" s="183">
        <f t="shared" si="82"/>
        <v>128.61411764705883</v>
      </c>
      <c r="V193" s="36">
        <f t="shared" si="83"/>
        <v>4.2871372549019613</v>
      </c>
      <c r="W193" s="36">
        <f t="shared" si="84"/>
        <v>0.76666666666666661</v>
      </c>
      <c r="X193" s="63">
        <f t="shared" si="86"/>
        <v>4.7</v>
      </c>
    </row>
    <row r="194" spans="1:24">
      <c r="A194" s="18" t="s">
        <v>1763</v>
      </c>
      <c r="B194" s="89">
        <v>30</v>
      </c>
      <c r="C194" s="18" t="s">
        <v>1299</v>
      </c>
      <c r="D194" s="89">
        <v>3</v>
      </c>
      <c r="E194" s="46" t="s">
        <v>1868</v>
      </c>
      <c r="F194" s="89">
        <v>15</v>
      </c>
      <c r="G194" s="89"/>
      <c r="H194" s="89"/>
      <c r="I194" s="89"/>
      <c r="J194" s="89"/>
      <c r="K194" s="182">
        <f t="shared" si="74"/>
        <v>6.4285714285714288</v>
      </c>
      <c r="L194" s="182">
        <f t="shared" si="75"/>
        <v>19.285714285714285</v>
      </c>
      <c r="M194" s="182">
        <f t="shared" si="76"/>
        <v>1</v>
      </c>
      <c r="N194" s="182">
        <f t="shared" si="77"/>
        <v>15</v>
      </c>
      <c r="O194" s="182" t="str">
        <f t="shared" si="78"/>
        <v/>
      </c>
      <c r="P194" s="182" t="str">
        <f t="shared" si="79"/>
        <v/>
      </c>
      <c r="Q194" s="182" t="str">
        <f t="shared" si="80"/>
        <v/>
      </c>
      <c r="R194" s="182" t="str">
        <f t="shared" ref="R194:R270" si="88">IFERROR(J194*Q194,"")</f>
        <v/>
      </c>
      <c r="S194" s="108">
        <f>B194*0.2</f>
        <v>6</v>
      </c>
      <c r="T194" s="183">
        <f t="shared" si="81"/>
        <v>40.285714285714285</v>
      </c>
      <c r="U194" s="183">
        <f t="shared" si="82"/>
        <v>42.300000000000004</v>
      </c>
      <c r="V194" s="36">
        <f t="shared" si="83"/>
        <v>1.4100000000000001</v>
      </c>
      <c r="W194" s="36">
        <f t="shared" si="84"/>
        <v>0.6</v>
      </c>
      <c r="X194" s="63">
        <f t="shared" si="86"/>
        <v>1.6</v>
      </c>
    </row>
    <row r="195" spans="1:24">
      <c r="A195" s="18" t="s">
        <v>1748</v>
      </c>
      <c r="B195" s="89">
        <v>30</v>
      </c>
      <c r="C195" s="18" t="s">
        <v>1869</v>
      </c>
      <c r="D195" s="89">
        <v>24</v>
      </c>
      <c r="E195" s="46" t="s">
        <v>319</v>
      </c>
      <c r="F195" s="89">
        <v>8</v>
      </c>
      <c r="G195" s="89"/>
      <c r="H195" s="89"/>
      <c r="I195" s="89"/>
      <c r="J195" s="89"/>
      <c r="K195" s="182">
        <f t="shared" si="74"/>
        <v>1.8823529411764708</v>
      </c>
      <c r="L195" s="182">
        <f t="shared" si="75"/>
        <v>45.176470588235297</v>
      </c>
      <c r="M195" s="182">
        <f t="shared" si="76"/>
        <v>3.5714285714285716</v>
      </c>
      <c r="N195" s="182">
        <f t="shared" si="77"/>
        <v>28.571428571428573</v>
      </c>
      <c r="O195" s="182" t="str">
        <f t="shared" si="78"/>
        <v/>
      </c>
      <c r="P195" s="182" t="str">
        <f t="shared" si="79"/>
        <v/>
      </c>
      <c r="Q195" s="182" t="str">
        <f t="shared" si="80"/>
        <v/>
      </c>
      <c r="R195" s="182" t="str">
        <f t="shared" si="88"/>
        <v/>
      </c>
      <c r="S195" s="108">
        <f>B195*0.2</f>
        <v>6</v>
      </c>
      <c r="T195" s="183">
        <f t="shared" si="81"/>
        <v>79.747899159663874</v>
      </c>
      <c r="U195" s="183">
        <f t="shared" si="82"/>
        <v>83.735294117647072</v>
      </c>
      <c r="V195" s="36">
        <f t="shared" si="83"/>
        <v>2.7911764705882356</v>
      </c>
      <c r="W195" s="36">
        <f t="shared" si="84"/>
        <v>1.0666666666666667</v>
      </c>
      <c r="X195" s="63">
        <f t="shared" si="86"/>
        <v>3.1</v>
      </c>
    </row>
    <row r="196" spans="1:24">
      <c r="A196" s="18" t="s">
        <v>1830</v>
      </c>
      <c r="B196" s="89">
        <v>30</v>
      </c>
      <c r="C196" s="18" t="s">
        <v>2148</v>
      </c>
      <c r="D196" s="89">
        <v>15</v>
      </c>
      <c r="E196" s="46" t="s">
        <v>1857</v>
      </c>
      <c r="F196" s="89">
        <v>5</v>
      </c>
      <c r="G196" s="89"/>
      <c r="H196" s="89"/>
      <c r="I196" s="89"/>
      <c r="J196" s="89"/>
      <c r="K196" s="182">
        <f t="shared" si="74"/>
        <v>2.5333333333333332</v>
      </c>
      <c r="L196" s="182">
        <f t="shared" si="75"/>
        <v>38</v>
      </c>
      <c r="M196" s="182">
        <f t="shared" si="76"/>
        <v>10.857142857142858</v>
      </c>
      <c r="N196" s="182">
        <f t="shared" si="77"/>
        <v>54.285714285714292</v>
      </c>
      <c r="O196" s="182" t="str">
        <f t="shared" si="78"/>
        <v/>
      </c>
      <c r="P196" s="182" t="str">
        <f t="shared" si="79"/>
        <v/>
      </c>
      <c r="Q196" s="182" t="str">
        <f t="shared" si="80"/>
        <v/>
      </c>
      <c r="R196" s="182" t="str">
        <f t="shared" si="88"/>
        <v/>
      </c>
      <c r="S196" s="108">
        <f>B196*0.5</f>
        <v>15</v>
      </c>
      <c r="T196" s="183">
        <f t="shared" si="81"/>
        <v>107.28571428571429</v>
      </c>
      <c r="U196" s="183">
        <f t="shared" si="82"/>
        <v>112.65</v>
      </c>
      <c r="V196" s="36">
        <f t="shared" si="83"/>
        <v>3.7550000000000003</v>
      </c>
      <c r="W196" s="36">
        <f t="shared" si="84"/>
        <v>0.66666666666666663</v>
      </c>
      <c r="X196" s="63">
        <f t="shared" si="86"/>
        <v>4.0999999999999996</v>
      </c>
    </row>
    <row r="197" spans="1:24">
      <c r="A197" s="18" t="s">
        <v>1831</v>
      </c>
      <c r="B197" s="89">
        <v>30</v>
      </c>
      <c r="C197" s="18" t="s">
        <v>1870</v>
      </c>
      <c r="D197" s="89">
        <v>20</v>
      </c>
      <c r="E197" s="46" t="s">
        <v>1858</v>
      </c>
      <c r="F197" s="89">
        <v>5</v>
      </c>
      <c r="G197" s="89"/>
      <c r="H197" s="89"/>
      <c r="I197" s="89"/>
      <c r="J197" s="89"/>
      <c r="K197" s="182">
        <f t="shared" si="74"/>
        <v>1.2941176470588236</v>
      </c>
      <c r="L197" s="182">
        <f t="shared" si="75"/>
        <v>25.882352941176471</v>
      </c>
      <c r="M197" s="182">
        <f t="shared" si="76"/>
        <v>1.6470588235294117</v>
      </c>
      <c r="N197" s="182">
        <f t="shared" si="77"/>
        <v>8.235294117647058</v>
      </c>
      <c r="O197" s="182" t="str">
        <f t="shared" si="78"/>
        <v/>
      </c>
      <c r="P197" s="182" t="str">
        <f t="shared" si="79"/>
        <v/>
      </c>
      <c r="Q197" s="182" t="str">
        <f t="shared" si="80"/>
        <v/>
      </c>
      <c r="R197" s="182" t="str">
        <f t="shared" si="88"/>
        <v/>
      </c>
      <c r="S197" s="108">
        <f t="shared" ref="S197:S198" si="89">B197*0.5</f>
        <v>15</v>
      </c>
      <c r="T197" s="183">
        <f t="shared" si="81"/>
        <v>49.117647058823529</v>
      </c>
      <c r="U197" s="183">
        <f t="shared" si="82"/>
        <v>51.57352941176471</v>
      </c>
      <c r="V197" s="36">
        <f t="shared" si="83"/>
        <v>1.7191176470588236</v>
      </c>
      <c r="W197" s="36">
        <f t="shared" si="84"/>
        <v>0.83333333333333326</v>
      </c>
      <c r="X197" s="63">
        <f t="shared" si="86"/>
        <v>1.9</v>
      </c>
    </row>
    <row r="198" spans="1:24">
      <c r="A198" s="18" t="s">
        <v>1871</v>
      </c>
      <c r="B198" s="89">
        <v>30</v>
      </c>
      <c r="C198" s="18" t="s">
        <v>1877</v>
      </c>
      <c r="D198" s="89">
        <v>10</v>
      </c>
      <c r="E198" s="46" t="s">
        <v>1878</v>
      </c>
      <c r="F198" s="89">
        <v>10</v>
      </c>
      <c r="G198" s="89"/>
      <c r="H198" s="89"/>
      <c r="I198" s="89"/>
      <c r="J198" s="89"/>
      <c r="K198" s="182">
        <f t="shared" si="74"/>
        <v>13</v>
      </c>
      <c r="L198" s="182">
        <f t="shared" si="75"/>
        <v>130</v>
      </c>
      <c r="M198" s="182">
        <f t="shared" si="76"/>
        <v>1.0588235294117647</v>
      </c>
      <c r="N198" s="182">
        <f t="shared" si="77"/>
        <v>10.588235294117647</v>
      </c>
      <c r="O198" s="182" t="str">
        <f t="shared" si="78"/>
        <v/>
      </c>
      <c r="P198" s="182" t="str">
        <f t="shared" si="79"/>
        <v/>
      </c>
      <c r="Q198" s="182" t="str">
        <f t="shared" si="80"/>
        <v/>
      </c>
      <c r="R198" s="182" t="str">
        <f t="shared" si="88"/>
        <v/>
      </c>
      <c r="S198" s="108">
        <f t="shared" si="89"/>
        <v>15</v>
      </c>
      <c r="T198" s="183">
        <f t="shared" si="81"/>
        <v>155.58823529411765</v>
      </c>
      <c r="U198" s="183">
        <f t="shared" si="82"/>
        <v>163.36764705882354</v>
      </c>
      <c r="V198" s="36">
        <f t="shared" si="83"/>
        <v>5.4455882352941183</v>
      </c>
      <c r="W198" s="36">
        <f t="shared" si="84"/>
        <v>0.66666666666666663</v>
      </c>
      <c r="X198" s="63">
        <f t="shared" si="86"/>
        <v>6</v>
      </c>
    </row>
    <row r="199" spans="1:24">
      <c r="A199" s="18" t="s">
        <v>1872</v>
      </c>
      <c r="B199" s="89">
        <v>30</v>
      </c>
      <c r="C199" s="18" t="s">
        <v>289</v>
      </c>
      <c r="D199" s="89">
        <v>18</v>
      </c>
      <c r="E199" s="46"/>
      <c r="F199" s="89"/>
      <c r="G199" s="89"/>
      <c r="H199" s="89"/>
      <c r="I199" s="89"/>
      <c r="J199" s="89"/>
      <c r="K199" s="182">
        <f t="shared" si="74"/>
        <v>12.285714285714286</v>
      </c>
      <c r="L199" s="182">
        <f t="shared" si="75"/>
        <v>221.14285714285717</v>
      </c>
      <c r="M199" s="182" t="str">
        <f t="shared" si="76"/>
        <v/>
      </c>
      <c r="N199" s="182" t="str">
        <f t="shared" si="77"/>
        <v/>
      </c>
      <c r="O199" s="182" t="str">
        <f t="shared" si="78"/>
        <v/>
      </c>
      <c r="P199" s="182" t="str">
        <f t="shared" si="79"/>
        <v/>
      </c>
      <c r="Q199" s="182" t="str">
        <f t="shared" si="80"/>
        <v/>
      </c>
      <c r="R199" s="182" t="str">
        <f t="shared" si="88"/>
        <v/>
      </c>
      <c r="S199" s="108">
        <f>B199*0.01</f>
        <v>0.3</v>
      </c>
      <c r="T199" s="183">
        <f t="shared" si="81"/>
        <v>221.44285714285718</v>
      </c>
      <c r="U199" s="183">
        <f t="shared" si="82"/>
        <v>232.51500000000004</v>
      </c>
      <c r="V199" s="36">
        <f t="shared" si="83"/>
        <v>7.7505000000000015</v>
      </c>
      <c r="W199" s="36">
        <f t="shared" si="84"/>
        <v>0.6</v>
      </c>
      <c r="X199" s="63">
        <f t="shared" si="86"/>
        <v>8.5</v>
      </c>
    </row>
    <row r="200" spans="1:24">
      <c r="A200" s="18" t="s">
        <v>1873</v>
      </c>
      <c r="B200" s="89">
        <v>30</v>
      </c>
      <c r="C200" s="18" t="s">
        <v>222</v>
      </c>
      <c r="D200" s="89">
        <v>6.5</v>
      </c>
      <c r="E200" s="46" t="s">
        <v>2801</v>
      </c>
      <c r="F200" s="89">
        <v>13</v>
      </c>
      <c r="G200" s="89"/>
      <c r="H200" s="89"/>
      <c r="I200" s="89"/>
      <c r="J200" s="89"/>
      <c r="K200" s="182">
        <f t="shared" si="74"/>
        <v>24.142857142857142</v>
      </c>
      <c r="L200" s="182">
        <f t="shared" si="75"/>
        <v>156.92857142857142</v>
      </c>
      <c r="M200" s="182">
        <f t="shared" si="76"/>
        <v>1.6235294117647059</v>
      </c>
      <c r="N200" s="182">
        <f t="shared" si="77"/>
        <v>21.105882352941176</v>
      </c>
      <c r="O200" s="182" t="str">
        <f t="shared" si="78"/>
        <v/>
      </c>
      <c r="P200" s="182" t="str">
        <f t="shared" si="79"/>
        <v/>
      </c>
      <c r="Q200" s="182" t="str">
        <f t="shared" si="80"/>
        <v/>
      </c>
      <c r="R200" s="182" t="str">
        <f t="shared" si="88"/>
        <v/>
      </c>
      <c r="S200" s="108">
        <f>B200*0.01</f>
        <v>0.3</v>
      </c>
      <c r="T200" s="183">
        <f t="shared" si="81"/>
        <v>178.33445378151259</v>
      </c>
      <c r="U200" s="183">
        <f t="shared" si="82"/>
        <v>187.25117647058823</v>
      </c>
      <c r="V200" s="36">
        <f t="shared" si="83"/>
        <v>6.2417058823529414</v>
      </c>
      <c r="W200" s="36">
        <f t="shared" si="84"/>
        <v>0.65</v>
      </c>
      <c r="X200" s="63">
        <f t="shared" si="86"/>
        <v>6.9</v>
      </c>
    </row>
    <row r="201" spans="1:24" ht="42.75">
      <c r="A201" s="18" t="s">
        <v>1874</v>
      </c>
      <c r="B201" s="89">
        <v>30</v>
      </c>
      <c r="C201" s="18" t="s">
        <v>1294</v>
      </c>
      <c r="D201" s="89">
        <v>2</v>
      </c>
      <c r="E201" s="46" t="s">
        <v>1879</v>
      </c>
      <c r="F201" s="89">
        <v>15</v>
      </c>
      <c r="G201" s="18" t="s">
        <v>2536</v>
      </c>
      <c r="H201" s="89">
        <v>6</v>
      </c>
      <c r="I201" s="89"/>
      <c r="J201" s="89"/>
      <c r="K201" s="182">
        <f t="shared" si="74"/>
        <v>8.5714285714285712</v>
      </c>
      <c r="L201" s="182">
        <f t="shared" si="75"/>
        <v>17.142857142857142</v>
      </c>
      <c r="M201" s="182">
        <f t="shared" si="76"/>
        <v>7.2857142857142856</v>
      </c>
      <c r="N201" s="182">
        <f t="shared" si="77"/>
        <v>109.28571428571428</v>
      </c>
      <c r="O201" s="182" t="e">
        <f t="shared" si="78"/>
        <v>#N/A</v>
      </c>
      <c r="P201" s="182" t="str">
        <f t="shared" si="79"/>
        <v/>
      </c>
      <c r="Q201" s="182" t="str">
        <f t="shared" si="80"/>
        <v/>
      </c>
      <c r="R201" s="182" t="str">
        <f t="shared" si="88"/>
        <v/>
      </c>
      <c r="S201" s="108">
        <f t="shared" ref="S201:S262" si="90">B201*0.1</f>
        <v>3</v>
      </c>
      <c r="T201" s="183">
        <f t="shared" si="81"/>
        <v>129.42857142857142</v>
      </c>
      <c r="U201" s="183">
        <f t="shared" si="82"/>
        <v>135.9</v>
      </c>
      <c r="V201" s="36">
        <f t="shared" si="83"/>
        <v>4.53</v>
      </c>
      <c r="W201" s="36">
        <f t="shared" si="84"/>
        <v>0.76666666666666661</v>
      </c>
      <c r="X201" s="63">
        <f t="shared" si="86"/>
        <v>5</v>
      </c>
    </row>
    <row r="202" spans="1:24">
      <c r="A202" s="18" t="s">
        <v>1875</v>
      </c>
      <c r="B202" s="89">
        <v>30</v>
      </c>
      <c r="C202" s="18" t="s">
        <v>1880</v>
      </c>
      <c r="D202" s="89">
        <v>15</v>
      </c>
      <c r="E202" s="46" t="s">
        <v>2148</v>
      </c>
      <c r="F202" s="89">
        <v>6</v>
      </c>
      <c r="G202" s="18" t="s">
        <v>197</v>
      </c>
      <c r="H202" s="89">
        <v>5</v>
      </c>
      <c r="I202" s="89"/>
      <c r="J202" s="89"/>
      <c r="K202" s="182">
        <f t="shared" si="74"/>
        <v>0.94117647058823539</v>
      </c>
      <c r="L202" s="182">
        <f t="shared" si="75"/>
        <v>14.117647058823531</v>
      </c>
      <c r="M202" s="182">
        <f t="shared" si="76"/>
        <v>2.5333333333333332</v>
      </c>
      <c r="N202" s="182">
        <f t="shared" si="77"/>
        <v>15.2</v>
      </c>
      <c r="O202" s="182">
        <f t="shared" si="78"/>
        <v>13.714285714285715</v>
      </c>
      <c r="P202" s="182">
        <f t="shared" si="79"/>
        <v>68.571428571428584</v>
      </c>
      <c r="Q202" s="182" t="str">
        <f t="shared" si="80"/>
        <v/>
      </c>
      <c r="R202" s="182" t="str">
        <f t="shared" si="88"/>
        <v/>
      </c>
      <c r="S202" s="108">
        <f t="shared" si="90"/>
        <v>3</v>
      </c>
      <c r="T202" s="183">
        <f t="shared" si="81"/>
        <v>100.88907563025211</v>
      </c>
      <c r="U202" s="183">
        <f t="shared" si="82"/>
        <v>105.93352941176472</v>
      </c>
      <c r="V202" s="36">
        <f t="shared" si="83"/>
        <v>3.5311176470588239</v>
      </c>
      <c r="W202" s="36">
        <f t="shared" si="84"/>
        <v>0.86666666666666659</v>
      </c>
      <c r="X202" s="63">
        <f t="shared" si="86"/>
        <v>3.9</v>
      </c>
    </row>
    <row r="203" spans="1:24">
      <c r="A203" s="18" t="s">
        <v>1876</v>
      </c>
      <c r="B203" s="89">
        <v>30</v>
      </c>
      <c r="C203" s="18" t="s">
        <v>2792</v>
      </c>
      <c r="D203" s="89">
        <v>20</v>
      </c>
      <c r="E203" s="46" t="s">
        <v>1877</v>
      </c>
      <c r="F203" s="89">
        <v>3</v>
      </c>
      <c r="G203" s="89"/>
      <c r="H203" s="89"/>
      <c r="I203" s="89"/>
      <c r="J203" s="89"/>
      <c r="K203" s="182">
        <f t="shared" si="74"/>
        <v>1.6235294117647059</v>
      </c>
      <c r="L203" s="182">
        <f t="shared" si="75"/>
        <v>32.470588235294116</v>
      </c>
      <c r="M203" s="182">
        <f t="shared" si="76"/>
        <v>13</v>
      </c>
      <c r="N203" s="182">
        <f t="shared" si="77"/>
        <v>39</v>
      </c>
      <c r="O203" s="182" t="str">
        <f t="shared" si="78"/>
        <v/>
      </c>
      <c r="P203" s="182" t="str">
        <f t="shared" si="79"/>
        <v/>
      </c>
      <c r="Q203" s="182" t="str">
        <f t="shared" si="80"/>
        <v/>
      </c>
      <c r="R203" s="182" t="str">
        <f t="shared" si="88"/>
        <v/>
      </c>
      <c r="S203" s="108">
        <f t="shared" si="90"/>
        <v>3</v>
      </c>
      <c r="T203" s="183">
        <f t="shared" si="81"/>
        <v>74.470588235294116</v>
      </c>
      <c r="U203" s="183">
        <f t="shared" si="82"/>
        <v>78.194117647058832</v>
      </c>
      <c r="V203" s="36">
        <f t="shared" si="83"/>
        <v>2.6064705882352945</v>
      </c>
      <c r="W203" s="36">
        <f t="shared" si="84"/>
        <v>0.76666666666666661</v>
      </c>
      <c r="X203" s="63">
        <f t="shared" si="86"/>
        <v>2.9</v>
      </c>
    </row>
    <row r="204" spans="1:24">
      <c r="A204" s="18" t="s">
        <v>1731</v>
      </c>
      <c r="B204" s="89">
        <v>30</v>
      </c>
      <c r="C204" s="18" t="s">
        <v>278</v>
      </c>
      <c r="D204" s="89">
        <v>18</v>
      </c>
      <c r="E204" s="46"/>
      <c r="F204" s="89"/>
      <c r="G204" s="89"/>
      <c r="H204" s="89"/>
      <c r="I204" s="89"/>
      <c r="J204" s="89"/>
      <c r="K204" s="182" t="e">
        <f t="shared" si="74"/>
        <v>#N/A</v>
      </c>
      <c r="L204" s="182" t="str">
        <f t="shared" si="75"/>
        <v/>
      </c>
      <c r="M204" s="182" t="str">
        <f t="shared" si="76"/>
        <v/>
      </c>
      <c r="N204" s="182" t="str">
        <f t="shared" si="77"/>
        <v/>
      </c>
      <c r="O204" s="182" t="str">
        <f t="shared" si="78"/>
        <v/>
      </c>
      <c r="P204" s="182" t="str">
        <f t="shared" si="79"/>
        <v/>
      </c>
      <c r="Q204" s="182" t="str">
        <f t="shared" si="80"/>
        <v/>
      </c>
      <c r="R204" s="182" t="str">
        <f t="shared" si="88"/>
        <v/>
      </c>
      <c r="S204" s="108">
        <f>B204*0.3</f>
        <v>9</v>
      </c>
      <c r="T204" s="183">
        <f t="shared" si="81"/>
        <v>9</v>
      </c>
      <c r="U204" s="183">
        <f t="shared" si="82"/>
        <v>9.4500000000000011</v>
      </c>
      <c r="V204" s="36">
        <f t="shared" si="83"/>
        <v>0.31500000000000006</v>
      </c>
      <c r="W204" s="36">
        <f t="shared" si="84"/>
        <v>0.6</v>
      </c>
      <c r="X204" s="63">
        <f t="shared" si="86"/>
        <v>0.3</v>
      </c>
    </row>
    <row r="205" spans="1:24">
      <c r="A205" s="18" t="s">
        <v>1732</v>
      </c>
      <c r="B205" s="89">
        <v>30</v>
      </c>
      <c r="C205" s="18" t="s">
        <v>2805</v>
      </c>
      <c r="D205" s="89">
        <v>9</v>
      </c>
      <c r="E205" s="46" t="s">
        <v>1881</v>
      </c>
      <c r="F205" s="89">
        <v>10</v>
      </c>
      <c r="G205" s="89"/>
      <c r="H205" s="89"/>
      <c r="I205" s="89"/>
      <c r="J205" s="89"/>
      <c r="K205" s="182">
        <f t="shared" si="74"/>
        <v>14.000000000000002</v>
      </c>
      <c r="L205" s="182">
        <f t="shared" si="75"/>
        <v>126.00000000000001</v>
      </c>
      <c r="M205" s="182">
        <f t="shared" si="76"/>
        <v>2.3529411764705883</v>
      </c>
      <c r="N205" s="182">
        <f t="shared" si="77"/>
        <v>23.529411764705884</v>
      </c>
      <c r="O205" s="182" t="str">
        <f t="shared" si="78"/>
        <v/>
      </c>
      <c r="P205" s="182" t="str">
        <f t="shared" si="79"/>
        <v/>
      </c>
      <c r="Q205" s="182" t="str">
        <f t="shared" si="80"/>
        <v/>
      </c>
      <c r="R205" s="182" t="str">
        <f t="shared" si="88"/>
        <v/>
      </c>
      <c r="S205" s="108">
        <f t="shared" si="90"/>
        <v>3</v>
      </c>
      <c r="T205" s="183">
        <f t="shared" si="81"/>
        <v>152.52941176470591</v>
      </c>
      <c r="U205" s="183">
        <f t="shared" si="82"/>
        <v>160.15588235294121</v>
      </c>
      <c r="V205" s="36">
        <f t="shared" si="83"/>
        <v>5.3385294117647071</v>
      </c>
      <c r="W205" s="36">
        <f t="shared" si="84"/>
        <v>0.6333333333333333</v>
      </c>
      <c r="X205" s="63">
        <f t="shared" si="86"/>
        <v>5.9</v>
      </c>
    </row>
    <row r="206" spans="1:24">
      <c r="A206" s="18" t="s">
        <v>1733</v>
      </c>
      <c r="B206" s="89">
        <v>30</v>
      </c>
      <c r="C206" s="18" t="s">
        <v>1882</v>
      </c>
      <c r="D206" s="89">
        <v>20</v>
      </c>
      <c r="E206" s="46"/>
      <c r="F206" s="89"/>
      <c r="G206" s="89"/>
      <c r="H206" s="89"/>
      <c r="I206" s="89"/>
      <c r="J206" s="89"/>
      <c r="K206" s="182">
        <f t="shared" si="74"/>
        <v>1.5294117647058825</v>
      </c>
      <c r="L206" s="182">
        <f t="shared" si="75"/>
        <v>30.588235294117649</v>
      </c>
      <c r="M206" s="182" t="str">
        <f t="shared" si="76"/>
        <v/>
      </c>
      <c r="N206" s="182" t="str">
        <f t="shared" si="77"/>
        <v/>
      </c>
      <c r="O206" s="182" t="str">
        <f t="shared" si="78"/>
        <v/>
      </c>
      <c r="P206" s="182" t="str">
        <f t="shared" si="79"/>
        <v/>
      </c>
      <c r="Q206" s="182" t="str">
        <f t="shared" si="80"/>
        <v/>
      </c>
      <c r="R206" s="182" t="str">
        <f t="shared" si="88"/>
        <v/>
      </c>
      <c r="S206" s="108">
        <f t="shared" si="90"/>
        <v>3</v>
      </c>
      <c r="T206" s="183">
        <f t="shared" si="81"/>
        <v>33.588235294117652</v>
      </c>
      <c r="U206" s="183">
        <f t="shared" si="82"/>
        <v>35.267647058823535</v>
      </c>
      <c r="V206" s="36">
        <f t="shared" si="83"/>
        <v>1.1755882352941178</v>
      </c>
      <c r="W206" s="36">
        <f t="shared" si="84"/>
        <v>0.66666666666666663</v>
      </c>
      <c r="X206" s="63">
        <f t="shared" si="86"/>
        <v>1.3</v>
      </c>
    </row>
    <row r="207" spans="1:24">
      <c r="A207" s="18" t="s">
        <v>1734</v>
      </c>
      <c r="B207" s="89">
        <v>30</v>
      </c>
      <c r="C207" s="18" t="s">
        <v>101</v>
      </c>
      <c r="D207" s="89">
        <v>12</v>
      </c>
      <c r="E207" s="46" t="s">
        <v>1858</v>
      </c>
      <c r="F207" s="89">
        <v>5</v>
      </c>
      <c r="G207" s="18" t="s">
        <v>1883</v>
      </c>
      <c r="H207" s="89">
        <v>1</v>
      </c>
      <c r="I207" s="89"/>
      <c r="J207" s="89"/>
      <c r="K207" s="182">
        <f t="shared" si="74"/>
        <v>8.5714285714285712</v>
      </c>
      <c r="L207" s="182">
        <f t="shared" si="75"/>
        <v>102.85714285714286</v>
      </c>
      <c r="M207" s="182">
        <f t="shared" si="76"/>
        <v>1.6470588235294117</v>
      </c>
      <c r="N207" s="182">
        <f t="shared" si="77"/>
        <v>8.235294117647058</v>
      </c>
      <c r="O207" s="182">
        <f t="shared" si="78"/>
        <v>8.3529411764705888</v>
      </c>
      <c r="P207" s="182">
        <f t="shared" si="79"/>
        <v>8.3529411764705888</v>
      </c>
      <c r="Q207" s="182" t="str">
        <f t="shared" si="80"/>
        <v/>
      </c>
      <c r="R207" s="182" t="str">
        <f t="shared" si="88"/>
        <v/>
      </c>
      <c r="S207" s="108">
        <f t="shared" si="90"/>
        <v>3</v>
      </c>
      <c r="T207" s="183">
        <f t="shared" si="81"/>
        <v>122.44537815126051</v>
      </c>
      <c r="U207" s="183">
        <f t="shared" si="82"/>
        <v>128.56764705882355</v>
      </c>
      <c r="V207" s="36">
        <f t="shared" si="83"/>
        <v>4.2855882352941181</v>
      </c>
      <c r="W207" s="36">
        <f t="shared" si="84"/>
        <v>0.6</v>
      </c>
      <c r="X207" s="63">
        <f t="shared" si="86"/>
        <v>4.7</v>
      </c>
    </row>
    <row r="208" spans="1:24">
      <c r="A208" s="18" t="s">
        <v>1735</v>
      </c>
      <c r="B208" s="89">
        <v>30</v>
      </c>
      <c r="C208" s="18" t="s">
        <v>206</v>
      </c>
      <c r="D208" s="89">
        <v>12</v>
      </c>
      <c r="E208" s="46" t="s">
        <v>2792</v>
      </c>
      <c r="F208" s="89">
        <v>9</v>
      </c>
      <c r="G208" s="89"/>
      <c r="H208" s="89"/>
      <c r="I208" s="89"/>
      <c r="J208" s="89"/>
      <c r="K208" s="182">
        <f t="shared" si="74"/>
        <v>14.428571428571429</v>
      </c>
      <c r="L208" s="182">
        <f t="shared" si="75"/>
        <v>173.14285714285714</v>
      </c>
      <c r="M208" s="182">
        <f t="shared" si="76"/>
        <v>1.6235294117647059</v>
      </c>
      <c r="N208" s="182">
        <f t="shared" si="77"/>
        <v>14.611764705882353</v>
      </c>
      <c r="O208" s="182" t="str">
        <f t="shared" si="78"/>
        <v/>
      </c>
      <c r="P208" s="182" t="str">
        <f t="shared" si="79"/>
        <v/>
      </c>
      <c r="Q208" s="182" t="str">
        <f t="shared" si="80"/>
        <v/>
      </c>
      <c r="R208" s="182" t="str">
        <f t="shared" si="88"/>
        <v/>
      </c>
      <c r="S208" s="108">
        <f t="shared" si="90"/>
        <v>3</v>
      </c>
      <c r="T208" s="183">
        <f t="shared" si="81"/>
        <v>190.7546218487395</v>
      </c>
      <c r="U208" s="183">
        <f t="shared" si="82"/>
        <v>200.29235294117649</v>
      </c>
      <c r="V208" s="36">
        <f t="shared" si="83"/>
        <v>6.6764117647058834</v>
      </c>
      <c r="W208" s="36">
        <f t="shared" si="84"/>
        <v>0.7</v>
      </c>
      <c r="X208" s="63">
        <f t="shared" si="86"/>
        <v>7.3</v>
      </c>
    </row>
    <row r="209" spans="1:24">
      <c r="A209" s="18" t="s">
        <v>1736</v>
      </c>
      <c r="B209" s="89">
        <v>30</v>
      </c>
      <c r="C209" s="18" t="s">
        <v>1879</v>
      </c>
      <c r="D209" s="89">
        <v>12</v>
      </c>
      <c r="E209" s="46" t="s">
        <v>2792</v>
      </c>
      <c r="F209" s="89">
        <v>2</v>
      </c>
      <c r="G209" s="18" t="s">
        <v>1864</v>
      </c>
      <c r="H209" s="18">
        <v>2</v>
      </c>
      <c r="I209" s="18" t="s">
        <v>1884</v>
      </c>
      <c r="J209" s="89">
        <v>2</v>
      </c>
      <c r="K209" s="182">
        <f t="shared" si="74"/>
        <v>7.2857142857142856</v>
      </c>
      <c r="L209" s="182">
        <f t="shared" si="75"/>
        <v>87.428571428571431</v>
      </c>
      <c r="M209" s="182">
        <f t="shared" si="76"/>
        <v>1.6235294117647059</v>
      </c>
      <c r="N209" s="182">
        <f t="shared" si="77"/>
        <v>3.2470588235294118</v>
      </c>
      <c r="O209" s="182">
        <f t="shared" si="78"/>
        <v>2.1176470588235294</v>
      </c>
      <c r="P209" s="182">
        <f t="shared" si="79"/>
        <v>4.2352941176470589</v>
      </c>
      <c r="Q209" s="182">
        <f t="shared" si="80"/>
        <v>0.94117647058823539</v>
      </c>
      <c r="R209" s="182">
        <f t="shared" si="88"/>
        <v>1.8823529411764708</v>
      </c>
      <c r="S209" s="108">
        <f>B209*0.5</f>
        <v>15</v>
      </c>
      <c r="T209" s="183">
        <f t="shared" si="81"/>
        <v>111.79327731092437</v>
      </c>
      <c r="U209" s="183">
        <f t="shared" si="82"/>
        <v>117.3829411764706</v>
      </c>
      <c r="V209" s="36">
        <f t="shared" si="83"/>
        <v>3.9127647058823531</v>
      </c>
      <c r="W209" s="36">
        <f t="shared" si="84"/>
        <v>0.6</v>
      </c>
      <c r="X209" s="63">
        <f t="shared" si="86"/>
        <v>4.3</v>
      </c>
    </row>
    <row r="210" spans="1:24" ht="15">
      <c r="A210" s="89" t="s">
        <v>1737</v>
      </c>
      <c r="B210" s="89">
        <v>30</v>
      </c>
      <c r="C210" s="89" t="s">
        <v>274</v>
      </c>
      <c r="D210" s="89">
        <v>18</v>
      </c>
      <c r="E210" s="30"/>
      <c r="F210" s="89"/>
      <c r="G210" s="89"/>
      <c r="H210" s="89"/>
      <c r="I210" s="89"/>
      <c r="J210" s="89"/>
      <c r="K210" s="182">
        <f t="shared" si="74"/>
        <v>5</v>
      </c>
      <c r="L210" s="182">
        <f t="shared" si="75"/>
        <v>90</v>
      </c>
      <c r="M210" s="182" t="str">
        <f t="shared" si="76"/>
        <v/>
      </c>
      <c r="N210" s="182" t="str">
        <f t="shared" si="77"/>
        <v/>
      </c>
      <c r="O210" s="178" t="str">
        <f t="shared" si="78"/>
        <v/>
      </c>
      <c r="P210" s="182" t="str">
        <f t="shared" si="79"/>
        <v/>
      </c>
      <c r="Q210" s="182" t="str">
        <f t="shared" si="80"/>
        <v/>
      </c>
      <c r="R210" s="182" t="str">
        <f t="shared" si="88"/>
        <v/>
      </c>
      <c r="S210" s="108">
        <f>B210*0.4</f>
        <v>12</v>
      </c>
      <c r="T210" s="179">
        <f t="shared" si="81"/>
        <v>102</v>
      </c>
      <c r="U210" s="183">
        <f t="shared" si="82"/>
        <v>107.10000000000001</v>
      </c>
      <c r="V210" s="36">
        <f t="shared" si="83"/>
        <v>3.5700000000000003</v>
      </c>
      <c r="W210" s="36">
        <f t="shared" si="84"/>
        <v>0.6</v>
      </c>
      <c r="X210" s="63">
        <f t="shared" si="86"/>
        <v>3.9</v>
      </c>
    </row>
    <row r="211" spans="1:24">
      <c r="A211" s="89" t="s">
        <v>1738</v>
      </c>
      <c r="B211" s="89">
        <v>30</v>
      </c>
      <c r="C211" s="18" t="s">
        <v>193</v>
      </c>
      <c r="D211" s="89">
        <v>3</v>
      </c>
      <c r="E211" s="46" t="s">
        <v>1878</v>
      </c>
      <c r="F211" s="89">
        <v>15</v>
      </c>
      <c r="G211" s="89"/>
      <c r="H211" s="89"/>
      <c r="I211" s="89"/>
      <c r="J211" s="89"/>
      <c r="K211" s="182">
        <f t="shared" si="74"/>
        <v>14.000000000000002</v>
      </c>
      <c r="L211" s="182">
        <f t="shared" si="75"/>
        <v>42.000000000000007</v>
      </c>
      <c r="M211" s="182">
        <f t="shared" si="76"/>
        <v>1.0588235294117647</v>
      </c>
      <c r="N211" s="182">
        <f t="shared" si="77"/>
        <v>15.882352941176471</v>
      </c>
      <c r="O211" s="178" t="str">
        <f t="shared" si="78"/>
        <v/>
      </c>
      <c r="P211" s="182" t="str">
        <f t="shared" si="79"/>
        <v/>
      </c>
      <c r="Q211" s="182" t="str">
        <f t="shared" si="80"/>
        <v/>
      </c>
      <c r="R211" s="182" t="str">
        <f t="shared" si="88"/>
        <v/>
      </c>
      <c r="S211" s="108">
        <f t="shared" si="90"/>
        <v>3</v>
      </c>
      <c r="T211" s="179">
        <f t="shared" si="81"/>
        <v>60.882352941176478</v>
      </c>
      <c r="U211" s="183">
        <f t="shared" si="82"/>
        <v>63.926470588235304</v>
      </c>
      <c r="V211" s="36">
        <f t="shared" si="83"/>
        <v>2.1308823529411769</v>
      </c>
      <c r="W211" s="36">
        <f t="shared" si="84"/>
        <v>0.6</v>
      </c>
      <c r="X211" s="63">
        <f t="shared" si="86"/>
        <v>2.2999999999999998</v>
      </c>
    </row>
    <row r="212" spans="1:24">
      <c r="A212" s="89" t="s">
        <v>1739</v>
      </c>
      <c r="B212" s="89">
        <v>30</v>
      </c>
      <c r="C212" s="18" t="s">
        <v>193</v>
      </c>
      <c r="D212" s="89">
        <v>9</v>
      </c>
      <c r="E212" s="46" t="s">
        <v>1858</v>
      </c>
      <c r="F212" s="89">
        <v>3</v>
      </c>
      <c r="G212" s="18" t="s">
        <v>1884</v>
      </c>
      <c r="H212" s="89">
        <v>6</v>
      </c>
      <c r="I212" s="18" t="s">
        <v>1885</v>
      </c>
      <c r="J212" s="89">
        <v>2</v>
      </c>
      <c r="K212" s="182">
        <f t="shared" si="74"/>
        <v>14.000000000000002</v>
      </c>
      <c r="L212" s="182">
        <f t="shared" si="75"/>
        <v>126.00000000000001</v>
      </c>
      <c r="M212" s="182">
        <f t="shared" si="76"/>
        <v>1.6470588235294117</v>
      </c>
      <c r="N212" s="182">
        <f t="shared" si="77"/>
        <v>4.9411764705882355</v>
      </c>
      <c r="O212" s="178">
        <f t="shared" si="78"/>
        <v>0.94117647058823539</v>
      </c>
      <c r="P212" s="182">
        <f t="shared" si="79"/>
        <v>5.6470588235294121</v>
      </c>
      <c r="Q212" s="182">
        <f t="shared" si="80"/>
        <v>2.1176470588235294</v>
      </c>
      <c r="R212" s="182">
        <f t="shared" si="88"/>
        <v>4.2352941176470589</v>
      </c>
      <c r="S212" s="108">
        <f>B212*0.5</f>
        <v>15</v>
      </c>
      <c r="T212" s="179">
        <f t="shared" si="81"/>
        <v>155.82352941176475</v>
      </c>
      <c r="U212" s="183">
        <f t="shared" si="82"/>
        <v>163.61470588235301</v>
      </c>
      <c r="V212" s="36">
        <f t="shared" si="83"/>
        <v>5.4538235294117667</v>
      </c>
      <c r="W212" s="36">
        <f t="shared" si="84"/>
        <v>0.66666666666666674</v>
      </c>
      <c r="X212" s="63">
        <f t="shared" si="86"/>
        <v>6</v>
      </c>
    </row>
    <row r="213" spans="1:24">
      <c r="A213" s="89" t="s">
        <v>1740</v>
      </c>
      <c r="B213" s="89">
        <v>30</v>
      </c>
      <c r="C213" s="18" t="s">
        <v>1886</v>
      </c>
      <c r="D213" s="89">
        <v>16</v>
      </c>
      <c r="E213" s="46" t="s">
        <v>1877</v>
      </c>
      <c r="F213" s="89">
        <v>3</v>
      </c>
      <c r="G213" s="89"/>
      <c r="H213" s="89"/>
      <c r="I213" s="89"/>
      <c r="J213" s="89"/>
      <c r="K213" s="182">
        <f t="shared" si="74"/>
        <v>2.882352941176471</v>
      </c>
      <c r="L213" s="182">
        <f t="shared" si="75"/>
        <v>46.117647058823536</v>
      </c>
      <c r="M213" s="182">
        <f t="shared" si="76"/>
        <v>13</v>
      </c>
      <c r="N213" s="182">
        <f t="shared" si="77"/>
        <v>39</v>
      </c>
      <c r="O213" s="182" t="str">
        <f t="shared" si="78"/>
        <v/>
      </c>
      <c r="P213" s="182" t="str">
        <f t="shared" si="79"/>
        <v/>
      </c>
      <c r="Q213" s="182" t="str">
        <f t="shared" si="80"/>
        <v/>
      </c>
      <c r="R213" s="182" t="str">
        <f t="shared" si="88"/>
        <v/>
      </c>
      <c r="S213" s="108">
        <f t="shared" si="90"/>
        <v>3</v>
      </c>
      <c r="T213" s="179">
        <f t="shared" si="81"/>
        <v>88.117647058823536</v>
      </c>
      <c r="U213" s="183">
        <f t="shared" si="82"/>
        <v>92.523529411764713</v>
      </c>
      <c r="V213" s="36">
        <f t="shared" si="83"/>
        <v>3.0841176470588239</v>
      </c>
      <c r="W213" s="36">
        <f t="shared" si="84"/>
        <v>0.6333333333333333</v>
      </c>
      <c r="X213" s="63">
        <f t="shared" si="86"/>
        <v>3.4</v>
      </c>
    </row>
    <row r="214" spans="1:24" ht="15">
      <c r="A214" s="89" t="s">
        <v>1741</v>
      </c>
      <c r="B214" s="89">
        <v>30</v>
      </c>
      <c r="C214" s="18" t="s">
        <v>1887</v>
      </c>
      <c r="D214" s="89">
        <v>20</v>
      </c>
      <c r="E214" s="30"/>
      <c r="F214" s="89"/>
      <c r="G214" s="89"/>
      <c r="H214" s="89"/>
      <c r="I214" s="89"/>
      <c r="J214" s="89"/>
      <c r="K214" s="182">
        <f t="shared" si="74"/>
        <v>2.2941176470588234</v>
      </c>
      <c r="L214" s="182">
        <f t="shared" si="75"/>
        <v>45.882352941176464</v>
      </c>
      <c r="M214" s="182" t="str">
        <f t="shared" si="76"/>
        <v/>
      </c>
      <c r="N214" s="182" t="str">
        <f t="shared" si="77"/>
        <v/>
      </c>
      <c r="O214" s="182" t="str">
        <f t="shared" si="78"/>
        <v/>
      </c>
      <c r="P214" s="182" t="str">
        <f t="shared" si="79"/>
        <v/>
      </c>
      <c r="Q214" s="182" t="str">
        <f t="shared" si="80"/>
        <v/>
      </c>
      <c r="R214" s="182" t="str">
        <f t="shared" si="88"/>
        <v/>
      </c>
      <c r="S214" s="108">
        <f t="shared" si="90"/>
        <v>3</v>
      </c>
      <c r="T214" s="179">
        <f t="shared" si="81"/>
        <v>48.882352941176464</v>
      </c>
      <c r="U214" s="183">
        <f t="shared" si="82"/>
        <v>51.326470588235289</v>
      </c>
      <c r="V214" s="36">
        <f t="shared" si="83"/>
        <v>1.7108823529411763</v>
      </c>
      <c r="W214" s="36">
        <f t="shared" si="84"/>
        <v>0.66666666666666663</v>
      </c>
      <c r="X214" s="63">
        <f t="shared" si="86"/>
        <v>1.9</v>
      </c>
    </row>
    <row r="215" spans="1:24">
      <c r="A215" s="89" t="s">
        <v>1742</v>
      </c>
      <c r="B215" s="89">
        <v>30</v>
      </c>
      <c r="C215" s="18" t="s">
        <v>193</v>
      </c>
      <c r="D215" s="89">
        <v>11</v>
      </c>
      <c r="E215" s="46" t="s">
        <v>2792</v>
      </c>
      <c r="F215" s="89">
        <v>4</v>
      </c>
      <c r="G215" s="18" t="s">
        <v>1888</v>
      </c>
      <c r="H215" s="89">
        <v>4</v>
      </c>
      <c r="I215" s="18" t="s">
        <v>1858</v>
      </c>
      <c r="J215" s="89">
        <v>4</v>
      </c>
      <c r="K215" s="182">
        <f t="shared" si="74"/>
        <v>14.000000000000002</v>
      </c>
      <c r="L215" s="182">
        <f t="shared" si="75"/>
        <v>154.00000000000003</v>
      </c>
      <c r="M215" s="182">
        <f t="shared" si="76"/>
        <v>1.6235294117647059</v>
      </c>
      <c r="N215" s="182">
        <f t="shared" si="77"/>
        <v>6.4941176470588236</v>
      </c>
      <c r="O215" s="182">
        <f t="shared" si="78"/>
        <v>1.1764705882352942</v>
      </c>
      <c r="P215" s="182">
        <f t="shared" si="79"/>
        <v>4.7058823529411766</v>
      </c>
      <c r="Q215" s="182">
        <f t="shared" si="80"/>
        <v>1.6470588235294117</v>
      </c>
      <c r="R215" s="182">
        <f t="shared" si="88"/>
        <v>6.5882352941176467</v>
      </c>
      <c r="S215" s="108">
        <f t="shared" si="90"/>
        <v>3</v>
      </c>
      <c r="T215" s="183">
        <f t="shared" si="81"/>
        <v>174.7882352941177</v>
      </c>
      <c r="U215" s="183">
        <f t="shared" si="82"/>
        <v>183.52764705882359</v>
      </c>
      <c r="V215" s="36">
        <f t="shared" si="83"/>
        <v>6.1175882352941198</v>
      </c>
      <c r="W215" s="36">
        <f t="shared" si="84"/>
        <v>0.76666666666666661</v>
      </c>
      <c r="X215" s="63">
        <f t="shared" si="86"/>
        <v>6.7</v>
      </c>
    </row>
    <row r="216" spans="1:24" ht="28.5">
      <c r="A216" s="89" t="s">
        <v>1743</v>
      </c>
      <c r="B216" s="89">
        <v>30</v>
      </c>
      <c r="C216" s="18" t="s">
        <v>272</v>
      </c>
      <c r="D216" s="89">
        <v>18</v>
      </c>
      <c r="E216" s="30"/>
      <c r="F216" s="89"/>
      <c r="G216" s="89"/>
      <c r="H216" s="89"/>
      <c r="I216" s="89"/>
      <c r="J216" s="89"/>
      <c r="K216" s="182">
        <f t="shared" si="74"/>
        <v>6.5714285714285712</v>
      </c>
      <c r="L216" s="182">
        <f t="shared" si="75"/>
        <v>118.28571428571428</v>
      </c>
      <c r="M216" s="184" t="str">
        <f t="shared" si="76"/>
        <v/>
      </c>
      <c r="N216" s="184" t="str">
        <f t="shared" si="77"/>
        <v/>
      </c>
      <c r="O216" s="184" t="str">
        <f t="shared" si="78"/>
        <v/>
      </c>
      <c r="P216" s="184" t="str">
        <f t="shared" si="79"/>
        <v/>
      </c>
      <c r="Q216" s="184" t="str">
        <f t="shared" si="80"/>
        <v/>
      </c>
      <c r="R216" s="184" t="str">
        <f t="shared" si="88"/>
        <v/>
      </c>
      <c r="S216" s="108">
        <f t="shared" si="90"/>
        <v>3</v>
      </c>
      <c r="T216" s="183">
        <f t="shared" si="81"/>
        <v>121.28571428571428</v>
      </c>
      <c r="U216" s="183">
        <f t="shared" si="82"/>
        <v>127.35</v>
      </c>
      <c r="V216" s="36">
        <f t="shared" si="83"/>
        <v>4.2450000000000001</v>
      </c>
      <c r="W216" s="36">
        <f t="shared" si="84"/>
        <v>0.6</v>
      </c>
      <c r="X216" s="63">
        <f t="shared" si="86"/>
        <v>4.7</v>
      </c>
    </row>
    <row r="217" spans="1:24">
      <c r="A217" s="89" t="s">
        <v>1992</v>
      </c>
      <c r="B217" s="89">
        <v>60</v>
      </c>
      <c r="C217" s="18" t="s">
        <v>2001</v>
      </c>
      <c r="D217" s="89">
        <v>24</v>
      </c>
      <c r="E217" s="46" t="s">
        <v>2002</v>
      </c>
      <c r="F217" s="89">
        <v>12</v>
      </c>
      <c r="G217" s="18" t="s">
        <v>2003</v>
      </c>
      <c r="H217" s="89">
        <v>3</v>
      </c>
      <c r="I217" s="89"/>
      <c r="J217" s="89"/>
      <c r="K217" s="184">
        <f t="shared" si="74"/>
        <v>9.4285714285714288</v>
      </c>
      <c r="L217" s="184">
        <f t="shared" si="75"/>
        <v>226.28571428571428</v>
      </c>
      <c r="M217" s="184">
        <f t="shared" si="76"/>
        <v>1.6470588235294117</v>
      </c>
      <c r="N217" s="184">
        <f t="shared" si="77"/>
        <v>19.764705882352942</v>
      </c>
      <c r="O217" s="184">
        <f t="shared" si="78"/>
        <v>8.3529411764705888</v>
      </c>
      <c r="P217" s="184">
        <f t="shared" si="79"/>
        <v>25.058823529411768</v>
      </c>
      <c r="Q217" s="184" t="str">
        <f t="shared" si="80"/>
        <v/>
      </c>
      <c r="R217" s="184" t="str">
        <f t="shared" si="88"/>
        <v/>
      </c>
      <c r="S217" s="108">
        <f t="shared" si="90"/>
        <v>6</v>
      </c>
      <c r="T217" s="185">
        <f t="shared" si="81"/>
        <v>277.10924369747897</v>
      </c>
      <c r="U217" s="185">
        <f t="shared" si="82"/>
        <v>290.96470588235292</v>
      </c>
      <c r="V217" s="36">
        <f t="shared" si="83"/>
        <v>4.8494117647058816</v>
      </c>
      <c r="W217" s="36">
        <f t="shared" si="84"/>
        <v>0.65000000000000013</v>
      </c>
      <c r="X217" s="63">
        <f t="shared" si="86"/>
        <v>5.3</v>
      </c>
    </row>
    <row r="218" spans="1:24">
      <c r="A218" s="18" t="s">
        <v>2018</v>
      </c>
      <c r="B218" s="89">
        <v>50</v>
      </c>
      <c r="C218" s="18" t="s">
        <v>2019</v>
      </c>
      <c r="D218" s="89">
        <v>19</v>
      </c>
      <c r="E218" s="46" t="s">
        <v>2020</v>
      </c>
      <c r="F218" s="89">
        <v>9</v>
      </c>
      <c r="G218" s="18" t="s">
        <v>2003</v>
      </c>
      <c r="H218" s="89">
        <v>2</v>
      </c>
      <c r="I218" s="89"/>
      <c r="J218" s="89"/>
      <c r="K218" s="184">
        <f t="shared" si="74"/>
        <v>14.142857142857144</v>
      </c>
      <c r="L218" s="184">
        <f t="shared" si="75"/>
        <v>268.71428571428572</v>
      </c>
      <c r="M218" s="184">
        <f t="shared" si="76"/>
        <v>2.5882352941176472</v>
      </c>
      <c r="N218" s="184">
        <f t="shared" si="77"/>
        <v>23.294117647058826</v>
      </c>
      <c r="O218" s="184">
        <f t="shared" si="78"/>
        <v>8.3529411764705888</v>
      </c>
      <c r="P218" s="184">
        <f t="shared" si="79"/>
        <v>16.705882352941178</v>
      </c>
      <c r="Q218" s="184" t="str">
        <f t="shared" si="80"/>
        <v/>
      </c>
      <c r="R218" s="184" t="str">
        <f t="shared" si="88"/>
        <v/>
      </c>
      <c r="S218" s="108">
        <f t="shared" si="90"/>
        <v>5</v>
      </c>
      <c r="T218" s="185">
        <f t="shared" si="81"/>
        <v>313.71428571428572</v>
      </c>
      <c r="U218" s="185">
        <f t="shared" si="82"/>
        <v>329.40000000000003</v>
      </c>
      <c r="V218" s="36">
        <f t="shared" si="83"/>
        <v>6.588000000000001</v>
      </c>
      <c r="W218" s="36">
        <f t="shared" si="84"/>
        <v>0.60000000000000009</v>
      </c>
      <c r="X218" s="63">
        <f t="shared" si="86"/>
        <v>7.2</v>
      </c>
    </row>
    <row r="219" spans="1:24" ht="15">
      <c r="A219" s="18" t="s">
        <v>2023</v>
      </c>
      <c r="B219" s="89">
        <v>50</v>
      </c>
      <c r="C219" s="18" t="s">
        <v>2024</v>
      </c>
      <c r="D219" s="89">
        <v>35</v>
      </c>
      <c r="E219" s="30"/>
      <c r="F219" s="89"/>
      <c r="G219" s="89"/>
      <c r="H219" s="89"/>
      <c r="I219" s="89"/>
      <c r="J219" s="89"/>
      <c r="K219" s="184">
        <f t="shared" si="74"/>
        <v>1.7647058823529411</v>
      </c>
      <c r="L219" s="184">
        <f t="shared" si="75"/>
        <v>61.764705882352942</v>
      </c>
      <c r="M219" s="184" t="str">
        <f t="shared" si="76"/>
        <v/>
      </c>
      <c r="N219" s="184" t="str">
        <f t="shared" si="77"/>
        <v/>
      </c>
      <c r="O219" s="184" t="str">
        <f t="shared" si="78"/>
        <v/>
      </c>
      <c r="P219" s="184" t="str">
        <f t="shared" si="79"/>
        <v/>
      </c>
      <c r="Q219" s="184" t="str">
        <f t="shared" si="80"/>
        <v/>
      </c>
      <c r="R219" s="184" t="str">
        <f t="shared" si="88"/>
        <v/>
      </c>
      <c r="S219" s="108">
        <f>B219*0.4</f>
        <v>20</v>
      </c>
      <c r="T219" s="185">
        <f t="shared" si="81"/>
        <v>81.764705882352942</v>
      </c>
      <c r="U219" s="185">
        <f t="shared" si="82"/>
        <v>85.852941176470594</v>
      </c>
      <c r="V219" s="36">
        <f t="shared" si="83"/>
        <v>1.717058823529412</v>
      </c>
      <c r="W219" s="36">
        <f t="shared" si="84"/>
        <v>0.7</v>
      </c>
      <c r="X219" s="63">
        <f t="shared" si="86"/>
        <v>1.9</v>
      </c>
    </row>
    <row r="220" spans="1:24" ht="15">
      <c r="A220" s="89" t="s">
        <v>1994</v>
      </c>
      <c r="B220" s="89">
        <v>60</v>
      </c>
      <c r="C220" s="18" t="s">
        <v>2009</v>
      </c>
      <c r="D220" s="89">
        <v>40</v>
      </c>
      <c r="E220" s="30"/>
      <c r="F220" s="89"/>
      <c r="G220" s="89"/>
      <c r="H220" s="89"/>
      <c r="I220" s="89"/>
      <c r="J220" s="89"/>
      <c r="K220" s="184">
        <f t="shared" si="74"/>
        <v>1.2941176470588236</v>
      </c>
      <c r="L220" s="184">
        <f t="shared" si="75"/>
        <v>51.764705882352942</v>
      </c>
      <c r="M220" s="184" t="str">
        <f t="shared" si="76"/>
        <v/>
      </c>
      <c r="N220" s="184" t="str">
        <f t="shared" si="77"/>
        <v/>
      </c>
      <c r="O220" s="184" t="str">
        <f t="shared" si="78"/>
        <v/>
      </c>
      <c r="P220" s="184" t="str">
        <f t="shared" si="79"/>
        <v/>
      </c>
      <c r="Q220" s="184" t="str">
        <f t="shared" si="80"/>
        <v/>
      </c>
      <c r="R220" s="184" t="str">
        <f t="shared" si="88"/>
        <v/>
      </c>
      <c r="S220" s="108">
        <f t="shared" si="90"/>
        <v>6</v>
      </c>
      <c r="T220" s="185">
        <f t="shared" si="81"/>
        <v>57.764705882352942</v>
      </c>
      <c r="U220" s="185">
        <f t="shared" si="82"/>
        <v>60.652941176470591</v>
      </c>
      <c r="V220" s="36">
        <f t="shared" si="83"/>
        <v>1.0108823529411766</v>
      </c>
      <c r="W220" s="36">
        <f t="shared" si="84"/>
        <v>0.66666666666666663</v>
      </c>
      <c r="X220" s="63">
        <f t="shared" si="86"/>
        <v>1.1000000000000001</v>
      </c>
    </row>
    <row r="221" spans="1:24">
      <c r="A221" s="89" t="s">
        <v>1998</v>
      </c>
      <c r="B221" s="89">
        <v>70</v>
      </c>
      <c r="C221" s="18" t="s">
        <v>2021</v>
      </c>
      <c r="D221" s="89">
        <v>35</v>
      </c>
      <c r="E221" s="46" t="s">
        <v>2022</v>
      </c>
      <c r="F221" s="89">
        <v>5</v>
      </c>
      <c r="G221" s="89"/>
      <c r="H221" s="89"/>
      <c r="I221" s="89"/>
      <c r="J221" s="89"/>
      <c r="K221" s="184">
        <f t="shared" si="74"/>
        <v>1.2941176470588236</v>
      </c>
      <c r="L221" s="184">
        <f t="shared" si="75"/>
        <v>45.294117647058826</v>
      </c>
      <c r="M221" s="184">
        <f t="shared" si="76"/>
        <v>13</v>
      </c>
      <c r="N221" s="184">
        <f t="shared" si="77"/>
        <v>65</v>
      </c>
      <c r="O221" s="184" t="str">
        <f t="shared" si="78"/>
        <v/>
      </c>
      <c r="P221" s="184" t="str">
        <f t="shared" si="79"/>
        <v/>
      </c>
      <c r="Q221" s="184" t="str">
        <f t="shared" si="80"/>
        <v/>
      </c>
      <c r="R221" s="184" t="str">
        <f t="shared" si="88"/>
        <v/>
      </c>
      <c r="S221" s="108">
        <f>B221*0.4</f>
        <v>28</v>
      </c>
      <c r="T221" s="185">
        <f t="shared" si="81"/>
        <v>138.29411764705884</v>
      </c>
      <c r="U221" s="185">
        <f t="shared" si="82"/>
        <v>145.2088235294118</v>
      </c>
      <c r="V221" s="36">
        <f t="shared" si="83"/>
        <v>2.0744117647058831</v>
      </c>
      <c r="W221" s="36">
        <f t="shared" si="84"/>
        <v>0.5714285714285714</v>
      </c>
      <c r="X221" s="63">
        <f t="shared" si="86"/>
        <v>2.2999999999999998</v>
      </c>
    </row>
    <row r="222" spans="1:24" ht="15">
      <c r="A222" s="89" t="s">
        <v>2029</v>
      </c>
      <c r="B222" s="89">
        <v>50</v>
      </c>
      <c r="C222" s="18" t="s">
        <v>2032</v>
      </c>
      <c r="D222" s="89">
        <v>30</v>
      </c>
      <c r="E222" s="30"/>
      <c r="F222" s="89"/>
      <c r="G222" s="89"/>
      <c r="H222" s="89"/>
      <c r="I222" s="89"/>
      <c r="J222" s="89"/>
      <c r="K222" s="184">
        <f t="shared" si="74"/>
        <v>7.2857142857142856</v>
      </c>
      <c r="L222" s="184">
        <f t="shared" si="75"/>
        <v>218.57142857142856</v>
      </c>
      <c r="M222" s="184" t="str">
        <f t="shared" si="76"/>
        <v/>
      </c>
      <c r="N222" s="184" t="str">
        <f t="shared" si="77"/>
        <v/>
      </c>
      <c r="O222" s="184" t="str">
        <f t="shared" si="78"/>
        <v/>
      </c>
      <c r="P222" s="184" t="str">
        <f t="shared" si="79"/>
        <v/>
      </c>
      <c r="Q222" s="184" t="str">
        <f t="shared" si="80"/>
        <v/>
      </c>
      <c r="R222" s="184" t="str">
        <f t="shared" si="88"/>
        <v/>
      </c>
      <c r="S222" s="108">
        <f t="shared" si="90"/>
        <v>5</v>
      </c>
      <c r="T222" s="185">
        <f t="shared" si="81"/>
        <v>223.57142857142856</v>
      </c>
      <c r="U222" s="185">
        <f t="shared" si="82"/>
        <v>234.75</v>
      </c>
      <c r="V222" s="36">
        <f t="shared" si="83"/>
        <v>4.6950000000000003</v>
      </c>
      <c r="W222" s="36">
        <f t="shared" si="84"/>
        <v>0.6</v>
      </c>
      <c r="X222" s="63">
        <f t="shared" si="86"/>
        <v>5.2</v>
      </c>
    </row>
    <row r="223" spans="1:24">
      <c r="A223" s="89" t="s">
        <v>2030</v>
      </c>
      <c r="B223" s="89">
        <v>50</v>
      </c>
      <c r="C223" s="18" t="s">
        <v>2033</v>
      </c>
      <c r="D223" s="89">
        <v>20</v>
      </c>
      <c r="E223" s="46" t="s">
        <v>2034</v>
      </c>
      <c r="F223" s="89">
        <v>15</v>
      </c>
      <c r="G223" s="89"/>
      <c r="H223" s="89"/>
      <c r="I223" s="89"/>
      <c r="J223" s="89"/>
      <c r="K223" s="184">
        <f t="shared" si="74"/>
        <v>14.428571428571429</v>
      </c>
      <c r="L223" s="184">
        <f t="shared" si="75"/>
        <v>288.57142857142856</v>
      </c>
      <c r="M223" s="184">
        <f t="shared" si="76"/>
        <v>3.2941176470588234</v>
      </c>
      <c r="N223" s="184">
        <f t="shared" si="77"/>
        <v>49.411764705882348</v>
      </c>
      <c r="O223" s="184" t="str">
        <f t="shared" si="78"/>
        <v/>
      </c>
      <c r="P223" s="184" t="str">
        <f t="shared" si="79"/>
        <v/>
      </c>
      <c r="Q223" s="184" t="str">
        <f t="shared" si="80"/>
        <v/>
      </c>
      <c r="R223" s="184" t="str">
        <f t="shared" si="88"/>
        <v/>
      </c>
      <c r="S223" s="108">
        <f t="shared" si="90"/>
        <v>5</v>
      </c>
      <c r="T223" s="185">
        <f t="shared" si="81"/>
        <v>342.98319327731087</v>
      </c>
      <c r="U223" s="185">
        <f t="shared" si="82"/>
        <v>360.13235294117641</v>
      </c>
      <c r="V223" s="36">
        <f t="shared" si="83"/>
        <v>7.2026470588235281</v>
      </c>
      <c r="W223" s="36">
        <f t="shared" si="84"/>
        <v>0.7</v>
      </c>
      <c r="X223" s="63">
        <f t="shared" si="86"/>
        <v>7.9</v>
      </c>
    </row>
    <row r="224" spans="1:24" ht="28.5">
      <c r="A224" s="89" t="s">
        <v>2031</v>
      </c>
      <c r="B224" s="89">
        <v>50</v>
      </c>
      <c r="C224" s="18" t="s">
        <v>357</v>
      </c>
      <c r="D224" s="89">
        <v>2</v>
      </c>
      <c r="E224" s="46" t="s">
        <v>2035</v>
      </c>
      <c r="F224" s="89">
        <v>35</v>
      </c>
      <c r="G224" s="89"/>
      <c r="H224" s="89"/>
      <c r="I224" s="89"/>
      <c r="J224" s="89"/>
      <c r="K224" s="184">
        <f t="shared" si="74"/>
        <v>8.5714285714285712</v>
      </c>
      <c r="L224" s="184">
        <f t="shared" si="75"/>
        <v>17.142857142857142</v>
      </c>
      <c r="M224" s="184">
        <f t="shared" si="76"/>
        <v>1.5294117647058825</v>
      </c>
      <c r="N224" s="184">
        <f t="shared" si="77"/>
        <v>53.529411764705884</v>
      </c>
      <c r="O224" s="184" t="str">
        <f t="shared" si="78"/>
        <v/>
      </c>
      <c r="P224" s="184" t="str">
        <f t="shared" si="79"/>
        <v/>
      </c>
      <c r="Q224" s="184" t="str">
        <f t="shared" si="80"/>
        <v/>
      </c>
      <c r="R224" s="184" t="str">
        <f t="shared" si="88"/>
        <v/>
      </c>
      <c r="S224" s="108">
        <f t="shared" si="90"/>
        <v>5</v>
      </c>
      <c r="T224" s="185">
        <f t="shared" si="81"/>
        <v>75.672268907563023</v>
      </c>
      <c r="U224" s="185">
        <f t="shared" si="82"/>
        <v>79.455882352941174</v>
      </c>
      <c r="V224" s="36">
        <f t="shared" si="83"/>
        <v>1.5891176470588235</v>
      </c>
      <c r="W224" s="36">
        <f t="shared" si="84"/>
        <v>0.74</v>
      </c>
      <c r="X224" s="63">
        <f t="shared" si="86"/>
        <v>1.7</v>
      </c>
    </row>
    <row r="225" spans="1:24">
      <c r="A225" s="89" t="s">
        <v>2040</v>
      </c>
      <c r="B225" s="89">
        <v>50</v>
      </c>
      <c r="C225" s="18" t="s">
        <v>193</v>
      </c>
      <c r="D225" s="89">
        <v>5</v>
      </c>
      <c r="E225" s="46" t="s">
        <v>2792</v>
      </c>
      <c r="F225" s="89">
        <v>30</v>
      </c>
      <c r="G225" s="89"/>
      <c r="H225" s="89"/>
      <c r="I225" s="89"/>
      <c r="J225" s="89"/>
      <c r="K225" s="184">
        <f t="shared" si="74"/>
        <v>14.000000000000002</v>
      </c>
      <c r="L225" s="184">
        <f t="shared" si="75"/>
        <v>70.000000000000014</v>
      </c>
      <c r="M225" s="184">
        <f t="shared" si="76"/>
        <v>1.6235294117647059</v>
      </c>
      <c r="N225" s="184">
        <f t="shared" si="77"/>
        <v>48.705882352941174</v>
      </c>
      <c r="O225" s="184" t="str">
        <f t="shared" si="78"/>
        <v/>
      </c>
      <c r="P225" s="184" t="str">
        <f t="shared" si="79"/>
        <v/>
      </c>
      <c r="Q225" s="184" t="str">
        <f t="shared" si="80"/>
        <v/>
      </c>
      <c r="R225" s="184" t="str">
        <f t="shared" si="88"/>
        <v/>
      </c>
      <c r="S225" s="108">
        <f t="shared" si="90"/>
        <v>5</v>
      </c>
      <c r="T225" s="185">
        <f t="shared" si="81"/>
        <v>123.70588235294119</v>
      </c>
      <c r="U225" s="185">
        <f t="shared" si="82"/>
        <v>129.89117647058825</v>
      </c>
      <c r="V225" s="36">
        <f t="shared" si="83"/>
        <v>2.5978235294117651</v>
      </c>
      <c r="W225" s="36">
        <f t="shared" si="84"/>
        <v>0.7</v>
      </c>
      <c r="X225" s="63">
        <f t="shared" si="86"/>
        <v>2.9</v>
      </c>
    </row>
    <row r="226" spans="1:24">
      <c r="A226" s="89" t="s">
        <v>2041</v>
      </c>
      <c r="B226" s="89">
        <v>50</v>
      </c>
      <c r="C226" s="18" t="s">
        <v>2055</v>
      </c>
      <c r="D226" s="89">
        <v>10</v>
      </c>
      <c r="E226" s="46" t="s">
        <v>2056</v>
      </c>
      <c r="F226" s="89">
        <v>15</v>
      </c>
      <c r="G226" s="89"/>
      <c r="H226" s="89"/>
      <c r="I226" s="89"/>
      <c r="J226" s="89"/>
      <c r="K226" s="184">
        <f t="shared" si="74"/>
        <v>10.857142857142858</v>
      </c>
      <c r="L226" s="184">
        <f t="shared" si="75"/>
        <v>108.57142857142858</v>
      </c>
      <c r="M226" s="184">
        <f t="shared" si="76"/>
        <v>1.1176470588235294</v>
      </c>
      <c r="N226" s="184">
        <f t="shared" si="77"/>
        <v>16.764705882352942</v>
      </c>
      <c r="O226" s="184" t="str">
        <f t="shared" si="78"/>
        <v/>
      </c>
      <c r="P226" s="184" t="str">
        <f t="shared" si="79"/>
        <v/>
      </c>
      <c r="Q226" s="184" t="str">
        <f t="shared" si="80"/>
        <v/>
      </c>
      <c r="R226" s="184" t="str">
        <f t="shared" si="88"/>
        <v/>
      </c>
      <c r="S226" s="108">
        <f t="shared" si="90"/>
        <v>5</v>
      </c>
      <c r="T226" s="185">
        <f t="shared" si="81"/>
        <v>130.33613445378154</v>
      </c>
      <c r="U226" s="185">
        <f t="shared" si="82"/>
        <v>136.85294117647064</v>
      </c>
      <c r="V226" s="36">
        <f t="shared" si="83"/>
        <v>2.7370588235294129</v>
      </c>
      <c r="W226" s="36">
        <f t="shared" si="84"/>
        <v>0.5</v>
      </c>
      <c r="X226" s="63">
        <f t="shared" si="86"/>
        <v>3</v>
      </c>
    </row>
    <row r="227" spans="1:24">
      <c r="A227" s="89" t="s">
        <v>2057</v>
      </c>
      <c r="B227" s="89">
        <v>60</v>
      </c>
      <c r="C227" s="18" t="s">
        <v>5</v>
      </c>
      <c r="D227" s="89">
        <v>14</v>
      </c>
      <c r="E227" s="46" t="s">
        <v>2058</v>
      </c>
      <c r="F227" s="89">
        <v>14</v>
      </c>
      <c r="G227" s="18" t="s">
        <v>2002</v>
      </c>
      <c r="H227" s="89">
        <v>7</v>
      </c>
      <c r="I227" s="18" t="s">
        <v>2003</v>
      </c>
      <c r="J227" s="89">
        <v>1</v>
      </c>
      <c r="K227" s="184">
        <f t="shared" si="74"/>
        <v>33.000000000000007</v>
      </c>
      <c r="L227" s="184">
        <f t="shared" si="75"/>
        <v>462.00000000000011</v>
      </c>
      <c r="M227" s="184">
        <f t="shared" si="76"/>
        <v>0.94117647058823539</v>
      </c>
      <c r="N227" s="184">
        <f t="shared" si="77"/>
        <v>13.176470588235295</v>
      </c>
      <c r="O227" s="184">
        <f t="shared" si="78"/>
        <v>1.6470588235294117</v>
      </c>
      <c r="P227" s="184">
        <f t="shared" si="79"/>
        <v>11.529411764705882</v>
      </c>
      <c r="Q227" s="184">
        <f t="shared" si="80"/>
        <v>8.3529411764705888</v>
      </c>
      <c r="R227" s="184">
        <f t="shared" si="88"/>
        <v>8.3529411764705888</v>
      </c>
      <c r="S227" s="108">
        <f t="shared" si="90"/>
        <v>6</v>
      </c>
      <c r="T227" s="185">
        <f t="shared" si="81"/>
        <v>501.05882352941188</v>
      </c>
      <c r="U227" s="185">
        <f t="shared" si="82"/>
        <v>526.11176470588248</v>
      </c>
      <c r="V227" s="36">
        <f t="shared" si="83"/>
        <v>8.7685294117647086</v>
      </c>
      <c r="W227" s="36">
        <f t="shared" si="84"/>
        <v>0.60000000000000009</v>
      </c>
      <c r="X227" s="63">
        <f t="shared" si="86"/>
        <v>9.6</v>
      </c>
    </row>
    <row r="228" spans="1:24">
      <c r="A228" s="89" t="s">
        <v>2098</v>
      </c>
      <c r="B228" s="89">
        <v>50</v>
      </c>
      <c r="C228" s="18" t="s">
        <v>87</v>
      </c>
      <c r="D228" s="89">
        <v>20</v>
      </c>
      <c r="E228" s="46" t="s">
        <v>895</v>
      </c>
      <c r="F228" s="89">
        <v>10</v>
      </c>
      <c r="G228" s="18" t="s">
        <v>699</v>
      </c>
      <c r="H228" s="89">
        <v>5</v>
      </c>
      <c r="I228" s="89"/>
      <c r="J228" s="89"/>
      <c r="K228" s="184">
        <f t="shared" si="74"/>
        <v>11.285714285714286</v>
      </c>
      <c r="L228" s="184">
        <f t="shared" si="75"/>
        <v>225.71428571428572</v>
      </c>
      <c r="M228" s="184">
        <f t="shared" si="76"/>
        <v>0.94117647058823539</v>
      </c>
      <c r="N228" s="184">
        <f t="shared" si="77"/>
        <v>9.4117647058823533</v>
      </c>
      <c r="O228" s="184">
        <f t="shared" si="78"/>
        <v>1.6470588235294117</v>
      </c>
      <c r="P228" s="184">
        <f t="shared" si="79"/>
        <v>8.235294117647058</v>
      </c>
      <c r="Q228" s="184" t="str">
        <f t="shared" si="80"/>
        <v/>
      </c>
      <c r="R228" s="184" t="str">
        <f t="shared" si="88"/>
        <v/>
      </c>
      <c r="S228" s="108">
        <f t="shared" si="90"/>
        <v>5</v>
      </c>
      <c r="T228" s="185">
        <f t="shared" si="81"/>
        <v>248.36134453781511</v>
      </c>
      <c r="U228" s="185">
        <f t="shared" si="82"/>
        <v>260.77941176470586</v>
      </c>
      <c r="V228" s="36">
        <f t="shared" si="83"/>
        <v>5.215588235294117</v>
      </c>
      <c r="W228" s="36">
        <f t="shared" si="84"/>
        <v>0.70000000000000007</v>
      </c>
      <c r="X228" s="63">
        <f t="shared" si="86"/>
        <v>5.7</v>
      </c>
    </row>
    <row r="229" spans="1:24">
      <c r="A229" s="89" t="s">
        <v>2099</v>
      </c>
      <c r="B229" s="89">
        <v>50</v>
      </c>
      <c r="C229" s="18" t="s">
        <v>2100</v>
      </c>
      <c r="D229" s="89">
        <v>10</v>
      </c>
      <c r="E229" s="46" t="s">
        <v>2149</v>
      </c>
      <c r="F229" s="89">
        <v>20</v>
      </c>
      <c r="G229" s="89"/>
      <c r="H229" s="89"/>
      <c r="I229" s="89"/>
      <c r="J229" s="89"/>
      <c r="K229" s="184">
        <f t="shared" si="74"/>
        <v>13</v>
      </c>
      <c r="L229" s="184">
        <f t="shared" si="75"/>
        <v>130</v>
      </c>
      <c r="M229" s="184">
        <f t="shared" si="76"/>
        <v>3.4666666666666668</v>
      </c>
      <c r="N229" s="184">
        <f t="shared" si="77"/>
        <v>69.333333333333343</v>
      </c>
      <c r="O229" s="184" t="str">
        <f t="shared" si="78"/>
        <v/>
      </c>
      <c r="P229" s="184" t="str">
        <f t="shared" si="79"/>
        <v/>
      </c>
      <c r="Q229" s="184" t="str">
        <f t="shared" si="80"/>
        <v/>
      </c>
      <c r="R229" s="184" t="str">
        <f t="shared" si="88"/>
        <v/>
      </c>
      <c r="S229" s="108">
        <f t="shared" si="90"/>
        <v>5</v>
      </c>
      <c r="T229" s="185">
        <f t="shared" si="81"/>
        <v>204.33333333333334</v>
      </c>
      <c r="U229" s="185">
        <f t="shared" si="82"/>
        <v>214.55</v>
      </c>
      <c r="V229" s="36">
        <f t="shared" si="83"/>
        <v>4.2910000000000004</v>
      </c>
      <c r="W229" s="36">
        <f t="shared" si="84"/>
        <v>0.60000000000000009</v>
      </c>
      <c r="X229" s="63">
        <f t="shared" si="86"/>
        <v>4.7</v>
      </c>
    </row>
    <row r="230" spans="1:24" ht="15">
      <c r="A230" s="89" t="s">
        <v>2101</v>
      </c>
      <c r="B230" s="89">
        <v>60</v>
      </c>
      <c r="C230" s="18" t="s">
        <v>2102</v>
      </c>
      <c r="D230" s="89">
        <v>24</v>
      </c>
      <c r="E230" s="30" t="s">
        <v>2103</v>
      </c>
      <c r="F230" s="89">
        <v>0.3</v>
      </c>
      <c r="G230" s="18" t="s">
        <v>2104</v>
      </c>
      <c r="H230" s="89">
        <v>4</v>
      </c>
      <c r="I230" s="18" t="s">
        <v>2105</v>
      </c>
      <c r="J230" s="89">
        <v>4</v>
      </c>
      <c r="K230" s="184">
        <f t="shared" si="74"/>
        <v>10.857142857142858</v>
      </c>
      <c r="L230" s="184">
        <f t="shared" si="75"/>
        <v>260.57142857142856</v>
      </c>
      <c r="M230" s="184">
        <f t="shared" si="76"/>
        <v>61.428571428571431</v>
      </c>
      <c r="N230" s="184">
        <f t="shared" si="77"/>
        <v>18.428571428571427</v>
      </c>
      <c r="O230" s="184">
        <f t="shared" si="78"/>
        <v>6.4285714285714288</v>
      </c>
      <c r="P230" s="184">
        <f t="shared" si="79"/>
        <v>25.714285714285715</v>
      </c>
      <c r="Q230" s="184">
        <f t="shared" si="80"/>
        <v>1.6470588235294117</v>
      </c>
      <c r="R230" s="184">
        <f t="shared" si="88"/>
        <v>6.5882352941176467</v>
      </c>
      <c r="S230" s="108">
        <f t="shared" si="90"/>
        <v>6</v>
      </c>
      <c r="T230" s="185">
        <f t="shared" si="81"/>
        <v>317.30252100840335</v>
      </c>
      <c r="U230" s="185">
        <f t="shared" si="82"/>
        <v>333.16764705882355</v>
      </c>
      <c r="V230" s="36">
        <f t="shared" si="83"/>
        <v>5.5527941176470588</v>
      </c>
      <c r="W230" s="36">
        <f t="shared" si="84"/>
        <v>0.53833333333333333</v>
      </c>
      <c r="X230" s="63">
        <f t="shared" si="86"/>
        <v>6.1</v>
      </c>
    </row>
    <row r="231" spans="1:24">
      <c r="A231" s="89" t="s">
        <v>2106</v>
      </c>
      <c r="B231" s="89">
        <v>60</v>
      </c>
      <c r="C231" s="18" t="s">
        <v>2107</v>
      </c>
      <c r="D231" s="89">
        <v>24</v>
      </c>
      <c r="E231" s="46" t="s">
        <v>2108</v>
      </c>
      <c r="F231" s="89">
        <v>15</v>
      </c>
      <c r="G231" s="89"/>
      <c r="H231" s="89"/>
      <c r="I231" s="89"/>
      <c r="J231" s="89"/>
      <c r="K231" s="184">
        <f t="shared" si="74"/>
        <v>7.2857142857142856</v>
      </c>
      <c r="L231" s="184">
        <f t="shared" si="75"/>
        <v>174.85714285714286</v>
      </c>
      <c r="M231" s="184">
        <f t="shared" si="76"/>
        <v>6</v>
      </c>
      <c r="N231" s="184">
        <f t="shared" si="77"/>
        <v>90</v>
      </c>
      <c r="O231" s="184" t="str">
        <f t="shared" si="78"/>
        <v/>
      </c>
      <c r="P231" s="184" t="str">
        <f t="shared" si="79"/>
        <v/>
      </c>
      <c r="Q231" s="184" t="str">
        <f t="shared" si="80"/>
        <v/>
      </c>
      <c r="R231" s="184" t="str">
        <f t="shared" si="88"/>
        <v/>
      </c>
      <c r="S231" s="108">
        <f t="shared" si="90"/>
        <v>6</v>
      </c>
      <c r="T231" s="185">
        <f t="shared" si="81"/>
        <v>270.85714285714289</v>
      </c>
      <c r="U231" s="185">
        <f t="shared" si="82"/>
        <v>284.40000000000003</v>
      </c>
      <c r="V231" s="36">
        <f t="shared" si="83"/>
        <v>4.74</v>
      </c>
      <c r="W231" s="36">
        <f t="shared" si="84"/>
        <v>0.65</v>
      </c>
      <c r="X231" s="63">
        <f t="shared" si="86"/>
        <v>5.2</v>
      </c>
    </row>
    <row r="232" spans="1:24">
      <c r="A232" s="89" t="s">
        <v>2109</v>
      </c>
      <c r="B232" s="89">
        <v>60</v>
      </c>
      <c r="C232" s="18" t="s">
        <v>2100</v>
      </c>
      <c r="D232" s="89">
        <v>6</v>
      </c>
      <c r="E232" s="46" t="s">
        <v>1299</v>
      </c>
      <c r="F232" s="89">
        <v>4</v>
      </c>
      <c r="G232" s="18" t="s">
        <v>2110</v>
      </c>
      <c r="H232" s="89">
        <v>24</v>
      </c>
      <c r="I232" s="89"/>
      <c r="J232" s="89"/>
      <c r="K232" s="184">
        <f t="shared" si="74"/>
        <v>13</v>
      </c>
      <c r="L232" s="184">
        <f t="shared" si="75"/>
        <v>78</v>
      </c>
      <c r="M232" s="184">
        <f t="shared" si="76"/>
        <v>6.4285714285714288</v>
      </c>
      <c r="N232" s="184">
        <f t="shared" si="77"/>
        <v>25.714285714285715</v>
      </c>
      <c r="O232" s="184">
        <f t="shared" si="78"/>
        <v>0.94117647058823539</v>
      </c>
      <c r="P232" s="184">
        <f t="shared" si="79"/>
        <v>22.588235294117649</v>
      </c>
      <c r="Q232" s="184" t="str">
        <f t="shared" si="80"/>
        <v/>
      </c>
      <c r="R232" s="184" t="str">
        <f t="shared" si="88"/>
        <v/>
      </c>
      <c r="S232" s="108">
        <f t="shared" si="90"/>
        <v>6</v>
      </c>
      <c r="T232" s="185">
        <f t="shared" si="81"/>
        <v>132.30252100840337</v>
      </c>
      <c r="U232" s="185">
        <f t="shared" si="82"/>
        <v>138.91764705882355</v>
      </c>
      <c r="V232" s="36">
        <f t="shared" si="83"/>
        <v>2.3152941176470589</v>
      </c>
      <c r="W232" s="36">
        <f t="shared" si="84"/>
        <v>0.56666666666666665</v>
      </c>
      <c r="X232" s="63">
        <f t="shared" si="86"/>
        <v>2.5</v>
      </c>
    </row>
    <row r="233" spans="1:24" ht="15">
      <c r="A233" s="89" t="s">
        <v>1775</v>
      </c>
      <c r="B233" s="89">
        <v>60</v>
      </c>
      <c r="C233" s="18" t="s">
        <v>2111</v>
      </c>
      <c r="D233" s="89">
        <v>42</v>
      </c>
      <c r="E233" s="30"/>
      <c r="F233" s="89"/>
      <c r="G233" s="89"/>
      <c r="H233" s="89"/>
      <c r="I233" s="89"/>
      <c r="J233" s="89"/>
      <c r="K233" s="184">
        <f t="shared" si="74"/>
        <v>1.7647058823529411</v>
      </c>
      <c r="L233" s="184">
        <f t="shared" si="75"/>
        <v>74.117647058823522</v>
      </c>
      <c r="M233" s="184" t="str">
        <f t="shared" si="76"/>
        <v/>
      </c>
      <c r="N233" s="184" t="str">
        <f t="shared" si="77"/>
        <v/>
      </c>
      <c r="O233" s="184" t="str">
        <f t="shared" si="78"/>
        <v/>
      </c>
      <c r="P233" s="184" t="str">
        <f t="shared" si="79"/>
        <v/>
      </c>
      <c r="Q233" s="184" t="str">
        <f t="shared" si="80"/>
        <v/>
      </c>
      <c r="R233" s="184" t="str">
        <f t="shared" si="88"/>
        <v/>
      </c>
      <c r="S233" s="108">
        <f t="shared" si="90"/>
        <v>6</v>
      </c>
      <c r="T233" s="185">
        <f t="shared" si="81"/>
        <v>80.117647058823522</v>
      </c>
      <c r="U233" s="185">
        <f t="shared" si="82"/>
        <v>84.123529411764707</v>
      </c>
      <c r="V233" s="36">
        <f t="shared" si="83"/>
        <v>1.4020588235294118</v>
      </c>
      <c r="W233" s="36">
        <f t="shared" si="84"/>
        <v>0.7</v>
      </c>
      <c r="X233" s="63">
        <f t="shared" si="86"/>
        <v>1.5</v>
      </c>
    </row>
    <row r="234" spans="1:24" ht="15">
      <c r="A234" s="89" t="s">
        <v>2128</v>
      </c>
      <c r="B234" s="89">
        <v>60</v>
      </c>
      <c r="C234" s="18" t="s">
        <v>193</v>
      </c>
      <c r="D234" s="89">
        <v>24</v>
      </c>
      <c r="E234" s="30" t="s">
        <v>1300</v>
      </c>
      <c r="F234" s="89">
        <v>30</v>
      </c>
      <c r="G234" s="89"/>
      <c r="H234" s="89"/>
      <c r="I234" s="89"/>
      <c r="J234" s="89"/>
      <c r="K234" s="184">
        <f t="shared" si="74"/>
        <v>14.000000000000002</v>
      </c>
      <c r="L234" s="184">
        <f t="shared" si="75"/>
        <v>336.00000000000006</v>
      </c>
      <c r="M234" s="184">
        <f t="shared" si="76"/>
        <v>1.8571428571428574</v>
      </c>
      <c r="N234" s="184">
        <f t="shared" si="77"/>
        <v>55.714285714285722</v>
      </c>
      <c r="O234" s="184" t="str">
        <f t="shared" si="78"/>
        <v/>
      </c>
      <c r="P234" s="184" t="str">
        <f t="shared" si="79"/>
        <v/>
      </c>
      <c r="Q234" s="184" t="str">
        <f t="shared" si="80"/>
        <v/>
      </c>
      <c r="R234" s="184" t="str">
        <f t="shared" si="88"/>
        <v/>
      </c>
      <c r="S234" s="108">
        <f>B234*0.01</f>
        <v>0.6</v>
      </c>
      <c r="T234" s="185">
        <f t="shared" si="81"/>
        <v>392.3142857142858</v>
      </c>
      <c r="U234" s="185">
        <f t="shared" si="82"/>
        <v>411.93000000000012</v>
      </c>
      <c r="V234" s="36">
        <f t="shared" si="83"/>
        <v>6.8655000000000017</v>
      </c>
      <c r="W234" s="36">
        <f t="shared" si="84"/>
        <v>0.9</v>
      </c>
      <c r="X234" s="63">
        <f t="shared" si="86"/>
        <v>7.6</v>
      </c>
    </row>
    <row r="235" spans="1:24" ht="15">
      <c r="A235" s="89" t="s">
        <v>2129</v>
      </c>
      <c r="B235" s="89">
        <v>60</v>
      </c>
      <c r="C235" s="18" t="s">
        <v>126</v>
      </c>
      <c r="D235" s="89">
        <v>36</v>
      </c>
      <c r="E235" s="30"/>
      <c r="F235" s="89"/>
      <c r="G235" s="89"/>
      <c r="H235" s="89"/>
      <c r="I235" s="89"/>
      <c r="J235" s="89"/>
      <c r="K235" s="184">
        <f t="shared" si="74"/>
        <v>9.571428571428573</v>
      </c>
      <c r="L235" s="184">
        <f t="shared" si="75"/>
        <v>344.57142857142861</v>
      </c>
      <c r="M235" s="184" t="str">
        <f t="shared" si="76"/>
        <v/>
      </c>
      <c r="N235" s="184" t="str">
        <f t="shared" si="77"/>
        <v/>
      </c>
      <c r="O235" s="184" t="str">
        <f t="shared" si="78"/>
        <v/>
      </c>
      <c r="P235" s="184" t="str">
        <f t="shared" si="79"/>
        <v/>
      </c>
      <c r="Q235" s="184" t="str">
        <f t="shared" si="80"/>
        <v/>
      </c>
      <c r="R235" s="184" t="str">
        <f t="shared" si="88"/>
        <v/>
      </c>
      <c r="S235" s="108">
        <f t="shared" si="90"/>
        <v>6</v>
      </c>
      <c r="T235" s="185">
        <f t="shared" si="81"/>
        <v>350.57142857142861</v>
      </c>
      <c r="U235" s="185">
        <f t="shared" si="82"/>
        <v>368.10000000000008</v>
      </c>
      <c r="V235" s="36">
        <f t="shared" si="83"/>
        <v>6.1350000000000016</v>
      </c>
      <c r="W235" s="36">
        <f t="shared" si="84"/>
        <v>0.6</v>
      </c>
      <c r="X235" s="63">
        <f t="shared" si="86"/>
        <v>6.7</v>
      </c>
    </row>
    <row r="236" spans="1:24">
      <c r="A236" s="89" t="s">
        <v>2130</v>
      </c>
      <c r="B236" s="89">
        <v>60</v>
      </c>
      <c r="C236" s="18" t="s">
        <v>2132</v>
      </c>
      <c r="D236" s="89">
        <v>6</v>
      </c>
      <c r="E236" s="46" t="s">
        <v>2133</v>
      </c>
      <c r="F236" s="89">
        <v>24</v>
      </c>
      <c r="G236" s="18" t="s">
        <v>2332</v>
      </c>
      <c r="H236" s="89">
        <v>12</v>
      </c>
      <c r="I236" s="89"/>
      <c r="J236" s="89"/>
      <c r="K236" s="184">
        <f t="shared" si="74"/>
        <v>13</v>
      </c>
      <c r="L236" s="184">
        <f t="shared" si="75"/>
        <v>78</v>
      </c>
      <c r="M236" s="184">
        <f t="shared" si="76"/>
        <v>1</v>
      </c>
      <c r="N236" s="184">
        <f t="shared" si="77"/>
        <v>24</v>
      </c>
      <c r="O236" s="184">
        <f t="shared" si="78"/>
        <v>2.5333333333333332</v>
      </c>
      <c r="P236" s="184">
        <f t="shared" si="79"/>
        <v>30.4</v>
      </c>
      <c r="Q236" s="184" t="str">
        <f t="shared" si="80"/>
        <v/>
      </c>
      <c r="R236" s="184" t="str">
        <f t="shared" si="88"/>
        <v/>
      </c>
      <c r="S236" s="108">
        <f t="shared" si="90"/>
        <v>6</v>
      </c>
      <c r="T236" s="185">
        <f t="shared" si="81"/>
        <v>138.4</v>
      </c>
      <c r="U236" s="185">
        <f t="shared" si="82"/>
        <v>145.32000000000002</v>
      </c>
      <c r="V236" s="36">
        <f t="shared" si="83"/>
        <v>2.4220000000000002</v>
      </c>
      <c r="W236" s="36">
        <f t="shared" si="84"/>
        <v>0.7</v>
      </c>
      <c r="X236" s="63">
        <f t="shared" si="86"/>
        <v>2.7</v>
      </c>
    </row>
    <row r="237" spans="1:24" ht="15">
      <c r="A237" s="89" t="s">
        <v>1776</v>
      </c>
      <c r="B237" s="89">
        <v>60</v>
      </c>
      <c r="C237" s="18" t="s">
        <v>2134</v>
      </c>
      <c r="D237" s="89">
        <v>42</v>
      </c>
      <c r="E237" s="30"/>
      <c r="F237" s="89"/>
      <c r="G237" s="89"/>
      <c r="H237" s="89"/>
      <c r="I237" s="89"/>
      <c r="J237" s="89"/>
      <c r="K237" s="184">
        <f t="shared" si="74"/>
        <v>0.94117647058823539</v>
      </c>
      <c r="L237" s="184">
        <f t="shared" si="75"/>
        <v>39.529411764705884</v>
      </c>
      <c r="M237" s="184" t="str">
        <f t="shared" si="76"/>
        <v/>
      </c>
      <c r="N237" s="184" t="str">
        <f t="shared" si="77"/>
        <v/>
      </c>
      <c r="O237" s="184" t="str">
        <f t="shared" si="78"/>
        <v/>
      </c>
      <c r="P237" s="184" t="str">
        <f t="shared" si="79"/>
        <v/>
      </c>
      <c r="Q237" s="184" t="str">
        <f t="shared" si="80"/>
        <v/>
      </c>
      <c r="R237" s="184" t="str">
        <f t="shared" si="88"/>
        <v/>
      </c>
      <c r="S237" s="108">
        <f>B237*0.6</f>
        <v>36</v>
      </c>
      <c r="T237" s="185">
        <f t="shared" si="81"/>
        <v>75.529411764705884</v>
      </c>
      <c r="U237" s="185">
        <f t="shared" si="82"/>
        <v>79.305882352941182</v>
      </c>
      <c r="V237" s="36">
        <f t="shared" si="83"/>
        <v>1.321764705882353</v>
      </c>
      <c r="W237" s="36">
        <f t="shared" si="84"/>
        <v>0.7</v>
      </c>
      <c r="X237" s="63">
        <f t="shared" si="86"/>
        <v>1.5</v>
      </c>
    </row>
    <row r="238" spans="1:24" ht="15">
      <c r="A238" s="89" t="s">
        <v>2131</v>
      </c>
      <c r="B238" s="89">
        <v>60</v>
      </c>
      <c r="C238" s="18" t="s">
        <v>2135</v>
      </c>
      <c r="D238" s="89">
        <v>36</v>
      </c>
      <c r="E238" s="30" t="s">
        <v>1299</v>
      </c>
      <c r="F238" s="89">
        <v>6</v>
      </c>
      <c r="G238" s="89"/>
      <c r="H238" s="89"/>
      <c r="I238" s="89"/>
      <c r="J238" s="89"/>
      <c r="K238" s="184">
        <f t="shared" si="74"/>
        <v>1</v>
      </c>
      <c r="L238" s="184">
        <f t="shared" si="75"/>
        <v>36</v>
      </c>
      <c r="M238" s="184">
        <f t="shared" si="76"/>
        <v>6.4285714285714288</v>
      </c>
      <c r="N238" s="184">
        <f t="shared" si="77"/>
        <v>38.571428571428569</v>
      </c>
      <c r="O238" s="184" t="str">
        <f t="shared" si="78"/>
        <v/>
      </c>
      <c r="P238" s="184" t="str">
        <f t="shared" si="79"/>
        <v/>
      </c>
      <c r="Q238" s="184" t="str">
        <f t="shared" si="80"/>
        <v/>
      </c>
      <c r="R238" s="184" t="str">
        <f t="shared" si="88"/>
        <v/>
      </c>
      <c r="S238" s="108">
        <f t="shared" si="90"/>
        <v>6</v>
      </c>
      <c r="T238" s="185">
        <f t="shared" si="81"/>
        <v>80.571428571428569</v>
      </c>
      <c r="U238" s="185">
        <f t="shared" si="82"/>
        <v>84.600000000000009</v>
      </c>
      <c r="V238" s="36">
        <f t="shared" si="83"/>
        <v>1.4100000000000001</v>
      </c>
      <c r="W238" s="36">
        <f t="shared" si="84"/>
        <v>0.7</v>
      </c>
      <c r="X238" s="63">
        <f t="shared" si="86"/>
        <v>1.6</v>
      </c>
    </row>
    <row r="239" spans="1:24" ht="15">
      <c r="A239" s="89" t="s">
        <v>2164</v>
      </c>
      <c r="B239" s="89">
        <v>10</v>
      </c>
      <c r="C239" s="18" t="s">
        <v>2792</v>
      </c>
      <c r="D239" s="89">
        <v>7</v>
      </c>
      <c r="E239" s="30"/>
      <c r="F239" s="89"/>
      <c r="G239" s="89"/>
      <c r="H239" s="89"/>
      <c r="I239" s="89"/>
      <c r="J239" s="89"/>
      <c r="K239" s="184">
        <f t="shared" si="74"/>
        <v>1.6235294117647059</v>
      </c>
      <c r="L239" s="184">
        <f t="shared" si="75"/>
        <v>11.364705882352942</v>
      </c>
      <c r="M239" s="184" t="str">
        <f t="shared" si="76"/>
        <v/>
      </c>
      <c r="N239" s="184" t="str">
        <f t="shared" si="77"/>
        <v/>
      </c>
      <c r="O239" s="184" t="str">
        <f t="shared" si="78"/>
        <v/>
      </c>
      <c r="P239" s="184" t="str">
        <f t="shared" si="79"/>
        <v/>
      </c>
      <c r="Q239" s="184" t="str">
        <f t="shared" si="80"/>
        <v/>
      </c>
      <c r="R239" s="184" t="str">
        <f t="shared" si="88"/>
        <v/>
      </c>
      <c r="S239" s="108">
        <f>B239*0.6</f>
        <v>6</v>
      </c>
      <c r="T239" s="185">
        <f t="shared" si="81"/>
        <v>17.364705882352943</v>
      </c>
      <c r="U239" s="185">
        <f t="shared" si="82"/>
        <v>18.232941176470593</v>
      </c>
      <c r="V239" s="36">
        <f t="shared" si="83"/>
        <v>1.8232941176470594</v>
      </c>
      <c r="W239" s="36">
        <f t="shared" si="84"/>
        <v>0.7</v>
      </c>
      <c r="X239" s="63">
        <f t="shared" si="86"/>
        <v>2</v>
      </c>
    </row>
    <row r="240" spans="1:24" ht="15">
      <c r="A240" s="89"/>
      <c r="B240" s="89"/>
      <c r="C240" s="18"/>
      <c r="D240" s="89"/>
      <c r="E240" s="30"/>
      <c r="F240" s="89"/>
      <c r="G240" s="89"/>
      <c r="H240" s="89"/>
      <c r="I240" s="89"/>
      <c r="J240" s="89"/>
      <c r="K240" s="184" t="str">
        <f t="shared" si="74"/>
        <v/>
      </c>
      <c r="L240" s="184" t="str">
        <f t="shared" si="75"/>
        <v/>
      </c>
      <c r="M240" s="184" t="str">
        <f t="shared" si="76"/>
        <v/>
      </c>
      <c r="N240" s="184" t="str">
        <f t="shared" si="77"/>
        <v/>
      </c>
      <c r="O240" s="184" t="str">
        <f t="shared" si="78"/>
        <v/>
      </c>
      <c r="P240" s="184" t="str">
        <f t="shared" si="79"/>
        <v/>
      </c>
      <c r="Q240" s="184" t="str">
        <f t="shared" si="80"/>
        <v/>
      </c>
      <c r="R240" s="184" t="str">
        <f t="shared" si="88"/>
        <v/>
      </c>
      <c r="S240" s="108">
        <f t="shared" si="90"/>
        <v>0</v>
      </c>
      <c r="T240" s="185">
        <f t="shared" si="81"/>
        <v>0</v>
      </c>
      <c r="U240" s="185">
        <f t="shared" si="82"/>
        <v>0</v>
      </c>
      <c r="V240" s="36" t="e">
        <f t="shared" si="83"/>
        <v>#DIV/0!</v>
      </c>
      <c r="W240" s="36" t="e">
        <f t="shared" si="84"/>
        <v>#DIV/0!</v>
      </c>
      <c r="X240" s="63" t="e">
        <f t="shared" si="86"/>
        <v>#DIV/0!</v>
      </c>
    </row>
    <row r="241" spans="1:24" ht="15">
      <c r="A241" s="89" t="s">
        <v>1744</v>
      </c>
      <c r="B241" s="89">
        <v>30</v>
      </c>
      <c r="C241" s="18" t="s">
        <v>1866</v>
      </c>
      <c r="D241" s="89">
        <v>13</v>
      </c>
      <c r="E241" s="30"/>
      <c r="F241" s="89"/>
      <c r="G241" s="89"/>
      <c r="H241" s="89"/>
      <c r="I241" s="89"/>
      <c r="J241" s="89"/>
      <c r="K241" s="184">
        <f t="shared" si="74"/>
        <v>13.857142857142858</v>
      </c>
      <c r="L241" s="184">
        <f t="shared" si="75"/>
        <v>180.14285714285714</v>
      </c>
      <c r="M241" s="184" t="str">
        <f t="shared" si="76"/>
        <v/>
      </c>
      <c r="N241" s="184" t="str">
        <f t="shared" si="77"/>
        <v/>
      </c>
      <c r="O241" s="184" t="str">
        <f t="shared" si="78"/>
        <v/>
      </c>
      <c r="P241" s="184" t="str">
        <f t="shared" si="79"/>
        <v/>
      </c>
      <c r="Q241" s="184" t="str">
        <f t="shared" si="80"/>
        <v/>
      </c>
      <c r="R241" s="184" t="str">
        <f t="shared" si="88"/>
        <v/>
      </c>
      <c r="S241" s="108">
        <f>B241*0.01</f>
        <v>0.3</v>
      </c>
      <c r="T241" s="185">
        <f t="shared" si="81"/>
        <v>180.44285714285715</v>
      </c>
      <c r="U241" s="185">
        <f t="shared" si="82"/>
        <v>189.465</v>
      </c>
      <c r="V241" s="36">
        <f t="shared" si="83"/>
        <v>6.3155000000000001</v>
      </c>
      <c r="W241" s="36">
        <f t="shared" si="84"/>
        <v>0.43333333333333335</v>
      </c>
      <c r="X241" s="63">
        <f t="shared" si="86"/>
        <v>6.9</v>
      </c>
    </row>
    <row r="242" spans="1:24" ht="15">
      <c r="A242" s="89" t="s">
        <v>1745</v>
      </c>
      <c r="B242" s="89">
        <v>30</v>
      </c>
      <c r="C242" s="18" t="s">
        <v>177</v>
      </c>
      <c r="D242" s="89">
        <v>9</v>
      </c>
      <c r="E242" s="30" t="s">
        <v>1889</v>
      </c>
      <c r="F242" s="89">
        <v>0.5</v>
      </c>
      <c r="G242" s="18" t="s">
        <v>1877</v>
      </c>
      <c r="H242" s="89">
        <v>4</v>
      </c>
      <c r="I242" s="89"/>
      <c r="J242" s="89"/>
      <c r="K242" s="184">
        <f t="shared" si="74"/>
        <v>3.5294117647058822</v>
      </c>
      <c r="L242" s="184">
        <f t="shared" si="75"/>
        <v>31.764705882352942</v>
      </c>
      <c r="M242" s="184">
        <f t="shared" si="76"/>
        <v>61.428571428571431</v>
      </c>
      <c r="N242" s="184">
        <f t="shared" si="77"/>
        <v>30.714285714285715</v>
      </c>
      <c r="O242" s="184">
        <f t="shared" si="78"/>
        <v>13</v>
      </c>
      <c r="P242" s="184">
        <f t="shared" si="79"/>
        <v>52</v>
      </c>
      <c r="Q242" s="184" t="str">
        <f t="shared" si="80"/>
        <v/>
      </c>
      <c r="R242" s="184" t="str">
        <f t="shared" si="88"/>
        <v/>
      </c>
      <c r="S242" s="108">
        <f t="shared" si="90"/>
        <v>3</v>
      </c>
      <c r="T242" s="185">
        <f t="shared" si="81"/>
        <v>117.47899159663865</v>
      </c>
      <c r="U242" s="185">
        <f t="shared" si="82"/>
        <v>123.35294117647059</v>
      </c>
      <c r="V242" s="36">
        <f t="shared" si="83"/>
        <v>4.1117647058823534</v>
      </c>
      <c r="W242" s="36">
        <f t="shared" si="84"/>
        <v>0.44999999999999996</v>
      </c>
      <c r="X242" s="63">
        <f t="shared" si="86"/>
        <v>4.5</v>
      </c>
    </row>
    <row r="243" spans="1:24" ht="15">
      <c r="A243" s="89" t="s">
        <v>1746</v>
      </c>
      <c r="B243" s="89">
        <v>30</v>
      </c>
      <c r="C243" s="18" t="s">
        <v>1890</v>
      </c>
      <c r="D243" s="89">
        <v>12</v>
      </c>
      <c r="E243" s="30" t="s">
        <v>79</v>
      </c>
      <c r="F243" s="89">
        <v>6</v>
      </c>
      <c r="G243" s="89"/>
      <c r="H243" s="89"/>
      <c r="I243" s="89"/>
      <c r="J243" s="89"/>
      <c r="K243" s="184">
        <f t="shared" si="74"/>
        <v>0.70588235294117652</v>
      </c>
      <c r="L243" s="184">
        <f t="shared" si="75"/>
        <v>8.4705882352941178</v>
      </c>
      <c r="M243" s="182">
        <f t="shared" si="76"/>
        <v>5</v>
      </c>
      <c r="N243" s="184">
        <f t="shared" si="77"/>
        <v>30</v>
      </c>
      <c r="O243" s="184" t="str">
        <f t="shared" si="78"/>
        <v/>
      </c>
      <c r="P243" s="184" t="str">
        <f t="shared" si="79"/>
        <v/>
      </c>
      <c r="Q243" s="184" t="str">
        <f t="shared" si="80"/>
        <v/>
      </c>
      <c r="R243" s="184" t="str">
        <f t="shared" si="88"/>
        <v/>
      </c>
      <c r="S243" s="108">
        <f t="shared" si="90"/>
        <v>3</v>
      </c>
      <c r="T243" s="185">
        <f t="shared" si="81"/>
        <v>41.470588235294116</v>
      </c>
      <c r="U243" s="185">
        <f t="shared" si="82"/>
        <v>43.544117647058826</v>
      </c>
      <c r="V243" s="36">
        <f t="shared" si="83"/>
        <v>1.4514705882352943</v>
      </c>
      <c r="W243" s="36">
        <f t="shared" si="84"/>
        <v>0.60000000000000009</v>
      </c>
      <c r="X243" s="63">
        <f t="shared" si="86"/>
        <v>1.6</v>
      </c>
    </row>
    <row r="244" spans="1:24" ht="15">
      <c r="A244" s="89" t="s">
        <v>1747</v>
      </c>
      <c r="B244" s="89">
        <v>20</v>
      </c>
      <c r="C244" s="18" t="s">
        <v>1880</v>
      </c>
      <c r="D244" s="89">
        <v>10</v>
      </c>
      <c r="E244" s="30" t="s">
        <v>1299</v>
      </c>
      <c r="F244" s="89">
        <v>2</v>
      </c>
      <c r="G244" s="89"/>
      <c r="H244" s="89"/>
      <c r="I244" s="89"/>
      <c r="J244" s="89"/>
      <c r="K244" s="184">
        <f t="shared" si="74"/>
        <v>0.94117647058823539</v>
      </c>
      <c r="L244" s="184">
        <f t="shared" si="75"/>
        <v>9.4117647058823533</v>
      </c>
      <c r="M244" s="182">
        <f t="shared" si="76"/>
        <v>6.4285714285714288</v>
      </c>
      <c r="N244" s="184">
        <f t="shared" si="77"/>
        <v>12.857142857142858</v>
      </c>
      <c r="O244" s="184" t="str">
        <f t="shared" si="78"/>
        <v/>
      </c>
      <c r="P244" s="182" t="str">
        <f t="shared" si="79"/>
        <v/>
      </c>
      <c r="Q244" s="184" t="str">
        <f t="shared" si="80"/>
        <v/>
      </c>
      <c r="R244" s="184" t="str">
        <f t="shared" si="88"/>
        <v/>
      </c>
      <c r="S244" s="108">
        <f>B244*0.4</f>
        <v>8</v>
      </c>
      <c r="T244" s="185">
        <f t="shared" si="81"/>
        <v>30.268907563025209</v>
      </c>
      <c r="U244" s="185">
        <f t="shared" si="82"/>
        <v>31.78235294117647</v>
      </c>
      <c r="V244" s="36">
        <f t="shared" si="83"/>
        <v>1.5891176470588235</v>
      </c>
      <c r="W244" s="36">
        <f t="shared" si="84"/>
        <v>0.6</v>
      </c>
      <c r="X244" s="63">
        <f t="shared" si="86"/>
        <v>1.7</v>
      </c>
    </row>
    <row r="245" spans="1:24">
      <c r="A245" s="89" t="s">
        <v>1749</v>
      </c>
      <c r="B245" s="89">
        <v>20</v>
      </c>
      <c r="C245" s="18" t="s">
        <v>125</v>
      </c>
      <c r="D245" s="89">
        <v>6</v>
      </c>
      <c r="E245" s="46" t="s">
        <v>1884</v>
      </c>
      <c r="F245" s="89">
        <v>3</v>
      </c>
      <c r="G245" s="18" t="s">
        <v>1858</v>
      </c>
      <c r="H245" s="89">
        <v>3</v>
      </c>
      <c r="I245" s="89"/>
      <c r="J245" s="89"/>
      <c r="K245" s="182">
        <f t="shared" si="74"/>
        <v>18</v>
      </c>
      <c r="L245" s="184">
        <f t="shared" si="75"/>
        <v>108</v>
      </c>
      <c r="M245" s="182">
        <f t="shared" si="76"/>
        <v>0.94117647058823539</v>
      </c>
      <c r="N245" s="184">
        <f t="shared" si="77"/>
        <v>2.8235294117647061</v>
      </c>
      <c r="O245" s="184">
        <f t="shared" si="78"/>
        <v>1.6470588235294117</v>
      </c>
      <c r="P245" s="182">
        <f t="shared" si="79"/>
        <v>4.9411764705882355</v>
      </c>
      <c r="Q245" s="184" t="str">
        <f t="shared" si="80"/>
        <v/>
      </c>
      <c r="R245" s="184" t="str">
        <f t="shared" si="88"/>
        <v/>
      </c>
      <c r="S245" s="108">
        <f>B245*0.4</f>
        <v>8</v>
      </c>
      <c r="T245" s="185">
        <f t="shared" si="81"/>
        <v>123.76470588235294</v>
      </c>
      <c r="U245" s="185">
        <f t="shared" si="82"/>
        <v>129.9529411764706</v>
      </c>
      <c r="V245" s="36">
        <f t="shared" si="83"/>
        <v>6.4976470588235298</v>
      </c>
      <c r="W245" s="36">
        <f t="shared" si="84"/>
        <v>0.6</v>
      </c>
      <c r="X245" s="63">
        <f t="shared" si="86"/>
        <v>7.1</v>
      </c>
    </row>
    <row r="246" spans="1:24">
      <c r="A246" s="89" t="s">
        <v>1752</v>
      </c>
      <c r="B246" s="89">
        <v>30</v>
      </c>
      <c r="C246" s="18" t="s">
        <v>1870</v>
      </c>
      <c r="D246" s="89">
        <v>18</v>
      </c>
      <c r="E246" s="46" t="s">
        <v>1858</v>
      </c>
      <c r="F246" s="89">
        <v>3</v>
      </c>
      <c r="G246" s="89"/>
      <c r="H246" s="89"/>
      <c r="I246" s="89"/>
      <c r="J246" s="89"/>
      <c r="K246" s="182">
        <f t="shared" si="74"/>
        <v>1.2941176470588236</v>
      </c>
      <c r="L246" s="184">
        <f t="shared" si="75"/>
        <v>23.294117647058826</v>
      </c>
      <c r="M246" s="182">
        <f t="shared" si="76"/>
        <v>1.6470588235294117</v>
      </c>
      <c r="N246" s="184">
        <f t="shared" si="77"/>
        <v>4.9411764705882355</v>
      </c>
      <c r="O246" s="182" t="str">
        <f t="shared" si="78"/>
        <v/>
      </c>
      <c r="P246" s="182" t="str">
        <f t="shared" si="79"/>
        <v/>
      </c>
      <c r="Q246" s="184" t="str">
        <f t="shared" si="80"/>
        <v/>
      </c>
      <c r="R246" s="184" t="str">
        <f t="shared" si="88"/>
        <v/>
      </c>
      <c r="S246" s="108">
        <f t="shared" ref="S246:S261" si="91">B246*0.4</f>
        <v>12</v>
      </c>
      <c r="T246" s="185">
        <f t="shared" si="81"/>
        <v>40.235294117647058</v>
      </c>
      <c r="U246" s="185">
        <f t="shared" si="82"/>
        <v>42.247058823529414</v>
      </c>
      <c r="V246" s="36">
        <f t="shared" si="83"/>
        <v>1.4082352941176473</v>
      </c>
      <c r="W246" s="36">
        <f t="shared" si="84"/>
        <v>0.7</v>
      </c>
      <c r="X246" s="63">
        <f t="shared" si="86"/>
        <v>1.5</v>
      </c>
    </row>
    <row r="247" spans="1:24" ht="15">
      <c r="A247" s="89" t="s">
        <v>1751</v>
      </c>
      <c r="B247" s="89">
        <v>30</v>
      </c>
      <c r="C247" s="18" t="s">
        <v>1885</v>
      </c>
      <c r="D247" s="89">
        <v>10</v>
      </c>
      <c r="E247" s="30" t="s">
        <v>319</v>
      </c>
      <c r="F247" s="89">
        <v>8</v>
      </c>
      <c r="G247" s="89"/>
      <c r="H247" s="89"/>
      <c r="I247" s="89"/>
      <c r="J247" s="89"/>
      <c r="K247" s="182">
        <f t="shared" si="74"/>
        <v>2.1176470588235294</v>
      </c>
      <c r="L247" s="184">
        <f t="shared" si="75"/>
        <v>21.176470588235293</v>
      </c>
      <c r="M247" s="182">
        <f t="shared" si="76"/>
        <v>3.5714285714285716</v>
      </c>
      <c r="N247" s="184">
        <f t="shared" si="77"/>
        <v>28.571428571428573</v>
      </c>
      <c r="O247" s="182" t="str">
        <f t="shared" si="78"/>
        <v/>
      </c>
      <c r="P247" s="182" t="str">
        <f t="shared" si="79"/>
        <v/>
      </c>
      <c r="Q247" s="182" t="str">
        <f t="shared" si="80"/>
        <v/>
      </c>
      <c r="R247" s="184" t="str">
        <f t="shared" si="88"/>
        <v/>
      </c>
      <c r="S247" s="108">
        <f t="shared" si="91"/>
        <v>12</v>
      </c>
      <c r="T247" s="185">
        <f t="shared" si="81"/>
        <v>61.747899159663866</v>
      </c>
      <c r="U247" s="185">
        <f t="shared" si="82"/>
        <v>64.835294117647067</v>
      </c>
      <c r="V247" s="36">
        <f t="shared" si="83"/>
        <v>2.1611764705882357</v>
      </c>
      <c r="W247" s="36">
        <f t="shared" si="84"/>
        <v>0.6</v>
      </c>
      <c r="X247" s="63">
        <f t="shared" si="86"/>
        <v>2.4</v>
      </c>
    </row>
    <row r="248" spans="1:24" ht="15">
      <c r="A248" s="89" t="s">
        <v>1753</v>
      </c>
      <c r="B248" s="89">
        <v>30</v>
      </c>
      <c r="C248" s="18" t="s">
        <v>275</v>
      </c>
      <c r="D248" s="89">
        <v>16</v>
      </c>
      <c r="E248" s="30"/>
      <c r="F248" s="89"/>
      <c r="G248" s="89"/>
      <c r="H248" s="89"/>
      <c r="I248" s="89"/>
      <c r="J248" s="89"/>
      <c r="K248" s="182">
        <f t="shared" si="74"/>
        <v>12.714285714285715</v>
      </c>
      <c r="L248" s="184">
        <f t="shared" si="75"/>
        <v>203.42857142857144</v>
      </c>
      <c r="M248" s="182" t="str">
        <f t="shared" si="76"/>
        <v/>
      </c>
      <c r="N248" s="184" t="str">
        <f t="shared" si="77"/>
        <v/>
      </c>
      <c r="O248" s="182" t="str">
        <f t="shared" si="78"/>
        <v/>
      </c>
      <c r="P248" s="182" t="str">
        <f t="shared" si="79"/>
        <v/>
      </c>
      <c r="Q248" s="182" t="str">
        <f t="shared" si="80"/>
        <v/>
      </c>
      <c r="R248" s="184" t="str">
        <f t="shared" si="88"/>
        <v/>
      </c>
      <c r="S248" s="108">
        <f>B248*0.1</f>
        <v>3</v>
      </c>
      <c r="T248" s="185">
        <f t="shared" si="81"/>
        <v>206.42857142857144</v>
      </c>
      <c r="U248" s="185">
        <f t="shared" si="82"/>
        <v>216.75000000000003</v>
      </c>
      <c r="V248" s="36">
        <f t="shared" si="83"/>
        <v>7.2250000000000005</v>
      </c>
      <c r="W248" s="36">
        <f t="shared" si="84"/>
        <v>0.53333333333333333</v>
      </c>
      <c r="X248" s="63">
        <f t="shared" si="86"/>
        <v>7.9</v>
      </c>
    </row>
    <row r="249" spans="1:24">
      <c r="A249" s="89" t="s">
        <v>1754</v>
      </c>
      <c r="B249" s="89">
        <v>30</v>
      </c>
      <c r="C249" s="18" t="s">
        <v>222</v>
      </c>
      <c r="D249" s="89">
        <v>8</v>
      </c>
      <c r="E249" s="46" t="s">
        <v>1884</v>
      </c>
      <c r="F249" s="89">
        <v>6</v>
      </c>
      <c r="G249" s="18" t="s">
        <v>1858</v>
      </c>
      <c r="H249" s="89">
        <v>3</v>
      </c>
      <c r="I249" s="89"/>
      <c r="J249" s="89"/>
      <c r="K249" s="182">
        <f t="shared" si="74"/>
        <v>24.142857142857142</v>
      </c>
      <c r="L249" s="184">
        <f t="shared" si="75"/>
        <v>193.14285714285714</v>
      </c>
      <c r="M249" s="182">
        <f t="shared" si="76"/>
        <v>0.94117647058823539</v>
      </c>
      <c r="N249" s="184">
        <f t="shared" si="77"/>
        <v>5.6470588235294121</v>
      </c>
      <c r="O249" s="182">
        <f t="shared" si="78"/>
        <v>1.6470588235294117</v>
      </c>
      <c r="P249" s="182">
        <f t="shared" si="79"/>
        <v>4.9411764705882355</v>
      </c>
      <c r="Q249" s="182" t="str">
        <f t="shared" si="80"/>
        <v/>
      </c>
      <c r="R249" s="184" t="str">
        <f t="shared" si="88"/>
        <v/>
      </c>
      <c r="S249" s="108">
        <f t="shared" si="91"/>
        <v>12</v>
      </c>
      <c r="T249" s="183">
        <f t="shared" si="81"/>
        <v>215.73109243697479</v>
      </c>
      <c r="U249" s="185">
        <f t="shared" si="82"/>
        <v>226.51764705882354</v>
      </c>
      <c r="V249" s="36">
        <f t="shared" si="83"/>
        <v>7.5505882352941178</v>
      </c>
      <c r="W249" s="36">
        <f t="shared" si="84"/>
        <v>0.56666666666666665</v>
      </c>
      <c r="X249" s="63">
        <f t="shared" si="86"/>
        <v>8.3000000000000007</v>
      </c>
    </row>
    <row r="250" spans="1:24">
      <c r="A250" s="89" t="s">
        <v>1755</v>
      </c>
      <c r="B250" s="89">
        <v>30</v>
      </c>
      <c r="C250" s="18" t="s">
        <v>1891</v>
      </c>
      <c r="D250" s="89">
        <v>3</v>
      </c>
      <c r="E250" s="46" t="s">
        <v>1892</v>
      </c>
      <c r="F250" s="89">
        <v>15</v>
      </c>
      <c r="G250" s="89"/>
      <c r="H250" s="89"/>
      <c r="I250" s="89"/>
      <c r="J250" s="89"/>
      <c r="K250" s="182">
        <f t="shared" si="74"/>
        <v>10.857142857142858</v>
      </c>
      <c r="L250" s="184">
        <f t="shared" si="75"/>
        <v>32.571428571428569</v>
      </c>
      <c r="M250" s="182">
        <f t="shared" si="76"/>
        <v>1.1176470588235294</v>
      </c>
      <c r="N250" s="184">
        <f t="shared" si="77"/>
        <v>16.764705882352942</v>
      </c>
      <c r="O250" s="182" t="str">
        <f t="shared" si="78"/>
        <v/>
      </c>
      <c r="P250" s="182" t="str">
        <f t="shared" si="79"/>
        <v/>
      </c>
      <c r="Q250" s="182" t="str">
        <f t="shared" si="80"/>
        <v/>
      </c>
      <c r="R250" s="184" t="str">
        <f t="shared" si="88"/>
        <v/>
      </c>
      <c r="S250" s="108">
        <f t="shared" si="91"/>
        <v>12</v>
      </c>
      <c r="T250" s="183">
        <f t="shared" si="81"/>
        <v>61.336134453781511</v>
      </c>
      <c r="U250" s="185">
        <f t="shared" si="82"/>
        <v>64.402941176470591</v>
      </c>
      <c r="V250" s="36">
        <f t="shared" si="83"/>
        <v>2.1467647058823531</v>
      </c>
      <c r="W250" s="36">
        <f t="shared" si="84"/>
        <v>0.6</v>
      </c>
      <c r="X250" s="63">
        <f t="shared" si="86"/>
        <v>2.4</v>
      </c>
    </row>
    <row r="251" spans="1:24">
      <c r="A251" s="89" t="s">
        <v>1756</v>
      </c>
      <c r="B251" s="89">
        <v>20</v>
      </c>
      <c r="C251" s="18" t="s">
        <v>193</v>
      </c>
      <c r="D251" s="89">
        <v>8</v>
      </c>
      <c r="E251" s="46" t="s">
        <v>2333</v>
      </c>
      <c r="F251" s="89">
        <v>0.5</v>
      </c>
      <c r="G251" s="89"/>
      <c r="H251" s="89"/>
      <c r="I251" s="89"/>
      <c r="J251" s="89"/>
      <c r="K251" s="182">
        <f t="shared" si="74"/>
        <v>14.000000000000002</v>
      </c>
      <c r="L251" s="184">
        <f t="shared" si="75"/>
        <v>112.00000000000001</v>
      </c>
      <c r="M251" s="182">
        <f t="shared" si="76"/>
        <v>25.714285714285715</v>
      </c>
      <c r="N251" s="184">
        <f t="shared" si="77"/>
        <v>12.857142857142858</v>
      </c>
      <c r="O251" s="182" t="str">
        <f t="shared" si="78"/>
        <v/>
      </c>
      <c r="P251" s="182" t="str">
        <f t="shared" si="79"/>
        <v/>
      </c>
      <c r="Q251" s="182" t="str">
        <f t="shared" si="80"/>
        <v/>
      </c>
      <c r="R251" s="184" t="str">
        <f t="shared" si="88"/>
        <v/>
      </c>
      <c r="S251" s="108">
        <f>B251*0.3</f>
        <v>6</v>
      </c>
      <c r="T251" s="183">
        <f t="shared" si="81"/>
        <v>130.85714285714289</v>
      </c>
      <c r="U251" s="185">
        <f t="shared" si="82"/>
        <v>137.40000000000003</v>
      </c>
      <c r="V251" s="36">
        <f t="shared" si="83"/>
        <v>6.8700000000000019</v>
      </c>
      <c r="W251" s="36">
        <f t="shared" si="84"/>
        <v>0.42500000000000004</v>
      </c>
      <c r="X251" s="63">
        <f t="shared" si="86"/>
        <v>7.6</v>
      </c>
    </row>
    <row r="252" spans="1:24" ht="15">
      <c r="A252" s="89" t="s">
        <v>298</v>
      </c>
      <c r="B252" s="89">
        <v>10</v>
      </c>
      <c r="C252" s="18" t="s">
        <v>298</v>
      </c>
      <c r="D252" s="89">
        <v>1</v>
      </c>
      <c r="E252" s="30"/>
      <c r="F252" s="89"/>
      <c r="G252" s="89"/>
      <c r="H252" s="89"/>
      <c r="I252" s="89"/>
      <c r="J252" s="89"/>
      <c r="K252" s="182">
        <f t="shared" si="74"/>
        <v>14.428571428571429</v>
      </c>
      <c r="L252" s="184">
        <f t="shared" si="75"/>
        <v>14.428571428571429</v>
      </c>
      <c r="M252" s="182" t="str">
        <f t="shared" si="76"/>
        <v/>
      </c>
      <c r="N252" s="184" t="str">
        <f t="shared" si="77"/>
        <v/>
      </c>
      <c r="O252" s="182" t="str">
        <f t="shared" si="78"/>
        <v/>
      </c>
      <c r="P252" s="182" t="str">
        <f t="shared" si="79"/>
        <v/>
      </c>
      <c r="Q252" s="182" t="str">
        <f t="shared" si="80"/>
        <v/>
      </c>
      <c r="R252" s="184" t="str">
        <f t="shared" si="88"/>
        <v/>
      </c>
      <c r="S252" s="108">
        <f t="shared" si="91"/>
        <v>4</v>
      </c>
      <c r="T252" s="183">
        <f t="shared" si="81"/>
        <v>18.428571428571431</v>
      </c>
      <c r="U252" s="185">
        <f t="shared" si="82"/>
        <v>19.350000000000001</v>
      </c>
      <c r="V252" s="36">
        <f t="shared" si="83"/>
        <v>1.9350000000000001</v>
      </c>
      <c r="W252" s="36">
        <f t="shared" si="84"/>
        <v>0.1</v>
      </c>
      <c r="X252" s="63">
        <f t="shared" si="86"/>
        <v>2.1</v>
      </c>
    </row>
    <row r="253" spans="1:24">
      <c r="A253" s="89" t="s">
        <v>1757</v>
      </c>
      <c r="B253" s="89">
        <v>50</v>
      </c>
      <c r="C253" s="18" t="s">
        <v>193</v>
      </c>
      <c r="D253" s="89">
        <v>15</v>
      </c>
      <c r="E253" s="46" t="s">
        <v>2151</v>
      </c>
      <c r="F253" s="89">
        <v>15</v>
      </c>
      <c r="G253" s="89"/>
      <c r="H253" s="89"/>
      <c r="I253" s="89"/>
      <c r="J253" s="89"/>
      <c r="K253" s="182">
        <f t="shared" si="74"/>
        <v>14.000000000000002</v>
      </c>
      <c r="L253" s="184">
        <f t="shared" si="75"/>
        <v>210.00000000000003</v>
      </c>
      <c r="M253" s="182">
        <f t="shared" si="76"/>
        <v>4.3999999999999995</v>
      </c>
      <c r="N253" s="184">
        <f t="shared" si="77"/>
        <v>65.999999999999986</v>
      </c>
      <c r="O253" s="182" t="str">
        <f t="shared" si="78"/>
        <v/>
      </c>
      <c r="P253" s="182" t="str">
        <f t="shared" si="79"/>
        <v/>
      </c>
      <c r="Q253" s="182" t="str">
        <f t="shared" si="80"/>
        <v/>
      </c>
      <c r="R253" s="184" t="str">
        <f t="shared" si="88"/>
        <v/>
      </c>
      <c r="S253" s="108">
        <f t="shared" si="91"/>
        <v>20</v>
      </c>
      <c r="T253" s="183">
        <f t="shared" si="81"/>
        <v>296</v>
      </c>
      <c r="U253" s="183">
        <f t="shared" si="82"/>
        <v>310.8</v>
      </c>
      <c r="V253" s="36">
        <f t="shared" si="83"/>
        <v>6.2160000000000002</v>
      </c>
      <c r="W253" s="36">
        <f t="shared" si="84"/>
        <v>0.6</v>
      </c>
      <c r="X253" s="63">
        <f t="shared" si="86"/>
        <v>6.8</v>
      </c>
    </row>
    <row r="254" spans="1:24">
      <c r="A254" s="89" t="s">
        <v>1758</v>
      </c>
      <c r="B254" s="89">
        <v>50</v>
      </c>
      <c r="C254" s="18" t="s">
        <v>1870</v>
      </c>
      <c r="D254" s="89">
        <v>30</v>
      </c>
      <c r="E254" s="46" t="s">
        <v>1877</v>
      </c>
      <c r="F254" s="89">
        <v>5</v>
      </c>
      <c r="G254" s="89"/>
      <c r="H254" s="89"/>
      <c r="I254" s="89"/>
      <c r="J254" s="89"/>
      <c r="K254" s="182">
        <f t="shared" si="74"/>
        <v>1.2941176470588236</v>
      </c>
      <c r="L254" s="184">
        <f t="shared" si="75"/>
        <v>38.82352941176471</v>
      </c>
      <c r="M254" s="182">
        <f t="shared" si="76"/>
        <v>13</v>
      </c>
      <c r="N254" s="184">
        <f t="shared" si="77"/>
        <v>65</v>
      </c>
      <c r="O254" s="182" t="str">
        <f t="shared" si="78"/>
        <v/>
      </c>
      <c r="P254" s="182" t="str">
        <f t="shared" si="79"/>
        <v/>
      </c>
      <c r="Q254" s="182" t="str">
        <f t="shared" si="80"/>
        <v/>
      </c>
      <c r="R254" s="184" t="str">
        <f t="shared" si="88"/>
        <v/>
      </c>
      <c r="S254" s="108">
        <f t="shared" si="91"/>
        <v>20</v>
      </c>
      <c r="T254" s="183">
        <f t="shared" si="81"/>
        <v>123.82352941176471</v>
      </c>
      <c r="U254" s="183">
        <f t="shared" si="82"/>
        <v>130.01470588235296</v>
      </c>
      <c r="V254" s="36">
        <f t="shared" si="83"/>
        <v>2.6002941176470591</v>
      </c>
      <c r="W254" s="36">
        <f t="shared" si="84"/>
        <v>0.7</v>
      </c>
      <c r="X254" s="63">
        <f t="shared" si="86"/>
        <v>2.9</v>
      </c>
    </row>
    <row r="255" spans="1:24">
      <c r="A255" s="89" t="s">
        <v>1976</v>
      </c>
      <c r="B255" s="89">
        <v>10</v>
      </c>
      <c r="C255" s="18" t="s">
        <v>193</v>
      </c>
      <c r="D255" s="89">
        <v>3</v>
      </c>
      <c r="E255" s="46" t="s">
        <v>1977</v>
      </c>
      <c r="F255" s="89">
        <v>4</v>
      </c>
      <c r="G255" s="89"/>
      <c r="H255" s="89"/>
      <c r="I255" s="89"/>
      <c r="J255" s="89"/>
      <c r="K255" s="182">
        <f t="shared" si="74"/>
        <v>14.000000000000002</v>
      </c>
      <c r="L255" s="184">
        <f t="shared" si="75"/>
        <v>42.000000000000007</v>
      </c>
      <c r="M255" s="182">
        <f t="shared" si="76"/>
        <v>2.3529411764705883</v>
      </c>
      <c r="N255" s="184">
        <f t="shared" si="77"/>
        <v>9.4117647058823533</v>
      </c>
      <c r="O255" s="182" t="str">
        <f t="shared" si="78"/>
        <v/>
      </c>
      <c r="P255" s="182" t="str">
        <f t="shared" si="79"/>
        <v/>
      </c>
      <c r="Q255" s="182" t="str">
        <f t="shared" si="80"/>
        <v/>
      </c>
      <c r="R255" s="182" t="str">
        <f t="shared" si="88"/>
        <v/>
      </c>
      <c r="S255" s="108">
        <f t="shared" si="91"/>
        <v>4</v>
      </c>
      <c r="T255" s="183">
        <f t="shared" si="81"/>
        <v>55.411764705882362</v>
      </c>
      <c r="U255" s="183">
        <f t="shared" si="82"/>
        <v>58.182352941176482</v>
      </c>
      <c r="V255" s="36">
        <f t="shared" si="83"/>
        <v>5.8182352941176481</v>
      </c>
      <c r="W255" s="36">
        <f t="shared" si="84"/>
        <v>0.7</v>
      </c>
      <c r="X255" s="63">
        <f t="shared" si="86"/>
        <v>6.4</v>
      </c>
    </row>
    <row r="256" spans="1:24">
      <c r="A256" s="89" t="s">
        <v>1759</v>
      </c>
      <c r="B256" s="89">
        <v>50</v>
      </c>
      <c r="C256" s="18" t="s">
        <v>1893</v>
      </c>
      <c r="D256" s="89">
        <v>20</v>
      </c>
      <c r="E256" s="46" t="s">
        <v>1894</v>
      </c>
      <c r="F256" s="89">
        <v>5</v>
      </c>
      <c r="G256" s="18" t="s">
        <v>1884</v>
      </c>
      <c r="H256" s="89">
        <v>5</v>
      </c>
      <c r="I256" s="18" t="s">
        <v>1895</v>
      </c>
      <c r="J256" s="89">
        <v>1</v>
      </c>
      <c r="K256" s="182">
        <f t="shared" si="74"/>
        <v>10.571428571428573</v>
      </c>
      <c r="L256" s="184">
        <f t="shared" si="75"/>
        <v>211.42857142857144</v>
      </c>
      <c r="M256" s="246">
        <f t="shared" si="76"/>
        <v>1.6470588235294117</v>
      </c>
      <c r="N256" s="184">
        <f t="shared" si="77"/>
        <v>8.235294117647058</v>
      </c>
      <c r="O256" s="182">
        <f t="shared" si="78"/>
        <v>0.94117647058823539</v>
      </c>
      <c r="P256" s="182">
        <f t="shared" si="79"/>
        <v>4.7058823529411766</v>
      </c>
      <c r="Q256" s="182">
        <f t="shared" si="80"/>
        <v>17.647058823529413</v>
      </c>
      <c r="R256" s="182">
        <f t="shared" si="88"/>
        <v>17.647058823529413</v>
      </c>
      <c r="S256" s="108">
        <f t="shared" si="91"/>
        <v>20</v>
      </c>
      <c r="T256" s="183">
        <f t="shared" si="81"/>
        <v>262.01680672268913</v>
      </c>
      <c r="U256" s="183">
        <f t="shared" si="82"/>
        <v>275.11764705882359</v>
      </c>
      <c r="V256" s="36">
        <f t="shared" si="83"/>
        <v>5.502352941176472</v>
      </c>
      <c r="W256" s="36">
        <f t="shared" si="84"/>
        <v>0.62</v>
      </c>
      <c r="X256" s="63">
        <f t="shared" si="86"/>
        <v>6.1</v>
      </c>
    </row>
    <row r="257" spans="1:25" ht="15">
      <c r="A257" s="89" t="s">
        <v>1760</v>
      </c>
      <c r="B257" s="89">
        <v>50</v>
      </c>
      <c r="C257" s="18" t="s">
        <v>1896</v>
      </c>
      <c r="D257" s="89">
        <v>20</v>
      </c>
      <c r="E257" s="30"/>
      <c r="F257" s="89"/>
      <c r="G257" s="89"/>
      <c r="H257" s="89"/>
      <c r="I257" s="89"/>
      <c r="J257" s="89"/>
      <c r="K257" s="182">
        <f t="shared" si="74"/>
        <v>12.142857142857144</v>
      </c>
      <c r="L257" s="182">
        <f t="shared" si="75"/>
        <v>242.85714285714289</v>
      </c>
      <c r="M257" s="246" t="str">
        <f t="shared" si="76"/>
        <v/>
      </c>
      <c r="N257" s="246" t="str">
        <f t="shared" si="77"/>
        <v/>
      </c>
      <c r="O257" s="246" t="str">
        <f t="shared" si="78"/>
        <v/>
      </c>
      <c r="P257" s="246" t="str">
        <f t="shared" si="79"/>
        <v/>
      </c>
      <c r="Q257" s="246" t="str">
        <f t="shared" si="80"/>
        <v/>
      </c>
      <c r="R257" s="246" t="str">
        <f t="shared" si="88"/>
        <v/>
      </c>
      <c r="S257" s="108">
        <f t="shared" si="91"/>
        <v>20</v>
      </c>
      <c r="T257" s="183">
        <f t="shared" si="81"/>
        <v>262.85714285714289</v>
      </c>
      <c r="U257" s="183">
        <f t="shared" si="82"/>
        <v>276.00000000000006</v>
      </c>
      <c r="V257" s="36">
        <f t="shared" si="83"/>
        <v>5.5200000000000014</v>
      </c>
      <c r="W257" s="36">
        <f t="shared" si="84"/>
        <v>0.4</v>
      </c>
      <c r="X257" s="63">
        <f t="shared" si="86"/>
        <v>6.1</v>
      </c>
    </row>
    <row r="258" spans="1:25" ht="15">
      <c r="A258" s="89" t="s">
        <v>1761</v>
      </c>
      <c r="B258" s="89">
        <v>50</v>
      </c>
      <c r="C258" s="18" t="s">
        <v>1897</v>
      </c>
      <c r="D258" s="89">
        <v>25</v>
      </c>
      <c r="E258" s="30" t="s">
        <v>319</v>
      </c>
      <c r="F258" s="89">
        <v>15</v>
      </c>
      <c r="G258" s="89"/>
      <c r="H258" s="89"/>
      <c r="I258" s="89"/>
      <c r="J258" s="89"/>
      <c r="K258" s="182">
        <f t="shared" si="74"/>
        <v>2.1176470588235294</v>
      </c>
      <c r="L258" s="182">
        <f t="shared" si="75"/>
        <v>52.941176470588239</v>
      </c>
      <c r="M258" s="246">
        <f t="shared" si="76"/>
        <v>3.5714285714285716</v>
      </c>
      <c r="N258" s="246">
        <f t="shared" si="77"/>
        <v>53.571428571428577</v>
      </c>
      <c r="O258" s="246" t="str">
        <f t="shared" si="78"/>
        <v/>
      </c>
      <c r="P258" s="246" t="str">
        <f t="shared" si="79"/>
        <v/>
      </c>
      <c r="Q258" s="246" t="str">
        <f t="shared" si="80"/>
        <v/>
      </c>
      <c r="R258" s="246" t="str">
        <f t="shared" si="88"/>
        <v/>
      </c>
      <c r="S258" s="108">
        <f t="shared" si="91"/>
        <v>20</v>
      </c>
      <c r="T258" s="183">
        <f t="shared" si="81"/>
        <v>126.51260504201682</v>
      </c>
      <c r="U258" s="183">
        <f t="shared" si="82"/>
        <v>132.83823529411765</v>
      </c>
      <c r="V258" s="36">
        <f t="shared" si="83"/>
        <v>2.6567647058823529</v>
      </c>
      <c r="W258" s="36">
        <f t="shared" si="84"/>
        <v>0.8</v>
      </c>
      <c r="X258" s="63">
        <f t="shared" si="86"/>
        <v>2.9</v>
      </c>
    </row>
    <row r="259" spans="1:25" ht="15">
      <c r="A259" s="89" t="s">
        <v>1762</v>
      </c>
      <c r="B259" s="89">
        <v>50</v>
      </c>
      <c r="C259" s="18" t="s">
        <v>1898</v>
      </c>
      <c r="D259" s="89">
        <v>35</v>
      </c>
      <c r="E259" s="30"/>
      <c r="F259" s="89"/>
      <c r="G259" s="89"/>
      <c r="H259" s="89"/>
      <c r="I259" s="89"/>
      <c r="J259" s="89"/>
      <c r="K259" s="182">
        <f t="shared" si="74"/>
        <v>0.94117647058823539</v>
      </c>
      <c r="L259" s="182">
        <f t="shared" si="75"/>
        <v>32.941176470588239</v>
      </c>
      <c r="M259" s="246" t="str">
        <f t="shared" si="76"/>
        <v/>
      </c>
      <c r="N259" s="246" t="str">
        <f t="shared" si="77"/>
        <v/>
      </c>
      <c r="O259" s="246" t="str">
        <f t="shared" si="78"/>
        <v/>
      </c>
      <c r="P259" s="246" t="str">
        <f t="shared" si="79"/>
        <v/>
      </c>
      <c r="Q259" s="246" t="str">
        <f t="shared" si="80"/>
        <v/>
      </c>
      <c r="R259" s="246" t="str">
        <f t="shared" si="88"/>
        <v/>
      </c>
      <c r="S259" s="108">
        <f t="shared" si="91"/>
        <v>20</v>
      </c>
      <c r="T259" s="183">
        <f t="shared" si="81"/>
        <v>52.941176470588239</v>
      </c>
      <c r="U259" s="183">
        <f t="shared" si="82"/>
        <v>55.588235294117652</v>
      </c>
      <c r="V259" s="36">
        <f t="shared" si="83"/>
        <v>1.111764705882353</v>
      </c>
      <c r="W259" s="36">
        <f t="shared" si="84"/>
        <v>0.7</v>
      </c>
      <c r="X259" s="63">
        <f t="shared" si="86"/>
        <v>1.2</v>
      </c>
    </row>
    <row r="260" spans="1:25" ht="15">
      <c r="A260" s="89" t="s">
        <v>1764</v>
      </c>
      <c r="B260" s="89">
        <v>50</v>
      </c>
      <c r="C260" s="18" t="s">
        <v>1899</v>
      </c>
      <c r="D260" s="89">
        <v>30</v>
      </c>
      <c r="E260" s="30"/>
      <c r="F260" s="89"/>
      <c r="G260" s="89"/>
      <c r="H260" s="89"/>
      <c r="I260" s="89"/>
      <c r="J260" s="89"/>
      <c r="K260" s="182">
        <f t="shared" si="74"/>
        <v>7.8571428571428577</v>
      </c>
      <c r="L260" s="182">
        <f t="shared" si="75"/>
        <v>235.71428571428572</v>
      </c>
      <c r="M260" s="246" t="str">
        <f t="shared" si="76"/>
        <v/>
      </c>
      <c r="N260" s="246" t="str">
        <f t="shared" si="77"/>
        <v/>
      </c>
      <c r="O260" s="246" t="str">
        <f t="shared" si="78"/>
        <v/>
      </c>
      <c r="P260" s="246" t="str">
        <f t="shared" si="79"/>
        <v/>
      </c>
      <c r="Q260" s="246" t="str">
        <f t="shared" si="80"/>
        <v/>
      </c>
      <c r="R260" s="246" t="str">
        <f t="shared" si="88"/>
        <v/>
      </c>
      <c r="S260" s="108">
        <f t="shared" si="91"/>
        <v>20</v>
      </c>
      <c r="T260" s="183">
        <f t="shared" si="81"/>
        <v>255.71428571428572</v>
      </c>
      <c r="U260" s="183">
        <f t="shared" si="82"/>
        <v>268.5</v>
      </c>
      <c r="V260" s="36">
        <f t="shared" si="83"/>
        <v>5.37</v>
      </c>
      <c r="W260" s="36">
        <f t="shared" si="84"/>
        <v>0.6</v>
      </c>
      <c r="X260" s="63">
        <f t="shared" si="86"/>
        <v>5.9</v>
      </c>
    </row>
    <row r="261" spans="1:25" ht="15">
      <c r="A261" s="89" t="s">
        <v>1765</v>
      </c>
      <c r="B261" s="89">
        <v>50</v>
      </c>
      <c r="C261" s="18" t="s">
        <v>1879</v>
      </c>
      <c r="D261" s="89">
        <v>30</v>
      </c>
      <c r="E261" s="30"/>
      <c r="F261" s="89"/>
      <c r="G261" s="89"/>
      <c r="H261" s="89"/>
      <c r="I261" s="89"/>
      <c r="J261" s="89"/>
      <c r="K261" s="182">
        <f t="shared" si="74"/>
        <v>7.2857142857142856</v>
      </c>
      <c r="L261" s="182">
        <f t="shared" si="75"/>
        <v>218.57142857142856</v>
      </c>
      <c r="M261" s="246" t="str">
        <f t="shared" si="76"/>
        <v/>
      </c>
      <c r="N261" s="246" t="str">
        <f t="shared" si="77"/>
        <v/>
      </c>
      <c r="O261" s="246" t="str">
        <f t="shared" si="78"/>
        <v/>
      </c>
      <c r="P261" s="246" t="str">
        <f t="shared" si="79"/>
        <v/>
      </c>
      <c r="Q261" s="246" t="str">
        <f t="shared" si="80"/>
        <v/>
      </c>
      <c r="R261" s="246" t="str">
        <f t="shared" si="88"/>
        <v/>
      </c>
      <c r="S261" s="108">
        <f t="shared" si="91"/>
        <v>20</v>
      </c>
      <c r="T261" s="183">
        <f t="shared" si="81"/>
        <v>238.57142857142856</v>
      </c>
      <c r="U261" s="183">
        <f t="shared" si="82"/>
        <v>250.5</v>
      </c>
      <c r="V261" s="36">
        <f t="shared" si="83"/>
        <v>5.01</v>
      </c>
      <c r="W261" s="36">
        <f t="shared" si="84"/>
        <v>0.6</v>
      </c>
      <c r="X261" s="63">
        <f t="shared" si="86"/>
        <v>5.5</v>
      </c>
    </row>
    <row r="262" spans="1:25">
      <c r="A262" s="18" t="s">
        <v>1900</v>
      </c>
      <c r="B262" s="89">
        <v>50</v>
      </c>
      <c r="C262" s="18" t="s">
        <v>193</v>
      </c>
      <c r="D262" s="89">
        <v>8</v>
      </c>
      <c r="E262" s="46" t="s">
        <v>2149</v>
      </c>
      <c r="F262" s="89">
        <v>8</v>
      </c>
      <c r="G262" s="18" t="s">
        <v>1867</v>
      </c>
      <c r="H262" s="89">
        <v>14</v>
      </c>
      <c r="I262" s="89"/>
      <c r="J262" s="89"/>
      <c r="K262" s="182">
        <f t="shared" si="74"/>
        <v>14.000000000000002</v>
      </c>
      <c r="L262" s="182">
        <f t="shared" si="75"/>
        <v>112.00000000000001</v>
      </c>
      <c r="M262" s="246">
        <f t="shared" si="76"/>
        <v>3.4666666666666668</v>
      </c>
      <c r="N262" s="246">
        <f t="shared" si="77"/>
        <v>27.733333333333334</v>
      </c>
      <c r="O262" s="246">
        <f t="shared" si="78"/>
        <v>1.6470588235294117</v>
      </c>
      <c r="P262" s="246">
        <f t="shared" si="79"/>
        <v>23.058823529411764</v>
      </c>
      <c r="Q262" s="246" t="str">
        <f t="shared" si="80"/>
        <v/>
      </c>
      <c r="R262" s="246" t="str">
        <f t="shared" si="88"/>
        <v/>
      </c>
      <c r="S262" s="108">
        <f t="shared" si="90"/>
        <v>5</v>
      </c>
      <c r="T262" s="183">
        <f t="shared" si="81"/>
        <v>167.79215686274512</v>
      </c>
      <c r="U262" s="183">
        <f t="shared" si="82"/>
        <v>176.18176470588239</v>
      </c>
      <c r="V262" s="36">
        <f t="shared" si="83"/>
        <v>3.5236352941176476</v>
      </c>
      <c r="W262" s="36">
        <f t="shared" si="84"/>
        <v>0.60000000000000009</v>
      </c>
      <c r="X262" s="63">
        <f t="shared" si="86"/>
        <v>3.9</v>
      </c>
    </row>
    <row r="263" spans="1:25">
      <c r="A263" s="19" t="s">
        <v>561</v>
      </c>
      <c r="B263" s="19">
        <v>30</v>
      </c>
      <c r="C263" s="32" t="s">
        <v>216</v>
      </c>
      <c r="D263" s="19">
        <v>12</v>
      </c>
      <c r="E263" s="89" t="s">
        <v>453</v>
      </c>
      <c r="F263" s="19">
        <v>0.5</v>
      </c>
      <c r="G263" s="19"/>
      <c r="H263" s="19"/>
      <c r="I263" s="19"/>
      <c r="J263" s="19"/>
      <c r="K263" s="182">
        <f t="shared" si="74"/>
        <v>17.571428571428573</v>
      </c>
      <c r="L263" s="182">
        <f t="shared" si="75"/>
        <v>210.85714285714289</v>
      </c>
      <c r="M263" s="246">
        <f t="shared" si="76"/>
        <v>2.2352941176470589</v>
      </c>
      <c r="N263" s="246">
        <f t="shared" si="77"/>
        <v>1.1176470588235294</v>
      </c>
      <c r="O263" s="246" t="str">
        <f t="shared" si="78"/>
        <v/>
      </c>
      <c r="P263" s="246" t="str">
        <f t="shared" si="79"/>
        <v/>
      </c>
      <c r="Q263" s="246" t="str">
        <f t="shared" si="80"/>
        <v/>
      </c>
      <c r="R263" s="246" t="str">
        <f t="shared" si="88"/>
        <v/>
      </c>
      <c r="S263" s="108">
        <f t="shared" si="87"/>
        <v>6</v>
      </c>
      <c r="T263" s="183">
        <f t="shared" si="81"/>
        <v>217.97478991596643</v>
      </c>
      <c r="U263" s="183">
        <f t="shared" si="82"/>
        <v>228.87352941176476</v>
      </c>
      <c r="V263" s="36">
        <f t="shared" si="83"/>
        <v>7.6291176470588251</v>
      </c>
      <c r="W263" s="36">
        <f t="shared" si="84"/>
        <v>0.41666666666666669</v>
      </c>
      <c r="X263" s="63">
        <f t="shared" si="86"/>
        <v>8.4</v>
      </c>
    </row>
    <row r="264" spans="1:25">
      <c r="A264" s="19" t="s">
        <v>562</v>
      </c>
      <c r="B264" s="19">
        <v>20</v>
      </c>
      <c r="C264" s="52" t="s">
        <v>310</v>
      </c>
      <c r="D264" s="19">
        <v>2</v>
      </c>
      <c r="E264" s="19"/>
      <c r="F264" s="19"/>
      <c r="G264" s="19"/>
      <c r="H264" s="19"/>
      <c r="I264" s="19"/>
      <c r="J264" s="19"/>
      <c r="K264" s="182">
        <f t="shared" si="74"/>
        <v>50.142857142857146</v>
      </c>
      <c r="L264" s="182">
        <f t="shared" si="75"/>
        <v>100.28571428571429</v>
      </c>
      <c r="M264" s="246" t="str">
        <f t="shared" si="76"/>
        <v/>
      </c>
      <c r="N264" s="246" t="str">
        <f t="shared" si="77"/>
        <v/>
      </c>
      <c r="O264" s="246" t="str">
        <f t="shared" si="78"/>
        <v/>
      </c>
      <c r="P264" s="246" t="str">
        <f t="shared" si="79"/>
        <v/>
      </c>
      <c r="Q264" s="246" t="str">
        <f t="shared" si="80"/>
        <v/>
      </c>
      <c r="R264" s="246" t="str">
        <f t="shared" si="88"/>
        <v/>
      </c>
      <c r="S264" s="108">
        <f t="shared" si="87"/>
        <v>4</v>
      </c>
      <c r="T264" s="183">
        <f t="shared" si="81"/>
        <v>104.28571428571429</v>
      </c>
      <c r="U264" s="183">
        <f t="shared" si="82"/>
        <v>109.50000000000001</v>
      </c>
      <c r="V264" s="36">
        <f t="shared" si="83"/>
        <v>5.4750000000000005</v>
      </c>
      <c r="W264" s="36">
        <f t="shared" si="84"/>
        <v>0.1</v>
      </c>
      <c r="X264" s="63">
        <f t="shared" si="86"/>
        <v>6</v>
      </c>
    </row>
    <row r="265" spans="1:25">
      <c r="A265" s="19" t="s">
        <v>563</v>
      </c>
      <c r="B265" s="19">
        <v>20</v>
      </c>
      <c r="C265" s="21" t="s">
        <v>128</v>
      </c>
      <c r="D265" s="19">
        <v>8</v>
      </c>
      <c r="E265" s="31" t="s">
        <v>2148</v>
      </c>
      <c r="F265" s="19">
        <v>4</v>
      </c>
      <c r="G265" s="19"/>
      <c r="H265" s="19"/>
      <c r="I265" s="19"/>
      <c r="J265" s="19"/>
      <c r="K265" s="182">
        <f t="shared" si="74"/>
        <v>0.94117647058823539</v>
      </c>
      <c r="L265" s="23">
        <f t="shared" si="75"/>
        <v>7.5294117647058831</v>
      </c>
      <c r="M265" s="246">
        <f t="shared" si="76"/>
        <v>2.5333333333333332</v>
      </c>
      <c r="N265" s="246">
        <f t="shared" si="77"/>
        <v>10.133333333333333</v>
      </c>
      <c r="O265" s="246" t="str">
        <f t="shared" si="78"/>
        <v/>
      </c>
      <c r="P265" s="246" t="str">
        <f t="shared" si="79"/>
        <v/>
      </c>
      <c r="Q265" s="246" t="str">
        <f t="shared" si="80"/>
        <v/>
      </c>
      <c r="R265" s="246" t="str">
        <f t="shared" si="88"/>
        <v/>
      </c>
      <c r="S265" s="108">
        <f t="shared" si="87"/>
        <v>4</v>
      </c>
      <c r="T265" s="183">
        <f t="shared" si="81"/>
        <v>21.662745098039217</v>
      </c>
      <c r="U265" s="247">
        <f t="shared" si="82"/>
        <v>22.74588235294118</v>
      </c>
      <c r="V265" s="36">
        <f t="shared" si="83"/>
        <v>1.137294117647059</v>
      </c>
      <c r="W265" s="36">
        <f t="shared" si="84"/>
        <v>0.60000000000000009</v>
      </c>
      <c r="X265" s="63">
        <f t="shared" si="86"/>
        <v>1.3</v>
      </c>
    </row>
    <row r="266" spans="1:25" ht="15">
      <c r="A266" s="19" t="s">
        <v>564</v>
      </c>
      <c r="B266" s="19">
        <v>30</v>
      </c>
      <c r="C266" s="89" t="s">
        <v>449</v>
      </c>
      <c r="D266" s="19">
        <v>15</v>
      </c>
      <c r="E266" s="30" t="s">
        <v>393</v>
      </c>
      <c r="F266" s="19">
        <v>2</v>
      </c>
      <c r="G266" s="19"/>
      <c r="H266" s="19"/>
      <c r="I266" s="19"/>
      <c r="J266" s="19"/>
      <c r="K266" s="182">
        <f t="shared" si="74"/>
        <v>2.7058823529411762</v>
      </c>
      <c r="L266" s="23">
        <f t="shared" si="75"/>
        <v>40.588235294117645</v>
      </c>
      <c r="M266" s="246">
        <f t="shared" si="76"/>
        <v>2.8571428571428572</v>
      </c>
      <c r="N266" s="246">
        <f t="shared" si="77"/>
        <v>5.7142857142857144</v>
      </c>
      <c r="O266" s="246" t="str">
        <f t="shared" si="78"/>
        <v/>
      </c>
      <c r="P266" s="246" t="str">
        <f t="shared" si="79"/>
        <v/>
      </c>
      <c r="Q266" s="246" t="str">
        <f t="shared" si="80"/>
        <v/>
      </c>
      <c r="R266" s="246" t="str">
        <f t="shared" si="88"/>
        <v/>
      </c>
      <c r="S266" s="108">
        <f t="shared" si="87"/>
        <v>6</v>
      </c>
      <c r="T266" s="28">
        <f t="shared" si="81"/>
        <v>52.30252100840336</v>
      </c>
      <c r="U266" s="247">
        <f t="shared" si="82"/>
        <v>54.917647058823533</v>
      </c>
      <c r="V266" s="36">
        <f t="shared" si="83"/>
        <v>1.8305882352941178</v>
      </c>
      <c r="W266" s="36">
        <f t="shared" si="84"/>
        <v>0.56666666666666665</v>
      </c>
      <c r="X266" s="63">
        <f t="shared" si="86"/>
        <v>2</v>
      </c>
    </row>
    <row r="267" spans="1:25" ht="15">
      <c r="A267" s="19" t="s">
        <v>565</v>
      </c>
      <c r="B267" s="19">
        <v>20</v>
      </c>
      <c r="C267" s="19" t="s">
        <v>566</v>
      </c>
      <c r="D267" s="19">
        <v>10</v>
      </c>
      <c r="E267" s="50" t="s">
        <v>567</v>
      </c>
      <c r="F267" s="19">
        <v>0.2</v>
      </c>
      <c r="G267" s="19"/>
      <c r="H267" s="19"/>
      <c r="I267" s="19"/>
      <c r="J267" s="19"/>
      <c r="K267" s="182">
        <f t="shared" si="74"/>
        <v>1.7647058823529411</v>
      </c>
      <c r="L267" s="23">
        <f t="shared" si="75"/>
        <v>17.647058823529413</v>
      </c>
      <c r="M267" s="246">
        <f t="shared" si="76"/>
        <v>45.714285714285715</v>
      </c>
      <c r="N267" s="246">
        <f t="shared" si="77"/>
        <v>9.1428571428571441</v>
      </c>
      <c r="O267" s="246" t="str">
        <f t="shared" si="78"/>
        <v/>
      </c>
      <c r="P267" s="246" t="str">
        <f t="shared" si="79"/>
        <v/>
      </c>
      <c r="Q267" s="246" t="str">
        <f t="shared" si="80"/>
        <v/>
      </c>
      <c r="R267" s="246" t="str">
        <f t="shared" si="88"/>
        <v/>
      </c>
      <c r="S267" s="108">
        <f t="shared" si="87"/>
        <v>4</v>
      </c>
      <c r="T267" s="28">
        <f t="shared" si="81"/>
        <v>30.789915966386559</v>
      </c>
      <c r="U267" s="247">
        <f t="shared" si="82"/>
        <v>32.329411764705888</v>
      </c>
      <c r="V267" s="36">
        <f t="shared" si="83"/>
        <v>1.6164705882352943</v>
      </c>
      <c r="W267" s="36">
        <f t="shared" si="84"/>
        <v>0.51</v>
      </c>
      <c r="X267" s="63">
        <f t="shared" si="86"/>
        <v>1.8</v>
      </c>
    </row>
    <row r="268" spans="1:25" ht="15">
      <c r="A268" s="18" t="s">
        <v>1432</v>
      </c>
      <c r="B268" s="89">
        <v>10</v>
      </c>
      <c r="C268" s="18" t="s">
        <v>1433</v>
      </c>
      <c r="D268" s="89">
        <v>6</v>
      </c>
      <c r="E268" s="50"/>
      <c r="F268" s="89"/>
      <c r="G268" s="89"/>
      <c r="H268" s="89"/>
      <c r="I268" s="89"/>
      <c r="J268" s="89"/>
      <c r="K268" s="182">
        <f t="shared" si="74"/>
        <v>10.714285714285715</v>
      </c>
      <c r="L268" s="132">
        <f t="shared" si="75"/>
        <v>64.285714285714292</v>
      </c>
      <c r="M268" s="246" t="str">
        <f t="shared" si="76"/>
        <v/>
      </c>
      <c r="N268" s="246" t="str">
        <f t="shared" si="77"/>
        <v/>
      </c>
      <c r="O268" s="246" t="str">
        <f t="shared" si="78"/>
        <v/>
      </c>
      <c r="P268" s="246" t="str">
        <f t="shared" si="79"/>
        <v/>
      </c>
      <c r="Q268" s="246" t="str">
        <f t="shared" si="80"/>
        <v/>
      </c>
      <c r="R268" s="246" t="str">
        <f t="shared" si="88"/>
        <v/>
      </c>
      <c r="S268" s="108">
        <f t="shared" si="87"/>
        <v>2</v>
      </c>
      <c r="T268" s="247">
        <f t="shared" si="81"/>
        <v>66.285714285714292</v>
      </c>
      <c r="U268" s="247">
        <f t="shared" si="82"/>
        <v>69.600000000000009</v>
      </c>
      <c r="V268" s="36">
        <f t="shared" si="83"/>
        <v>6.9600000000000009</v>
      </c>
      <c r="W268" s="36">
        <f t="shared" si="84"/>
        <v>0.6</v>
      </c>
      <c r="X268" s="63">
        <f t="shared" si="86"/>
        <v>7.7</v>
      </c>
    </row>
    <row r="269" spans="1:25">
      <c r="A269" s="26" t="s">
        <v>1309</v>
      </c>
      <c r="B269" s="27">
        <v>20</v>
      </c>
      <c r="C269" s="27" t="s">
        <v>1310</v>
      </c>
      <c r="D269" s="27">
        <v>10</v>
      </c>
      <c r="E269" s="27" t="s">
        <v>1311</v>
      </c>
      <c r="F269" s="27">
        <v>0.1</v>
      </c>
      <c r="G269" s="27"/>
      <c r="H269" s="27"/>
      <c r="I269" s="27"/>
      <c r="J269" s="27"/>
      <c r="K269" s="246">
        <f t="shared" si="74"/>
        <v>1.7647058823529411</v>
      </c>
      <c r="L269" s="23">
        <f t="shared" si="75"/>
        <v>17.647058823529413</v>
      </c>
      <c r="M269" s="246">
        <f t="shared" si="76"/>
        <v>61.428571428571431</v>
      </c>
      <c r="N269" s="246">
        <f t="shared" si="77"/>
        <v>6.1428571428571432</v>
      </c>
      <c r="O269" s="246" t="str">
        <f t="shared" si="78"/>
        <v/>
      </c>
      <c r="P269" s="246" t="str">
        <f t="shared" si="79"/>
        <v/>
      </c>
      <c r="Q269" s="246" t="str">
        <f t="shared" si="80"/>
        <v/>
      </c>
      <c r="R269" s="246" t="str">
        <f t="shared" si="88"/>
        <v/>
      </c>
      <c r="S269" s="108">
        <f t="shared" si="87"/>
        <v>4</v>
      </c>
      <c r="T269" s="247">
        <f t="shared" si="81"/>
        <v>27.789915966386555</v>
      </c>
      <c r="U269" s="247">
        <f t="shared" si="82"/>
        <v>29.179411764705883</v>
      </c>
      <c r="V269" s="36">
        <f t="shared" si="83"/>
        <v>1.4589705882352941</v>
      </c>
      <c r="W269" s="36">
        <f t="shared" si="84"/>
        <v>0.505</v>
      </c>
      <c r="X269" s="63">
        <f t="shared" si="86"/>
        <v>1.6</v>
      </c>
    </row>
    <row r="270" spans="1:25">
      <c r="A270" s="26" t="s">
        <v>2334</v>
      </c>
      <c r="B270" s="27">
        <v>10</v>
      </c>
      <c r="C270" s="27" t="s">
        <v>2801</v>
      </c>
      <c r="D270" s="27">
        <v>7</v>
      </c>
      <c r="E270" s="27" t="s">
        <v>1312</v>
      </c>
      <c r="F270" s="27">
        <v>0.5</v>
      </c>
      <c r="G270" s="27"/>
      <c r="H270" s="27"/>
      <c r="I270" s="27"/>
      <c r="J270" s="27"/>
      <c r="K270" s="246">
        <f t="shared" si="74"/>
        <v>1.6235294117647059</v>
      </c>
      <c r="L270" s="23">
        <f t="shared" si="75"/>
        <v>11.364705882352942</v>
      </c>
      <c r="M270" s="246">
        <f t="shared" si="76"/>
        <v>17.142857142857142</v>
      </c>
      <c r="N270" s="246">
        <f t="shared" si="77"/>
        <v>8.5714285714285712</v>
      </c>
      <c r="O270" s="246" t="str">
        <f t="shared" si="78"/>
        <v/>
      </c>
      <c r="P270" s="246" t="str">
        <f t="shared" si="79"/>
        <v/>
      </c>
      <c r="Q270" s="246" t="str">
        <f t="shared" si="80"/>
        <v/>
      </c>
      <c r="R270" s="246" t="str">
        <f t="shared" si="88"/>
        <v/>
      </c>
      <c r="S270" s="108">
        <f t="shared" si="87"/>
        <v>2</v>
      </c>
      <c r="T270" s="247">
        <f t="shared" si="81"/>
        <v>21.936134453781513</v>
      </c>
      <c r="U270" s="247">
        <f t="shared" si="82"/>
        <v>23.03294117647059</v>
      </c>
      <c r="V270" s="36">
        <f t="shared" si="83"/>
        <v>2.3032941176470589</v>
      </c>
      <c r="W270" s="36">
        <f t="shared" si="84"/>
        <v>0.75</v>
      </c>
      <c r="X270" s="63">
        <f t="shared" si="86"/>
        <v>2.5</v>
      </c>
    </row>
    <row r="271" spans="1:25">
      <c r="A271" s="1" t="s">
        <v>2276</v>
      </c>
      <c r="B271" s="1">
        <v>1</v>
      </c>
      <c r="C271" s="1" t="s">
        <v>287</v>
      </c>
      <c r="D271" s="1">
        <v>0.6</v>
      </c>
      <c r="E271" s="1" t="s">
        <v>37</v>
      </c>
      <c r="F271" s="1">
        <v>0.1</v>
      </c>
      <c r="G271" s="1"/>
      <c r="H271" s="1"/>
      <c r="I271" s="1"/>
      <c r="J271" s="1"/>
      <c r="K271" s="246">
        <f t="shared" ref="K271:K334" si="92">IF(C271="","",VLOOKUP(C271,成本单价,8,0))</f>
        <v>13</v>
      </c>
      <c r="L271" s="246">
        <f t="shared" si="75"/>
        <v>7.8</v>
      </c>
      <c r="M271" s="246">
        <f t="shared" ref="M271:M334" si="93">IF(E271="","",VLOOKUP(E271,成本单价,8,0))</f>
        <v>1.6470588235294117</v>
      </c>
      <c r="N271" s="246">
        <f t="shared" ref="N271:N334" si="94">IFERROR(F271*M271,"")</f>
        <v>0.16470588235294117</v>
      </c>
      <c r="O271" s="246" t="str">
        <f t="shared" ref="O271:O334" si="95">IF(G271="","",VLOOKUP(G271,成本单价,8,0))</f>
        <v/>
      </c>
      <c r="P271" s="246" t="str">
        <f t="shared" ref="P271:P334" si="96">IFERROR(H271*O271,"")</f>
        <v/>
      </c>
      <c r="Q271" s="246" t="str">
        <f t="shared" ref="Q271:Q334" si="97">IF(I271="","",VLOOKUP(I271,成本单价,8,0))</f>
        <v/>
      </c>
      <c r="R271" s="246" t="str">
        <f t="shared" ref="R271:R334" si="98">IFERROR(J271*Q271,"")</f>
        <v/>
      </c>
      <c r="S271" s="108">
        <f t="shared" si="87"/>
        <v>0.2</v>
      </c>
      <c r="T271" s="247">
        <f t="shared" ref="T271:T334" si="99">IFERROR(SUM(L271,N271,P271,R271,S271),"")</f>
        <v>8.1647058823529406</v>
      </c>
      <c r="U271" s="247">
        <f t="shared" ref="U271:U334" si="100">T271*(1+物料比)</f>
        <v>8.5729411764705876</v>
      </c>
      <c r="V271" s="36">
        <f t="shared" ref="V271:V334" si="101">U271/B271</f>
        <v>8.5729411764705876</v>
      </c>
      <c r="W271" s="36">
        <f t="shared" ref="W271:W334" si="102">D271/B271+F271/B271+H271/B271+J271/B271</f>
        <v>0.7</v>
      </c>
      <c r="X271" s="63">
        <f t="shared" ref="X271:X334" si="103">ROUND(V271*(1+大灶毛利),1)</f>
        <v>9.4</v>
      </c>
      <c r="Y271"/>
    </row>
    <row r="272" spans="1:25">
      <c r="A272" s="1" t="s">
        <v>2277</v>
      </c>
      <c r="B272" s="1">
        <v>10</v>
      </c>
      <c r="C272" s="1" t="s">
        <v>206</v>
      </c>
      <c r="D272" s="1">
        <v>5</v>
      </c>
      <c r="E272" s="1" t="s">
        <v>2792</v>
      </c>
      <c r="F272" s="1">
        <v>1</v>
      </c>
      <c r="G272" s="1" t="s">
        <v>59</v>
      </c>
      <c r="H272" s="1">
        <v>0.5</v>
      </c>
      <c r="I272" s="1"/>
      <c r="J272" s="1"/>
      <c r="K272" s="246">
        <f t="shared" si="92"/>
        <v>14.428571428571429</v>
      </c>
      <c r="L272" s="246">
        <f t="shared" ref="L272:L335" si="104">IFERROR(D272*K272,"")</f>
        <v>72.142857142857139</v>
      </c>
      <c r="M272" s="246">
        <f t="shared" si="93"/>
        <v>1.6235294117647059</v>
      </c>
      <c r="N272" s="246">
        <f t="shared" si="94"/>
        <v>1.6235294117647059</v>
      </c>
      <c r="O272" s="246">
        <f t="shared" si="95"/>
        <v>2.1176470588235294</v>
      </c>
      <c r="P272" s="246">
        <f t="shared" si="96"/>
        <v>1.0588235294117647</v>
      </c>
      <c r="Q272" s="246" t="str">
        <f t="shared" si="97"/>
        <v/>
      </c>
      <c r="R272" s="246" t="str">
        <f t="shared" si="98"/>
        <v/>
      </c>
      <c r="S272" s="108">
        <f t="shared" ref="S272:S335" si="105">B272*0.2</f>
        <v>2</v>
      </c>
      <c r="T272" s="247">
        <f t="shared" si="99"/>
        <v>76.825210084033614</v>
      </c>
      <c r="U272" s="247">
        <f t="shared" si="100"/>
        <v>80.666470588235299</v>
      </c>
      <c r="V272" s="36">
        <f t="shared" si="101"/>
        <v>8.0666470588235306</v>
      </c>
      <c r="W272" s="36">
        <f t="shared" si="102"/>
        <v>0.65</v>
      </c>
      <c r="X272" s="63">
        <f t="shared" si="103"/>
        <v>8.9</v>
      </c>
      <c r="Y272"/>
    </row>
    <row r="273" spans="1:25">
      <c r="A273" s="1" t="s">
        <v>2282</v>
      </c>
      <c r="B273" s="1">
        <v>1</v>
      </c>
      <c r="C273" s="1" t="s">
        <v>198</v>
      </c>
      <c r="D273" s="1">
        <v>0.4</v>
      </c>
      <c r="E273" s="1" t="s">
        <v>288</v>
      </c>
      <c r="F273" s="1">
        <v>0.1</v>
      </c>
      <c r="G273" s="1" t="s">
        <v>1009</v>
      </c>
      <c r="H273" s="1">
        <v>5.0000000000000001E-3</v>
      </c>
      <c r="I273" s="1" t="s">
        <v>72</v>
      </c>
      <c r="J273" s="1">
        <v>0.15</v>
      </c>
      <c r="K273" s="246">
        <f t="shared" si="92"/>
        <v>17.285714285714285</v>
      </c>
      <c r="L273" s="246">
        <f t="shared" si="104"/>
        <v>6.9142857142857146</v>
      </c>
      <c r="M273" s="246">
        <f t="shared" si="93"/>
        <v>21.571428571428573</v>
      </c>
      <c r="N273" s="246">
        <f t="shared" si="94"/>
        <v>2.1571428571428575</v>
      </c>
      <c r="O273" s="246">
        <f t="shared" si="95"/>
        <v>61.428571428571431</v>
      </c>
      <c r="P273" s="246">
        <f t="shared" si="96"/>
        <v>0.30714285714285716</v>
      </c>
      <c r="Q273" s="246">
        <f t="shared" si="97"/>
        <v>1.1176470588235294</v>
      </c>
      <c r="R273" s="246">
        <f t="shared" si="98"/>
        <v>0.1676470588235294</v>
      </c>
      <c r="S273" s="108">
        <f t="shared" si="105"/>
        <v>0.2</v>
      </c>
      <c r="T273" s="247">
        <f t="shared" si="99"/>
        <v>9.7462184873949589</v>
      </c>
      <c r="U273" s="247">
        <f t="shared" si="100"/>
        <v>10.233529411764707</v>
      </c>
      <c r="V273" s="36">
        <f t="shared" si="101"/>
        <v>10.233529411764707</v>
      </c>
      <c r="W273" s="36">
        <f t="shared" si="102"/>
        <v>0.65500000000000003</v>
      </c>
      <c r="X273" s="63">
        <f t="shared" si="103"/>
        <v>11.3</v>
      </c>
      <c r="Y273"/>
    </row>
    <row r="274" spans="1:25">
      <c r="A274" s="1" t="s">
        <v>2283</v>
      </c>
      <c r="B274" s="1">
        <v>1</v>
      </c>
      <c r="C274" s="1" t="s">
        <v>235</v>
      </c>
      <c r="D274" s="1">
        <v>0.6</v>
      </c>
      <c r="E274" s="1" t="s">
        <v>146</v>
      </c>
      <c r="F274" s="1">
        <v>0.1</v>
      </c>
      <c r="G274" s="1" t="s">
        <v>2284</v>
      </c>
      <c r="H274" s="1">
        <v>1E-3</v>
      </c>
      <c r="I274" s="1"/>
      <c r="J274" s="1"/>
      <c r="K274" s="246">
        <f t="shared" si="92"/>
        <v>34.714285714285715</v>
      </c>
      <c r="L274" s="246">
        <f t="shared" si="104"/>
        <v>20.828571428571429</v>
      </c>
      <c r="M274" s="246">
        <f t="shared" si="93"/>
        <v>0.70588235294117652</v>
      </c>
      <c r="N274" s="246">
        <f t="shared" si="94"/>
        <v>7.058823529411766E-2</v>
      </c>
      <c r="O274" s="246" t="e">
        <f t="shared" si="95"/>
        <v>#N/A</v>
      </c>
      <c r="P274" s="246" t="str">
        <f t="shared" si="96"/>
        <v/>
      </c>
      <c r="Q274" s="246" t="str">
        <f t="shared" si="97"/>
        <v/>
      </c>
      <c r="R274" s="246" t="str">
        <f t="shared" si="98"/>
        <v/>
      </c>
      <c r="S274" s="108">
        <f t="shared" si="105"/>
        <v>0.2</v>
      </c>
      <c r="T274" s="247">
        <f t="shared" si="99"/>
        <v>21.099159663865546</v>
      </c>
      <c r="U274" s="247">
        <f t="shared" si="100"/>
        <v>22.154117647058825</v>
      </c>
      <c r="V274" s="36">
        <f t="shared" si="101"/>
        <v>22.154117647058825</v>
      </c>
      <c r="W274" s="36">
        <f t="shared" si="102"/>
        <v>0.70099999999999996</v>
      </c>
      <c r="X274" s="63">
        <f t="shared" si="103"/>
        <v>24.4</v>
      </c>
      <c r="Y274"/>
    </row>
    <row r="275" spans="1:25">
      <c r="A275" s="1" t="s">
        <v>2285</v>
      </c>
      <c r="B275" s="1">
        <v>1</v>
      </c>
      <c r="C275" s="1" t="s">
        <v>177</v>
      </c>
      <c r="D275" s="1">
        <v>0.4</v>
      </c>
      <c r="E275" s="1" t="s">
        <v>1009</v>
      </c>
      <c r="F275" s="1">
        <v>1.4999999999999999E-2</v>
      </c>
      <c r="G275" s="1" t="s">
        <v>36</v>
      </c>
      <c r="H275" s="1">
        <v>0.05</v>
      </c>
      <c r="I275" s="1" t="s">
        <v>35</v>
      </c>
      <c r="J275" s="1">
        <v>0.1</v>
      </c>
      <c r="K275" s="246">
        <f t="shared" si="92"/>
        <v>3.5294117647058822</v>
      </c>
      <c r="L275" s="246">
        <f t="shared" si="104"/>
        <v>1.411764705882353</v>
      </c>
      <c r="M275" s="246">
        <f t="shared" si="93"/>
        <v>61.428571428571431</v>
      </c>
      <c r="N275" s="246">
        <f t="shared" si="94"/>
        <v>0.92142857142857137</v>
      </c>
      <c r="O275" s="246">
        <f t="shared" si="95"/>
        <v>8.3529411764705888</v>
      </c>
      <c r="P275" s="246">
        <f t="shared" si="96"/>
        <v>0.41764705882352948</v>
      </c>
      <c r="Q275" s="246">
        <f t="shared" si="97"/>
        <v>1.6470588235294117</v>
      </c>
      <c r="R275" s="246">
        <f t="shared" si="98"/>
        <v>0.16470588235294117</v>
      </c>
      <c r="S275" s="108">
        <f t="shared" si="105"/>
        <v>0.2</v>
      </c>
      <c r="T275" s="247">
        <f t="shared" si="99"/>
        <v>3.115546218487395</v>
      </c>
      <c r="U275" s="247">
        <f t="shared" si="100"/>
        <v>3.2713235294117649</v>
      </c>
      <c r="V275" s="36">
        <f t="shared" si="101"/>
        <v>3.2713235294117649</v>
      </c>
      <c r="W275" s="36">
        <f t="shared" si="102"/>
        <v>0.56500000000000006</v>
      </c>
      <c r="X275" s="63">
        <f t="shared" si="103"/>
        <v>3.6</v>
      </c>
      <c r="Y275"/>
    </row>
    <row r="276" spans="1:25">
      <c r="A276" s="1" t="s">
        <v>2286</v>
      </c>
      <c r="B276" s="1">
        <v>1</v>
      </c>
      <c r="C276" s="1" t="s">
        <v>144</v>
      </c>
      <c r="D276" s="1">
        <v>0.6</v>
      </c>
      <c r="E276" s="1"/>
      <c r="F276" s="1"/>
      <c r="G276" s="1"/>
      <c r="H276" s="1"/>
      <c r="I276" s="1"/>
      <c r="J276" s="1"/>
      <c r="K276" s="246">
        <f t="shared" si="92"/>
        <v>4.7058823529411766</v>
      </c>
      <c r="L276" s="246">
        <f t="shared" si="104"/>
        <v>2.8235294117647061</v>
      </c>
      <c r="M276" s="246" t="str">
        <f t="shared" si="93"/>
        <v/>
      </c>
      <c r="N276" s="246" t="str">
        <f t="shared" si="94"/>
        <v/>
      </c>
      <c r="O276" s="246" t="str">
        <f t="shared" si="95"/>
        <v/>
      </c>
      <c r="P276" s="246" t="str">
        <f t="shared" si="96"/>
        <v/>
      </c>
      <c r="Q276" s="246" t="str">
        <f t="shared" si="97"/>
        <v/>
      </c>
      <c r="R276" s="246" t="str">
        <f t="shared" si="98"/>
        <v/>
      </c>
      <c r="S276" s="108">
        <f t="shared" si="105"/>
        <v>0.2</v>
      </c>
      <c r="T276" s="247">
        <f t="shared" si="99"/>
        <v>3.0235294117647062</v>
      </c>
      <c r="U276" s="247">
        <f t="shared" si="100"/>
        <v>3.1747058823529417</v>
      </c>
      <c r="V276" s="36">
        <f t="shared" si="101"/>
        <v>3.1747058823529417</v>
      </c>
      <c r="W276" s="36">
        <f t="shared" si="102"/>
        <v>0.6</v>
      </c>
      <c r="X276" s="63">
        <f t="shared" si="103"/>
        <v>3.5</v>
      </c>
      <c r="Y276"/>
    </row>
    <row r="277" spans="1:25">
      <c r="A277" s="1" t="s">
        <v>2278</v>
      </c>
      <c r="B277" s="1">
        <v>1</v>
      </c>
      <c r="C277" s="1" t="s">
        <v>170</v>
      </c>
      <c r="D277" s="1">
        <v>1</v>
      </c>
      <c r="E277" s="1"/>
      <c r="F277" s="1"/>
      <c r="G277" s="1"/>
      <c r="H277" s="1"/>
      <c r="I277" s="1"/>
      <c r="J277" s="1"/>
      <c r="K277" s="246">
        <f t="shared" si="92"/>
        <v>2.2352941176470589</v>
      </c>
      <c r="L277" s="246">
        <f t="shared" si="104"/>
        <v>2.2352941176470589</v>
      </c>
      <c r="M277" s="246" t="str">
        <f t="shared" si="93"/>
        <v/>
      </c>
      <c r="N277" s="246" t="str">
        <f t="shared" si="94"/>
        <v/>
      </c>
      <c r="O277" s="246" t="str">
        <f t="shared" si="95"/>
        <v/>
      </c>
      <c r="P277" s="246" t="str">
        <f t="shared" si="96"/>
        <v/>
      </c>
      <c r="Q277" s="246" t="str">
        <f t="shared" si="97"/>
        <v/>
      </c>
      <c r="R277" s="246" t="str">
        <f t="shared" si="98"/>
        <v/>
      </c>
      <c r="S277" s="108">
        <f t="shared" si="105"/>
        <v>0.2</v>
      </c>
      <c r="T277" s="247">
        <f t="shared" si="99"/>
        <v>2.4352941176470591</v>
      </c>
      <c r="U277" s="247">
        <f t="shared" si="100"/>
        <v>2.5570588235294123</v>
      </c>
      <c r="V277" s="36">
        <f t="shared" si="101"/>
        <v>2.5570588235294123</v>
      </c>
      <c r="W277" s="36">
        <f t="shared" si="102"/>
        <v>1</v>
      </c>
      <c r="X277" s="63">
        <f t="shared" si="103"/>
        <v>2.8</v>
      </c>
      <c r="Y277"/>
    </row>
    <row r="278" spans="1:25">
      <c r="A278" s="1" t="s">
        <v>2287</v>
      </c>
      <c r="B278" s="1">
        <v>1</v>
      </c>
      <c r="C278" s="1" t="s">
        <v>76</v>
      </c>
      <c r="D278" s="1">
        <v>0.6</v>
      </c>
      <c r="E278" s="1" t="s">
        <v>152</v>
      </c>
      <c r="F278" s="1">
        <v>0.1</v>
      </c>
      <c r="G278" s="1" t="s">
        <v>59</v>
      </c>
      <c r="H278" s="1">
        <v>0.05</v>
      </c>
      <c r="I278" s="1"/>
      <c r="J278" s="1"/>
      <c r="K278" s="246">
        <f t="shared" si="92"/>
        <v>10.714285714285715</v>
      </c>
      <c r="L278" s="246">
        <f t="shared" si="104"/>
        <v>6.4285714285714288</v>
      </c>
      <c r="M278" s="246">
        <f t="shared" si="93"/>
        <v>0.94117647058823539</v>
      </c>
      <c r="N278" s="246">
        <f t="shared" si="94"/>
        <v>9.4117647058823542E-2</v>
      </c>
      <c r="O278" s="246">
        <f t="shared" si="95"/>
        <v>2.1176470588235294</v>
      </c>
      <c r="P278" s="246">
        <f t="shared" si="96"/>
        <v>0.10588235294117648</v>
      </c>
      <c r="Q278" s="246" t="str">
        <f t="shared" si="97"/>
        <v/>
      </c>
      <c r="R278" s="246" t="str">
        <f t="shared" si="98"/>
        <v/>
      </c>
      <c r="S278" s="108">
        <f t="shared" si="105"/>
        <v>0.2</v>
      </c>
      <c r="T278" s="247">
        <f t="shared" si="99"/>
        <v>6.8285714285714283</v>
      </c>
      <c r="U278" s="247">
        <f t="shared" si="100"/>
        <v>7.17</v>
      </c>
      <c r="V278" s="36">
        <f t="shared" si="101"/>
        <v>7.17</v>
      </c>
      <c r="W278" s="36">
        <f t="shared" si="102"/>
        <v>0.75</v>
      </c>
      <c r="X278" s="63">
        <f t="shared" si="103"/>
        <v>7.9</v>
      </c>
      <c r="Y278"/>
    </row>
    <row r="279" spans="1:25">
      <c r="A279" s="1" t="s">
        <v>2288</v>
      </c>
      <c r="B279" s="1">
        <v>1</v>
      </c>
      <c r="C279" s="1" t="s">
        <v>104</v>
      </c>
      <c r="D279" s="1">
        <v>0.6</v>
      </c>
      <c r="E279" s="1" t="s">
        <v>146</v>
      </c>
      <c r="F279" s="1">
        <v>0.1</v>
      </c>
      <c r="G279" s="1" t="s">
        <v>14</v>
      </c>
      <c r="H279" s="1">
        <v>0.05</v>
      </c>
      <c r="I279" s="1"/>
      <c r="J279" s="1"/>
      <c r="K279" s="246">
        <f t="shared" si="92"/>
        <v>24.714285714285715</v>
      </c>
      <c r="L279" s="246">
        <f t="shared" si="104"/>
        <v>14.828571428571429</v>
      </c>
      <c r="M279" s="246">
        <f t="shared" si="93"/>
        <v>0.70588235294117652</v>
      </c>
      <c r="N279" s="246">
        <f t="shared" si="94"/>
        <v>7.058823529411766E-2</v>
      </c>
      <c r="O279" s="246">
        <f t="shared" si="95"/>
        <v>2.2352941176470589</v>
      </c>
      <c r="P279" s="246">
        <f t="shared" si="96"/>
        <v>0.11176470588235295</v>
      </c>
      <c r="Q279" s="246" t="str">
        <f t="shared" si="97"/>
        <v/>
      </c>
      <c r="R279" s="246" t="str">
        <f t="shared" si="98"/>
        <v/>
      </c>
      <c r="S279" s="108">
        <f t="shared" si="105"/>
        <v>0.2</v>
      </c>
      <c r="T279" s="247">
        <f t="shared" si="99"/>
        <v>15.210924369747898</v>
      </c>
      <c r="U279" s="247">
        <f t="shared" si="100"/>
        <v>15.971470588235293</v>
      </c>
      <c r="V279" s="36">
        <f t="shared" si="101"/>
        <v>15.971470588235293</v>
      </c>
      <c r="W279" s="36">
        <f t="shared" si="102"/>
        <v>0.75</v>
      </c>
      <c r="X279" s="63">
        <f t="shared" si="103"/>
        <v>17.600000000000001</v>
      </c>
      <c r="Y279"/>
    </row>
    <row r="280" spans="1:25">
      <c r="A280" s="1" t="s">
        <v>2289</v>
      </c>
      <c r="B280" s="1">
        <v>1</v>
      </c>
      <c r="C280" s="1" t="s">
        <v>256</v>
      </c>
      <c r="D280" s="1">
        <v>0.6</v>
      </c>
      <c r="E280" s="1" t="s">
        <v>163</v>
      </c>
      <c r="F280" s="1">
        <v>0.1</v>
      </c>
      <c r="G280" s="1"/>
      <c r="H280" s="1"/>
      <c r="I280" s="1"/>
      <c r="J280" s="1"/>
      <c r="K280" s="246">
        <f t="shared" si="92"/>
        <v>23.285714285714288</v>
      </c>
      <c r="L280" s="246">
        <f t="shared" si="104"/>
        <v>13.971428571428573</v>
      </c>
      <c r="M280" s="246">
        <f t="shared" si="93"/>
        <v>6</v>
      </c>
      <c r="N280" s="246">
        <f t="shared" si="94"/>
        <v>0.60000000000000009</v>
      </c>
      <c r="O280" s="246" t="str">
        <f t="shared" si="95"/>
        <v/>
      </c>
      <c r="P280" s="246" t="str">
        <f t="shared" si="96"/>
        <v/>
      </c>
      <c r="Q280" s="246" t="str">
        <f t="shared" si="97"/>
        <v/>
      </c>
      <c r="R280" s="246" t="str">
        <f t="shared" si="98"/>
        <v/>
      </c>
      <c r="S280" s="108">
        <f t="shared" si="105"/>
        <v>0.2</v>
      </c>
      <c r="T280" s="247">
        <f t="shared" si="99"/>
        <v>14.771428571428572</v>
      </c>
      <c r="U280" s="247">
        <f t="shared" si="100"/>
        <v>15.510000000000002</v>
      </c>
      <c r="V280" s="36">
        <f t="shared" si="101"/>
        <v>15.510000000000002</v>
      </c>
      <c r="W280" s="36">
        <f t="shared" si="102"/>
        <v>0.7</v>
      </c>
      <c r="X280" s="63">
        <f t="shared" si="103"/>
        <v>17.100000000000001</v>
      </c>
      <c r="Y280"/>
    </row>
    <row r="281" spans="1:25">
      <c r="A281" s="1" t="s">
        <v>2290</v>
      </c>
      <c r="B281" s="1">
        <v>1</v>
      </c>
      <c r="C281" s="1" t="s">
        <v>312</v>
      </c>
      <c r="D281" s="1">
        <v>0.15</v>
      </c>
      <c r="E281" s="1" t="s">
        <v>66</v>
      </c>
      <c r="F281" s="1">
        <v>0.3</v>
      </c>
      <c r="G281" s="1" t="s">
        <v>36</v>
      </c>
      <c r="H281" s="1">
        <v>0.1</v>
      </c>
      <c r="I281" s="1"/>
      <c r="J281" s="1"/>
      <c r="K281" s="246">
        <f t="shared" si="92"/>
        <v>73</v>
      </c>
      <c r="L281" s="246">
        <f t="shared" si="104"/>
        <v>10.95</v>
      </c>
      <c r="M281" s="246">
        <f t="shared" si="93"/>
        <v>2.3529411764705883</v>
      </c>
      <c r="N281" s="246">
        <f t="shared" si="94"/>
        <v>0.70588235294117652</v>
      </c>
      <c r="O281" s="246">
        <f t="shared" si="95"/>
        <v>8.3529411764705888</v>
      </c>
      <c r="P281" s="246">
        <f t="shared" si="96"/>
        <v>0.83529411764705896</v>
      </c>
      <c r="Q281" s="246" t="str">
        <f t="shared" si="97"/>
        <v/>
      </c>
      <c r="R281" s="246" t="str">
        <f t="shared" si="98"/>
        <v/>
      </c>
      <c r="S281" s="108">
        <f t="shared" si="105"/>
        <v>0.2</v>
      </c>
      <c r="T281" s="247">
        <f t="shared" si="99"/>
        <v>12.691176470588234</v>
      </c>
      <c r="U281" s="247">
        <f t="shared" si="100"/>
        <v>13.325735294117646</v>
      </c>
      <c r="V281" s="36">
        <f t="shared" si="101"/>
        <v>13.325735294117646</v>
      </c>
      <c r="W281" s="36">
        <f t="shared" si="102"/>
        <v>0.54999999999999993</v>
      </c>
      <c r="X281" s="63">
        <f t="shared" si="103"/>
        <v>14.7</v>
      </c>
      <c r="Y281"/>
    </row>
    <row r="282" spans="1:25">
      <c r="A282" s="1" t="s">
        <v>1741</v>
      </c>
      <c r="B282" s="1">
        <v>1</v>
      </c>
      <c r="C282" s="1" t="s">
        <v>112</v>
      </c>
      <c r="D282" s="1">
        <v>0.8</v>
      </c>
      <c r="E282" s="1"/>
      <c r="F282" s="1"/>
      <c r="G282" s="1"/>
      <c r="H282" s="1"/>
      <c r="I282" s="1"/>
      <c r="J282" s="1"/>
      <c r="K282" s="246">
        <f t="shared" si="92"/>
        <v>2.2941176470588234</v>
      </c>
      <c r="L282" s="246">
        <f t="shared" si="104"/>
        <v>1.8352941176470587</v>
      </c>
      <c r="M282" s="246" t="str">
        <f t="shared" si="93"/>
        <v/>
      </c>
      <c r="N282" s="246" t="str">
        <f t="shared" si="94"/>
        <v/>
      </c>
      <c r="O282" s="246" t="str">
        <f t="shared" si="95"/>
        <v/>
      </c>
      <c r="P282" s="246" t="str">
        <f t="shared" si="96"/>
        <v/>
      </c>
      <c r="Q282" s="246" t="str">
        <f t="shared" si="97"/>
        <v/>
      </c>
      <c r="R282" s="246" t="str">
        <f t="shared" si="98"/>
        <v/>
      </c>
      <c r="S282" s="108">
        <f t="shared" si="105"/>
        <v>0.2</v>
      </c>
      <c r="T282" s="247">
        <f t="shared" si="99"/>
        <v>2.0352941176470587</v>
      </c>
      <c r="U282" s="247">
        <f t="shared" si="100"/>
        <v>2.1370588235294119</v>
      </c>
      <c r="V282" s="36">
        <f t="shared" si="101"/>
        <v>2.1370588235294119</v>
      </c>
      <c r="W282" s="36">
        <f t="shared" si="102"/>
        <v>0.8</v>
      </c>
      <c r="X282" s="63">
        <f t="shared" si="103"/>
        <v>2.4</v>
      </c>
      <c r="Y282"/>
    </row>
    <row r="283" spans="1:25">
      <c r="A283" s="1" t="s">
        <v>2280</v>
      </c>
      <c r="B283" s="1">
        <v>1</v>
      </c>
      <c r="C283" s="1" t="s">
        <v>191</v>
      </c>
      <c r="D283" s="1">
        <v>0.2</v>
      </c>
      <c r="E283" s="1" t="s">
        <v>165</v>
      </c>
      <c r="F283" s="1">
        <v>0.6</v>
      </c>
      <c r="G283" s="1" t="s">
        <v>1009</v>
      </c>
      <c r="H283" s="1">
        <v>0.01</v>
      </c>
      <c r="I283" s="1"/>
      <c r="J283" s="1"/>
      <c r="K283" s="246">
        <f t="shared" si="92"/>
        <v>13.857142857142858</v>
      </c>
      <c r="L283" s="246">
        <f t="shared" si="104"/>
        <v>2.7714285714285718</v>
      </c>
      <c r="M283" s="246">
        <f t="shared" si="93"/>
        <v>1.8823529411764708</v>
      </c>
      <c r="N283" s="246">
        <f t="shared" si="94"/>
        <v>1.1294117647058823</v>
      </c>
      <c r="O283" s="246">
        <f t="shared" si="95"/>
        <v>61.428571428571431</v>
      </c>
      <c r="P283" s="246">
        <f t="shared" si="96"/>
        <v>0.61428571428571432</v>
      </c>
      <c r="Q283" s="246" t="str">
        <f t="shared" si="97"/>
        <v/>
      </c>
      <c r="R283" s="246" t="str">
        <f t="shared" si="98"/>
        <v/>
      </c>
      <c r="S283" s="108">
        <f t="shared" si="105"/>
        <v>0.2</v>
      </c>
      <c r="T283" s="247">
        <f t="shared" si="99"/>
        <v>4.7151260504201682</v>
      </c>
      <c r="U283" s="247">
        <f t="shared" si="100"/>
        <v>4.9508823529411767</v>
      </c>
      <c r="V283" s="36">
        <f t="shared" si="101"/>
        <v>4.9508823529411767</v>
      </c>
      <c r="W283" s="36">
        <f t="shared" si="102"/>
        <v>0.81</v>
      </c>
      <c r="X283" s="63">
        <f t="shared" si="103"/>
        <v>5.4</v>
      </c>
      <c r="Y283"/>
    </row>
    <row r="284" spans="1:25">
      <c r="A284" s="1" t="s">
        <v>2279</v>
      </c>
      <c r="B284" s="1">
        <v>1</v>
      </c>
      <c r="C284" s="1" t="s">
        <v>2291</v>
      </c>
      <c r="D284" s="1">
        <v>1</v>
      </c>
      <c r="E284" s="1"/>
      <c r="F284" s="1"/>
      <c r="G284" s="1"/>
      <c r="H284" s="1"/>
      <c r="I284" s="1"/>
      <c r="J284" s="1"/>
      <c r="K284" s="246">
        <f t="shared" si="92"/>
        <v>5</v>
      </c>
      <c r="L284" s="246">
        <f t="shared" si="104"/>
        <v>5</v>
      </c>
      <c r="M284" s="246" t="str">
        <f t="shared" si="93"/>
        <v/>
      </c>
      <c r="N284" s="246" t="str">
        <f t="shared" si="94"/>
        <v/>
      </c>
      <c r="O284" s="246" t="str">
        <f t="shared" si="95"/>
        <v/>
      </c>
      <c r="P284" s="246" t="str">
        <f t="shared" si="96"/>
        <v/>
      </c>
      <c r="Q284" s="246" t="str">
        <f t="shared" si="97"/>
        <v/>
      </c>
      <c r="R284" s="246" t="str">
        <f t="shared" si="98"/>
        <v/>
      </c>
      <c r="S284" s="108">
        <f t="shared" si="105"/>
        <v>0.2</v>
      </c>
      <c r="T284" s="247">
        <f t="shared" si="99"/>
        <v>5.2</v>
      </c>
      <c r="U284" s="247">
        <f t="shared" si="100"/>
        <v>5.4600000000000009</v>
      </c>
      <c r="V284" s="36">
        <f t="shared" si="101"/>
        <v>5.4600000000000009</v>
      </c>
      <c r="W284" s="36">
        <f t="shared" si="102"/>
        <v>1</v>
      </c>
      <c r="X284" s="63">
        <f t="shared" si="103"/>
        <v>6</v>
      </c>
      <c r="Y284"/>
    </row>
    <row r="285" spans="1:25">
      <c r="A285" s="1" t="s">
        <v>2292</v>
      </c>
      <c r="B285" s="1">
        <v>50</v>
      </c>
      <c r="C285" s="1" t="s">
        <v>191</v>
      </c>
      <c r="D285" s="1">
        <v>6</v>
      </c>
      <c r="E285" s="1" t="s">
        <v>1009</v>
      </c>
      <c r="F285" s="1">
        <v>0.5</v>
      </c>
      <c r="G285" s="1" t="s">
        <v>32</v>
      </c>
      <c r="H285" s="1">
        <v>25</v>
      </c>
      <c r="I285" s="1"/>
      <c r="J285" s="1"/>
      <c r="K285" s="246">
        <f t="shared" si="92"/>
        <v>13.857142857142858</v>
      </c>
      <c r="L285" s="246">
        <f t="shared" si="104"/>
        <v>83.142857142857139</v>
      </c>
      <c r="M285" s="246">
        <f t="shared" si="93"/>
        <v>61.428571428571431</v>
      </c>
      <c r="N285" s="246">
        <f t="shared" si="94"/>
        <v>30.714285714285715</v>
      </c>
      <c r="O285" s="246">
        <f t="shared" si="95"/>
        <v>0.70588235294117652</v>
      </c>
      <c r="P285" s="246">
        <f t="shared" si="96"/>
        <v>17.647058823529413</v>
      </c>
      <c r="Q285" s="246" t="str">
        <f t="shared" si="97"/>
        <v/>
      </c>
      <c r="R285" s="246" t="str">
        <f t="shared" si="98"/>
        <v/>
      </c>
      <c r="S285" s="108">
        <f t="shared" si="105"/>
        <v>10</v>
      </c>
      <c r="T285" s="247">
        <f t="shared" si="99"/>
        <v>141.50420168067228</v>
      </c>
      <c r="U285" s="247">
        <f t="shared" si="100"/>
        <v>148.5794117647059</v>
      </c>
      <c r="V285" s="36">
        <f t="shared" si="101"/>
        <v>2.9715882352941181</v>
      </c>
      <c r="W285" s="36">
        <f t="shared" si="102"/>
        <v>0.63</v>
      </c>
      <c r="X285" s="63">
        <f t="shared" si="103"/>
        <v>3.3</v>
      </c>
      <c r="Y285"/>
    </row>
    <row r="286" spans="1:25">
      <c r="A286" s="1" t="s">
        <v>2293</v>
      </c>
      <c r="B286" s="1">
        <v>50</v>
      </c>
      <c r="C286" s="1" t="s">
        <v>113</v>
      </c>
      <c r="D286" s="1">
        <v>30</v>
      </c>
      <c r="E286" s="1" t="s">
        <v>115</v>
      </c>
      <c r="F286" s="1">
        <v>10</v>
      </c>
      <c r="G286" s="1"/>
      <c r="H286" s="1"/>
      <c r="I286" s="1"/>
      <c r="J286" s="1"/>
      <c r="K286" s="246">
        <f t="shared" si="92"/>
        <v>1.0588235294117647</v>
      </c>
      <c r="L286" s="246">
        <f t="shared" si="104"/>
        <v>31.764705882352942</v>
      </c>
      <c r="M286" s="246">
        <f t="shared" si="93"/>
        <v>4.2352941176470589</v>
      </c>
      <c r="N286" s="246">
        <f t="shared" si="94"/>
        <v>42.352941176470587</v>
      </c>
      <c r="O286" s="246" t="str">
        <f t="shared" si="95"/>
        <v/>
      </c>
      <c r="P286" s="246" t="str">
        <f t="shared" si="96"/>
        <v/>
      </c>
      <c r="Q286" s="246" t="str">
        <f t="shared" si="97"/>
        <v/>
      </c>
      <c r="R286" s="246" t="str">
        <f t="shared" si="98"/>
        <v/>
      </c>
      <c r="S286" s="108">
        <f t="shared" si="105"/>
        <v>10</v>
      </c>
      <c r="T286" s="247">
        <f t="shared" si="99"/>
        <v>84.117647058823536</v>
      </c>
      <c r="U286" s="247">
        <f t="shared" si="100"/>
        <v>88.32352941176471</v>
      </c>
      <c r="V286" s="36">
        <f t="shared" si="101"/>
        <v>1.7664705882352942</v>
      </c>
      <c r="W286" s="36">
        <f t="shared" si="102"/>
        <v>0.8</v>
      </c>
      <c r="X286" s="63">
        <f t="shared" si="103"/>
        <v>1.9</v>
      </c>
      <c r="Y286"/>
    </row>
    <row r="287" spans="1:25">
      <c r="A287" s="1" t="s">
        <v>2294</v>
      </c>
      <c r="B287" s="1">
        <v>50</v>
      </c>
      <c r="C287" s="1" t="s">
        <v>2295</v>
      </c>
      <c r="D287" s="1">
        <v>15</v>
      </c>
      <c r="E287" s="1" t="s">
        <v>37</v>
      </c>
      <c r="F287" s="1">
        <v>20</v>
      </c>
      <c r="G287" s="1" t="s">
        <v>36</v>
      </c>
      <c r="H287" s="1">
        <v>1</v>
      </c>
      <c r="I287" s="1"/>
      <c r="J287" s="1"/>
      <c r="K287" s="246">
        <f t="shared" si="92"/>
        <v>3.4666666666666668</v>
      </c>
      <c r="L287" s="246">
        <f t="shared" si="104"/>
        <v>52</v>
      </c>
      <c r="M287" s="246">
        <f t="shared" si="93"/>
        <v>1.6470588235294117</v>
      </c>
      <c r="N287" s="246">
        <f t="shared" si="94"/>
        <v>32.941176470588232</v>
      </c>
      <c r="O287" s="246">
        <f t="shared" si="95"/>
        <v>8.3529411764705888</v>
      </c>
      <c r="P287" s="246">
        <f t="shared" si="96"/>
        <v>8.3529411764705888</v>
      </c>
      <c r="Q287" s="246" t="str">
        <f t="shared" si="97"/>
        <v/>
      </c>
      <c r="R287" s="246" t="str">
        <f t="shared" si="98"/>
        <v/>
      </c>
      <c r="S287" s="108">
        <f t="shared" si="105"/>
        <v>10</v>
      </c>
      <c r="T287" s="247">
        <f t="shared" si="99"/>
        <v>103.29411764705883</v>
      </c>
      <c r="U287" s="247">
        <f t="shared" si="100"/>
        <v>108.45882352941177</v>
      </c>
      <c r="V287" s="36">
        <f t="shared" si="101"/>
        <v>2.1691764705882353</v>
      </c>
      <c r="W287" s="36">
        <f t="shared" si="102"/>
        <v>0.72</v>
      </c>
      <c r="X287" s="63">
        <f t="shared" si="103"/>
        <v>2.4</v>
      </c>
      <c r="Y287"/>
    </row>
    <row r="288" spans="1:25">
      <c r="A288" s="1" t="s">
        <v>1994</v>
      </c>
      <c r="B288" s="1">
        <v>50</v>
      </c>
      <c r="C288" s="1" t="s">
        <v>40</v>
      </c>
      <c r="D288" s="1">
        <v>40</v>
      </c>
      <c r="E288" s="1"/>
      <c r="F288" s="1"/>
      <c r="G288" s="1"/>
      <c r="H288" s="1"/>
      <c r="I288" s="1"/>
      <c r="J288" s="1"/>
      <c r="K288" s="246">
        <f t="shared" si="92"/>
        <v>1.2941176470588236</v>
      </c>
      <c r="L288" s="246">
        <f t="shared" si="104"/>
        <v>51.764705882352942</v>
      </c>
      <c r="M288" s="246" t="str">
        <f t="shared" si="93"/>
        <v/>
      </c>
      <c r="N288" s="246" t="str">
        <f t="shared" si="94"/>
        <v/>
      </c>
      <c r="O288" s="246" t="str">
        <f t="shared" si="95"/>
        <v/>
      </c>
      <c r="P288" s="246" t="str">
        <f t="shared" si="96"/>
        <v/>
      </c>
      <c r="Q288" s="246" t="str">
        <f t="shared" si="97"/>
        <v/>
      </c>
      <c r="R288" s="246" t="str">
        <f t="shared" si="98"/>
        <v/>
      </c>
      <c r="S288" s="108">
        <f t="shared" si="105"/>
        <v>10</v>
      </c>
      <c r="T288" s="247">
        <f t="shared" si="99"/>
        <v>61.764705882352942</v>
      </c>
      <c r="U288" s="247">
        <f t="shared" si="100"/>
        <v>64.852941176470594</v>
      </c>
      <c r="V288" s="36">
        <f t="shared" si="101"/>
        <v>1.2970588235294118</v>
      </c>
      <c r="W288" s="36">
        <f t="shared" si="102"/>
        <v>0.8</v>
      </c>
      <c r="X288" s="63">
        <f t="shared" si="103"/>
        <v>1.4</v>
      </c>
      <c r="Y288"/>
    </row>
    <row r="289" spans="1:25">
      <c r="A289" s="1" t="s">
        <v>2340</v>
      </c>
      <c r="B289" s="1">
        <v>10</v>
      </c>
      <c r="C289" s="137" t="s">
        <v>2341</v>
      </c>
      <c r="D289" s="1">
        <v>4.7</v>
      </c>
      <c r="E289" s="1"/>
      <c r="F289" s="1"/>
      <c r="G289" s="1"/>
      <c r="H289" s="1"/>
      <c r="I289" s="1"/>
      <c r="J289" s="1"/>
      <c r="K289" s="246">
        <f t="shared" si="92"/>
        <v>11.571428571428571</v>
      </c>
      <c r="L289" s="246">
        <f t="shared" si="104"/>
        <v>54.385714285714286</v>
      </c>
      <c r="M289" s="246" t="str">
        <f t="shared" si="93"/>
        <v/>
      </c>
      <c r="N289" s="246" t="str">
        <f t="shared" si="94"/>
        <v/>
      </c>
      <c r="O289" s="246" t="str">
        <f t="shared" si="95"/>
        <v/>
      </c>
      <c r="P289" s="246" t="str">
        <f t="shared" si="96"/>
        <v/>
      </c>
      <c r="Q289" s="246" t="str">
        <f t="shared" si="97"/>
        <v/>
      </c>
      <c r="R289" s="246" t="str">
        <f t="shared" si="98"/>
        <v/>
      </c>
      <c r="S289" s="108">
        <f>B289*0.5</f>
        <v>5</v>
      </c>
      <c r="T289" s="247">
        <f t="shared" si="99"/>
        <v>59.385714285714286</v>
      </c>
      <c r="U289" s="247">
        <f t="shared" si="100"/>
        <v>62.355000000000004</v>
      </c>
      <c r="V289" s="36">
        <f t="shared" si="101"/>
        <v>6.2355</v>
      </c>
      <c r="W289" s="36">
        <f t="shared" si="102"/>
        <v>0.47000000000000003</v>
      </c>
      <c r="X289" s="63">
        <f t="shared" si="103"/>
        <v>6.9</v>
      </c>
      <c r="Y289"/>
    </row>
    <row r="290" spans="1:25">
      <c r="A290" s="1" t="s">
        <v>2342</v>
      </c>
      <c r="B290" s="1">
        <v>10</v>
      </c>
      <c r="C290" s="1" t="s">
        <v>246</v>
      </c>
      <c r="D290" s="1">
        <v>4</v>
      </c>
      <c r="E290" s="1" t="s">
        <v>2344</v>
      </c>
      <c r="F290" s="1">
        <v>1</v>
      </c>
      <c r="G290" s="137" t="s">
        <v>2536</v>
      </c>
      <c r="H290" s="1">
        <v>3</v>
      </c>
      <c r="I290" s="1"/>
      <c r="J290" s="1"/>
      <c r="K290" s="246">
        <f t="shared" si="92"/>
        <v>7.2857142857142856</v>
      </c>
      <c r="L290" s="246">
        <f t="shared" si="104"/>
        <v>29.142857142857142</v>
      </c>
      <c r="M290" s="246">
        <f t="shared" si="93"/>
        <v>6.4285714285714288</v>
      </c>
      <c r="N290" s="246">
        <f t="shared" si="94"/>
        <v>6.4285714285714288</v>
      </c>
      <c r="O290" s="246" t="e">
        <f t="shared" si="95"/>
        <v>#N/A</v>
      </c>
      <c r="P290" s="246" t="str">
        <f t="shared" si="96"/>
        <v/>
      </c>
      <c r="Q290" s="246" t="str">
        <f t="shared" si="97"/>
        <v/>
      </c>
      <c r="R290" s="246" t="str">
        <f t="shared" si="98"/>
        <v/>
      </c>
      <c r="S290" s="108">
        <f t="shared" si="105"/>
        <v>2</v>
      </c>
      <c r="T290" s="247">
        <f t="shared" si="99"/>
        <v>37.571428571428569</v>
      </c>
      <c r="U290" s="247">
        <f t="shared" si="100"/>
        <v>39.450000000000003</v>
      </c>
      <c r="V290" s="36">
        <f t="shared" si="101"/>
        <v>3.9450000000000003</v>
      </c>
      <c r="W290" s="36">
        <f t="shared" si="102"/>
        <v>0.8</v>
      </c>
      <c r="X290" s="63">
        <f t="shared" si="103"/>
        <v>4.3</v>
      </c>
      <c r="Y290"/>
    </row>
    <row r="291" spans="1:25">
      <c r="A291" s="1" t="s">
        <v>2343</v>
      </c>
      <c r="B291" s="1">
        <v>10</v>
      </c>
      <c r="C291" s="1" t="s">
        <v>101</v>
      </c>
      <c r="D291" s="1">
        <v>2</v>
      </c>
      <c r="E291" s="137" t="s">
        <v>299</v>
      </c>
      <c r="F291" s="1">
        <v>2</v>
      </c>
      <c r="G291" s="137" t="s">
        <v>2345</v>
      </c>
      <c r="H291" s="1">
        <v>1</v>
      </c>
      <c r="I291" s="137" t="s">
        <v>2346</v>
      </c>
      <c r="J291" s="1">
        <v>1</v>
      </c>
      <c r="K291" s="246">
        <f t="shared" si="92"/>
        <v>8.5714285714285712</v>
      </c>
      <c r="L291" s="246">
        <f t="shared" si="104"/>
        <v>17.142857142857142</v>
      </c>
      <c r="M291" s="246">
        <f t="shared" si="93"/>
        <v>6.1428571428571432</v>
      </c>
      <c r="N291" s="246">
        <f t="shared" si="94"/>
        <v>12.285714285714286</v>
      </c>
      <c r="O291" s="246">
        <f t="shared" si="95"/>
        <v>4.2352941176470589</v>
      </c>
      <c r="P291" s="246">
        <f t="shared" si="96"/>
        <v>4.2352941176470589</v>
      </c>
      <c r="Q291" s="246">
        <f t="shared" si="97"/>
        <v>0.94117647058823539</v>
      </c>
      <c r="R291" s="246">
        <f t="shared" si="98"/>
        <v>0.94117647058823539</v>
      </c>
      <c r="S291" s="108">
        <f t="shared" si="105"/>
        <v>2</v>
      </c>
      <c r="T291" s="247">
        <f t="shared" si="99"/>
        <v>36.605042016806721</v>
      </c>
      <c r="U291" s="247">
        <f t="shared" si="100"/>
        <v>38.435294117647061</v>
      </c>
      <c r="V291" s="36">
        <f t="shared" si="101"/>
        <v>3.8435294117647061</v>
      </c>
      <c r="W291" s="36">
        <f t="shared" si="102"/>
        <v>0.6</v>
      </c>
      <c r="X291" s="63">
        <f t="shared" si="103"/>
        <v>4.2</v>
      </c>
      <c r="Y291"/>
    </row>
    <row r="292" spans="1:25">
      <c r="A292" s="1" t="s">
        <v>2347</v>
      </c>
      <c r="B292" s="1">
        <v>10</v>
      </c>
      <c r="C292" s="137" t="s">
        <v>2346</v>
      </c>
      <c r="D292" s="1">
        <v>6</v>
      </c>
      <c r="E292" s="137" t="s">
        <v>2345</v>
      </c>
      <c r="F292" s="1">
        <v>2</v>
      </c>
      <c r="G292" s="1"/>
      <c r="H292" s="1"/>
      <c r="I292" s="1"/>
      <c r="J292" s="1"/>
      <c r="K292" s="246">
        <f t="shared" si="92"/>
        <v>0.94117647058823539</v>
      </c>
      <c r="L292" s="246">
        <f t="shared" si="104"/>
        <v>5.6470588235294121</v>
      </c>
      <c r="M292" s="246">
        <f t="shared" si="93"/>
        <v>4.2352941176470589</v>
      </c>
      <c r="N292" s="246">
        <f t="shared" si="94"/>
        <v>8.4705882352941178</v>
      </c>
      <c r="O292" s="246" t="str">
        <f t="shared" si="95"/>
        <v/>
      </c>
      <c r="P292" s="246" t="str">
        <f t="shared" si="96"/>
        <v/>
      </c>
      <c r="Q292" s="246" t="str">
        <f t="shared" si="97"/>
        <v/>
      </c>
      <c r="R292" s="246" t="str">
        <f t="shared" si="98"/>
        <v/>
      </c>
      <c r="S292" s="108">
        <f>B292*0.5</f>
        <v>5</v>
      </c>
      <c r="T292" s="247">
        <f t="shared" si="99"/>
        <v>19.117647058823529</v>
      </c>
      <c r="U292" s="247">
        <f t="shared" si="100"/>
        <v>20.073529411764707</v>
      </c>
      <c r="V292" s="36">
        <f t="shared" si="101"/>
        <v>2.0073529411764706</v>
      </c>
      <c r="W292" s="36">
        <f t="shared" si="102"/>
        <v>0.8</v>
      </c>
      <c r="X292" s="63">
        <f t="shared" si="103"/>
        <v>2.2000000000000002</v>
      </c>
      <c r="Y292"/>
    </row>
    <row r="293" spans="1:25">
      <c r="A293" s="1" t="s">
        <v>2348</v>
      </c>
      <c r="B293" s="1">
        <v>10</v>
      </c>
      <c r="C293" s="137" t="s">
        <v>2349</v>
      </c>
      <c r="D293" s="1">
        <v>6</v>
      </c>
      <c r="E293" s="1" t="s">
        <v>2350</v>
      </c>
      <c r="F293" s="1">
        <v>0.3</v>
      </c>
      <c r="G293" s="1"/>
      <c r="H293" s="1"/>
      <c r="I293" s="1"/>
      <c r="J293" s="1"/>
      <c r="K293" s="246">
        <f t="shared" si="92"/>
        <v>7.2857142857142856</v>
      </c>
      <c r="L293" s="246">
        <f t="shared" si="104"/>
        <v>43.714285714285715</v>
      </c>
      <c r="M293" s="246">
        <f t="shared" si="93"/>
        <v>2.2999999999999998</v>
      </c>
      <c r="N293" s="246">
        <f t="shared" si="94"/>
        <v>0.69</v>
      </c>
      <c r="O293" s="246" t="str">
        <f t="shared" si="95"/>
        <v/>
      </c>
      <c r="P293" s="246" t="str">
        <f t="shared" si="96"/>
        <v/>
      </c>
      <c r="Q293" s="246" t="str">
        <f t="shared" si="97"/>
        <v/>
      </c>
      <c r="R293" s="246" t="str">
        <f t="shared" si="98"/>
        <v/>
      </c>
      <c r="S293" s="108">
        <f t="shared" si="105"/>
        <v>2</v>
      </c>
      <c r="T293" s="247">
        <f t="shared" si="99"/>
        <v>46.404285714285713</v>
      </c>
      <c r="U293" s="247">
        <f t="shared" si="100"/>
        <v>48.724499999999999</v>
      </c>
      <c r="V293" s="36">
        <f t="shared" si="101"/>
        <v>4.8724499999999997</v>
      </c>
      <c r="W293" s="36">
        <f t="shared" si="102"/>
        <v>0.63</v>
      </c>
      <c r="X293" s="63">
        <f t="shared" si="103"/>
        <v>5.4</v>
      </c>
      <c r="Y293"/>
    </row>
    <row r="294" spans="1:25">
      <c r="A294" s="1" t="s">
        <v>2351</v>
      </c>
      <c r="B294" s="1">
        <v>50</v>
      </c>
      <c r="C294" s="137" t="s">
        <v>2352</v>
      </c>
      <c r="D294" s="1">
        <v>5</v>
      </c>
      <c r="E294" s="137" t="s">
        <v>2353</v>
      </c>
      <c r="F294" s="1">
        <v>20</v>
      </c>
      <c r="G294" s="137" t="s">
        <v>2354</v>
      </c>
      <c r="H294" s="1">
        <v>0.5</v>
      </c>
      <c r="I294" s="137" t="s">
        <v>319</v>
      </c>
      <c r="J294" s="1">
        <v>10</v>
      </c>
      <c r="K294" s="246">
        <f t="shared" si="92"/>
        <v>13.857142857142858</v>
      </c>
      <c r="L294" s="246">
        <f t="shared" si="104"/>
        <v>69.285714285714292</v>
      </c>
      <c r="M294" s="246">
        <f t="shared" si="93"/>
        <v>1.1176470588235294</v>
      </c>
      <c r="N294" s="246">
        <f t="shared" si="94"/>
        <v>22.352941176470587</v>
      </c>
      <c r="O294" s="246">
        <f t="shared" si="95"/>
        <v>61.428571428571431</v>
      </c>
      <c r="P294" s="246">
        <f t="shared" si="96"/>
        <v>30.714285714285715</v>
      </c>
      <c r="Q294" s="246">
        <f t="shared" si="97"/>
        <v>3.5714285714285716</v>
      </c>
      <c r="R294" s="246">
        <f t="shared" si="98"/>
        <v>35.714285714285715</v>
      </c>
      <c r="S294" s="108">
        <f t="shared" si="105"/>
        <v>10</v>
      </c>
      <c r="T294" s="247">
        <f t="shared" si="99"/>
        <v>168.06722689075633</v>
      </c>
      <c r="U294" s="247">
        <f t="shared" si="100"/>
        <v>176.47058823529414</v>
      </c>
      <c r="V294" s="36">
        <f t="shared" si="101"/>
        <v>3.5294117647058827</v>
      </c>
      <c r="W294" s="36">
        <f t="shared" si="102"/>
        <v>0.71</v>
      </c>
      <c r="X294" s="63">
        <f t="shared" si="103"/>
        <v>3.9</v>
      </c>
      <c r="Y294"/>
    </row>
    <row r="295" spans="1:25">
      <c r="A295" s="1" t="s">
        <v>2355</v>
      </c>
      <c r="B295" s="1">
        <v>70</v>
      </c>
      <c r="C295" s="1" t="s">
        <v>206</v>
      </c>
      <c r="D295" s="1">
        <v>21</v>
      </c>
      <c r="E295" s="1" t="s">
        <v>2364</v>
      </c>
      <c r="F295" s="1">
        <v>1</v>
      </c>
      <c r="G295" s="1"/>
      <c r="H295" s="1"/>
      <c r="I295" s="1"/>
      <c r="J295" s="1"/>
      <c r="K295" s="246">
        <f t="shared" si="92"/>
        <v>14.428571428571429</v>
      </c>
      <c r="L295" s="246">
        <f t="shared" si="104"/>
        <v>303</v>
      </c>
      <c r="M295" s="246" t="e">
        <f t="shared" si="93"/>
        <v>#N/A</v>
      </c>
      <c r="N295" s="246" t="str">
        <f t="shared" si="94"/>
        <v/>
      </c>
      <c r="O295" s="246" t="str">
        <f t="shared" si="95"/>
        <v/>
      </c>
      <c r="P295" s="246" t="str">
        <f t="shared" si="96"/>
        <v/>
      </c>
      <c r="Q295" s="246" t="str">
        <f t="shared" si="97"/>
        <v/>
      </c>
      <c r="R295" s="246" t="str">
        <f t="shared" si="98"/>
        <v/>
      </c>
      <c r="S295" s="108">
        <f t="shared" si="105"/>
        <v>14</v>
      </c>
      <c r="T295" s="247">
        <f t="shared" si="99"/>
        <v>317</v>
      </c>
      <c r="U295" s="247">
        <f t="shared" si="100"/>
        <v>332.85</v>
      </c>
      <c r="V295" s="36">
        <f t="shared" si="101"/>
        <v>4.7549999999999999</v>
      </c>
      <c r="W295" s="36">
        <f t="shared" si="102"/>
        <v>0.31428571428571428</v>
      </c>
      <c r="X295" s="63">
        <f t="shared" si="103"/>
        <v>5.2</v>
      </c>
      <c r="Y295"/>
    </row>
    <row r="296" spans="1: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246" t="str">
        <f t="shared" si="92"/>
        <v/>
      </c>
      <c r="L296" s="246" t="str">
        <f t="shared" si="104"/>
        <v/>
      </c>
      <c r="M296" s="246" t="str">
        <f t="shared" si="93"/>
        <v/>
      </c>
      <c r="N296" s="246" t="str">
        <f t="shared" si="94"/>
        <v/>
      </c>
      <c r="O296" s="246" t="str">
        <f t="shared" si="95"/>
        <v/>
      </c>
      <c r="P296" s="246" t="str">
        <f t="shared" si="96"/>
        <v/>
      </c>
      <c r="Q296" s="246" t="str">
        <f t="shared" si="97"/>
        <v/>
      </c>
      <c r="R296" s="246" t="str">
        <f t="shared" si="98"/>
        <v/>
      </c>
      <c r="S296" s="108">
        <f t="shared" si="105"/>
        <v>0</v>
      </c>
      <c r="T296" s="247">
        <f t="shared" si="99"/>
        <v>0</v>
      </c>
      <c r="U296" s="247">
        <f t="shared" si="100"/>
        <v>0</v>
      </c>
      <c r="V296" s="36" t="e">
        <f t="shared" si="101"/>
        <v>#DIV/0!</v>
      </c>
      <c r="W296" s="36" t="e">
        <f t="shared" si="102"/>
        <v>#DIV/0!</v>
      </c>
      <c r="X296" s="63" t="e">
        <f t="shared" si="103"/>
        <v>#DIV/0!</v>
      </c>
      <c r="Y296"/>
    </row>
    <row r="297" spans="1:25">
      <c r="A297" s="1" t="s">
        <v>2356</v>
      </c>
      <c r="B297" s="1">
        <v>50</v>
      </c>
      <c r="C297" s="137" t="s">
        <v>2365</v>
      </c>
      <c r="D297" s="1">
        <v>20</v>
      </c>
      <c r="E297" s="1" t="s">
        <v>311</v>
      </c>
      <c r="F297" s="1">
        <v>2</v>
      </c>
      <c r="G297" s="1"/>
      <c r="H297" s="1"/>
      <c r="I297" s="1"/>
      <c r="J297" s="1"/>
      <c r="K297" s="246">
        <f t="shared" si="92"/>
        <v>1.6470588235294117</v>
      </c>
      <c r="L297" s="246">
        <f t="shared" si="104"/>
        <v>32.941176470588232</v>
      </c>
      <c r="M297" s="246">
        <f t="shared" si="93"/>
        <v>65.857142857142861</v>
      </c>
      <c r="N297" s="246">
        <f t="shared" si="94"/>
        <v>131.71428571428572</v>
      </c>
      <c r="O297" s="246" t="str">
        <f t="shared" si="95"/>
        <v/>
      </c>
      <c r="P297" s="246" t="str">
        <f t="shared" si="96"/>
        <v/>
      </c>
      <c r="Q297" s="246" t="str">
        <f t="shared" si="97"/>
        <v/>
      </c>
      <c r="R297" s="246" t="str">
        <f t="shared" si="98"/>
        <v/>
      </c>
      <c r="S297" s="108">
        <f t="shared" si="105"/>
        <v>10</v>
      </c>
      <c r="T297" s="247">
        <f t="shared" si="99"/>
        <v>174.65546218487395</v>
      </c>
      <c r="U297" s="247">
        <f t="shared" si="100"/>
        <v>183.38823529411766</v>
      </c>
      <c r="V297" s="36">
        <f t="shared" si="101"/>
        <v>3.6677647058823535</v>
      </c>
      <c r="W297" s="36">
        <f t="shared" si="102"/>
        <v>0.44</v>
      </c>
      <c r="X297" s="63">
        <f t="shared" si="103"/>
        <v>4</v>
      </c>
      <c r="Y297"/>
    </row>
    <row r="298" spans="1:25">
      <c r="A298" s="1" t="s">
        <v>2357</v>
      </c>
      <c r="B298" s="1">
        <v>60</v>
      </c>
      <c r="C298" s="137" t="s">
        <v>2366</v>
      </c>
      <c r="D298" s="1">
        <v>24</v>
      </c>
      <c r="E298" s="137" t="s">
        <v>2367</v>
      </c>
      <c r="F298" s="1">
        <v>5</v>
      </c>
      <c r="G298" s="137" t="s">
        <v>2368</v>
      </c>
      <c r="H298" s="1">
        <v>10</v>
      </c>
      <c r="I298" s="137" t="s">
        <v>2369</v>
      </c>
      <c r="J298" s="1">
        <v>5</v>
      </c>
      <c r="K298" s="246">
        <f t="shared" si="92"/>
        <v>9.4285714285714288</v>
      </c>
      <c r="L298" s="246">
        <f t="shared" si="104"/>
        <v>226.28571428571428</v>
      </c>
      <c r="M298" s="246">
        <f t="shared" si="93"/>
        <v>7</v>
      </c>
      <c r="N298" s="246">
        <f t="shared" si="94"/>
        <v>35</v>
      </c>
      <c r="O298" s="246">
        <f t="shared" si="95"/>
        <v>3.4117647058823528</v>
      </c>
      <c r="P298" s="246">
        <f t="shared" si="96"/>
        <v>34.117647058823529</v>
      </c>
      <c r="Q298" s="246">
        <f t="shared" si="97"/>
        <v>1.6470588235294117</v>
      </c>
      <c r="R298" s="246">
        <f t="shared" si="98"/>
        <v>8.235294117647058</v>
      </c>
      <c r="S298" s="108">
        <f t="shared" si="105"/>
        <v>12</v>
      </c>
      <c r="T298" s="247">
        <f t="shared" si="99"/>
        <v>315.63865546218489</v>
      </c>
      <c r="U298" s="247">
        <f t="shared" si="100"/>
        <v>331.42058823529413</v>
      </c>
      <c r="V298" s="36">
        <f t="shared" si="101"/>
        <v>5.523676470588236</v>
      </c>
      <c r="W298" s="36">
        <f t="shared" si="102"/>
        <v>0.73333333333333339</v>
      </c>
      <c r="X298" s="63">
        <f t="shared" si="103"/>
        <v>6.1</v>
      </c>
      <c r="Y298"/>
    </row>
    <row r="299" spans="1:25">
      <c r="A299" s="1" t="s">
        <v>2358</v>
      </c>
      <c r="B299" s="1">
        <v>50</v>
      </c>
      <c r="C299" s="1" t="s">
        <v>88</v>
      </c>
      <c r="D299" s="1">
        <v>4</v>
      </c>
      <c r="E299" s="137" t="s">
        <v>35</v>
      </c>
      <c r="F299" s="1">
        <v>5</v>
      </c>
      <c r="G299" s="1" t="s">
        <v>36</v>
      </c>
      <c r="H299" s="1">
        <v>2</v>
      </c>
      <c r="I299" s="1"/>
      <c r="J299" s="1"/>
      <c r="K299" s="246">
        <v>35.293999999999997</v>
      </c>
      <c r="L299" s="246">
        <v>141.17599999999999</v>
      </c>
      <c r="M299" s="246">
        <v>3.1760000000000002</v>
      </c>
      <c r="N299" s="246">
        <v>15.88</v>
      </c>
      <c r="O299" s="246">
        <v>8.8239999999999998</v>
      </c>
      <c r="P299" s="246">
        <v>17.648</v>
      </c>
      <c r="Q299" s="246" t="s">
        <v>1411</v>
      </c>
      <c r="R299" s="246" t="s">
        <v>1411</v>
      </c>
      <c r="S299" s="108">
        <f t="shared" si="105"/>
        <v>10</v>
      </c>
      <c r="T299" s="247">
        <f t="shared" si="99"/>
        <v>184.70399999999998</v>
      </c>
      <c r="U299" s="247">
        <f t="shared" si="100"/>
        <v>193.9392</v>
      </c>
      <c r="V299" s="36">
        <f t="shared" si="101"/>
        <v>3.878784</v>
      </c>
      <c r="W299" s="36">
        <f t="shared" si="102"/>
        <v>0.22</v>
      </c>
      <c r="X299" s="63">
        <f t="shared" si="103"/>
        <v>4.3</v>
      </c>
      <c r="Y299"/>
    </row>
    <row r="300" spans="1:25">
      <c r="A300" s="1" t="s">
        <v>2359</v>
      </c>
      <c r="B300" s="1">
        <v>50</v>
      </c>
      <c r="C300" s="137" t="s">
        <v>2366</v>
      </c>
      <c r="D300" s="1">
        <v>20</v>
      </c>
      <c r="E300" s="137" t="s">
        <v>2370</v>
      </c>
      <c r="F300" s="1">
        <v>6</v>
      </c>
      <c r="G300" s="137" t="s">
        <v>2369</v>
      </c>
      <c r="H300" s="1">
        <v>6</v>
      </c>
      <c r="I300" s="1"/>
      <c r="J300" s="1"/>
      <c r="K300" s="246">
        <f t="shared" si="92"/>
        <v>9.4285714285714288</v>
      </c>
      <c r="L300" s="246">
        <f t="shared" si="104"/>
        <v>188.57142857142858</v>
      </c>
      <c r="M300" s="246">
        <f t="shared" si="93"/>
        <v>0.94117647058823539</v>
      </c>
      <c r="N300" s="246">
        <f t="shared" si="94"/>
        <v>5.6470588235294121</v>
      </c>
      <c r="O300" s="246">
        <f t="shared" si="95"/>
        <v>1.6470588235294117</v>
      </c>
      <c r="P300" s="246">
        <f t="shared" si="96"/>
        <v>9.882352941176471</v>
      </c>
      <c r="Q300" s="246" t="str">
        <f t="shared" si="97"/>
        <v/>
      </c>
      <c r="R300" s="246" t="str">
        <f t="shared" si="98"/>
        <v/>
      </c>
      <c r="S300" s="108">
        <f t="shared" si="105"/>
        <v>10</v>
      </c>
      <c r="T300" s="247">
        <f t="shared" si="99"/>
        <v>214.10084033613447</v>
      </c>
      <c r="U300" s="247">
        <f t="shared" si="100"/>
        <v>224.80588235294121</v>
      </c>
      <c r="V300" s="36">
        <f t="shared" si="101"/>
        <v>4.4961176470588242</v>
      </c>
      <c r="W300" s="36">
        <f t="shared" si="102"/>
        <v>0.64</v>
      </c>
      <c r="X300" s="63">
        <f t="shared" si="103"/>
        <v>4.9000000000000004</v>
      </c>
      <c r="Y300"/>
    </row>
    <row r="301" spans="1:25">
      <c r="A301" s="1" t="s">
        <v>2360</v>
      </c>
      <c r="B301" s="1">
        <v>50</v>
      </c>
      <c r="C301" s="137" t="s">
        <v>125</v>
      </c>
      <c r="D301" s="1">
        <v>15</v>
      </c>
      <c r="E301" s="137" t="s">
        <v>2365</v>
      </c>
      <c r="F301" s="1">
        <v>10</v>
      </c>
      <c r="G301" s="1" t="s">
        <v>36</v>
      </c>
      <c r="H301" s="1">
        <v>1</v>
      </c>
      <c r="I301" s="1"/>
      <c r="J301" s="1"/>
      <c r="K301" s="246">
        <f t="shared" si="92"/>
        <v>18</v>
      </c>
      <c r="L301" s="246">
        <f t="shared" si="104"/>
        <v>270</v>
      </c>
      <c r="M301" s="246">
        <f t="shared" si="93"/>
        <v>1.6470588235294117</v>
      </c>
      <c r="N301" s="246">
        <f t="shared" si="94"/>
        <v>16.470588235294116</v>
      </c>
      <c r="O301" s="246">
        <f t="shared" si="95"/>
        <v>8.3529411764705888</v>
      </c>
      <c r="P301" s="246">
        <f t="shared" si="96"/>
        <v>8.3529411764705888</v>
      </c>
      <c r="Q301" s="246" t="str">
        <f t="shared" si="97"/>
        <v/>
      </c>
      <c r="R301" s="246" t="str">
        <f t="shared" si="98"/>
        <v/>
      </c>
      <c r="S301" s="108">
        <f t="shared" si="105"/>
        <v>10</v>
      </c>
      <c r="T301" s="247">
        <f t="shared" si="99"/>
        <v>304.82352941176475</v>
      </c>
      <c r="U301" s="247">
        <f t="shared" si="100"/>
        <v>320.064705882353</v>
      </c>
      <c r="V301" s="36">
        <f t="shared" si="101"/>
        <v>6.4012941176470601</v>
      </c>
      <c r="W301" s="36">
        <f t="shared" si="102"/>
        <v>0.52</v>
      </c>
      <c r="X301" s="63">
        <f t="shared" si="103"/>
        <v>7</v>
      </c>
      <c r="Y301"/>
    </row>
    <row r="302" spans="1:25">
      <c r="A302" s="1" t="s">
        <v>2361</v>
      </c>
      <c r="B302" s="1">
        <v>50</v>
      </c>
      <c r="C302" s="137" t="s">
        <v>1009</v>
      </c>
      <c r="D302" s="1">
        <v>1.5</v>
      </c>
      <c r="E302" s="1" t="s">
        <v>319</v>
      </c>
      <c r="F302" s="1">
        <v>15</v>
      </c>
      <c r="G302" s="1"/>
      <c r="H302" s="1"/>
      <c r="I302" s="1"/>
      <c r="J302" s="1"/>
      <c r="K302" s="246">
        <f t="shared" si="92"/>
        <v>61.428571428571431</v>
      </c>
      <c r="L302" s="246">
        <f t="shared" si="104"/>
        <v>92.142857142857139</v>
      </c>
      <c r="M302" s="246">
        <f t="shared" si="93"/>
        <v>3.5714285714285716</v>
      </c>
      <c r="N302" s="246">
        <f t="shared" si="94"/>
        <v>53.571428571428577</v>
      </c>
      <c r="O302" s="246" t="str">
        <f t="shared" si="95"/>
        <v/>
      </c>
      <c r="P302" s="246" t="str">
        <f t="shared" si="96"/>
        <v/>
      </c>
      <c r="Q302" s="246" t="str">
        <f t="shared" si="97"/>
        <v/>
      </c>
      <c r="R302" s="246" t="str">
        <f t="shared" si="98"/>
        <v/>
      </c>
      <c r="S302" s="108">
        <f t="shared" si="105"/>
        <v>10</v>
      </c>
      <c r="T302" s="247">
        <f t="shared" si="99"/>
        <v>155.71428571428572</v>
      </c>
      <c r="U302" s="247">
        <f t="shared" si="100"/>
        <v>163.50000000000003</v>
      </c>
      <c r="V302" s="36">
        <f t="shared" si="101"/>
        <v>3.2700000000000005</v>
      </c>
      <c r="W302" s="36">
        <f t="shared" si="102"/>
        <v>0.32999999999999996</v>
      </c>
      <c r="X302" s="63">
        <f t="shared" si="103"/>
        <v>3.6</v>
      </c>
      <c r="Y302"/>
    </row>
    <row r="303" spans="1:25">
      <c r="A303" s="1" t="s">
        <v>2362</v>
      </c>
      <c r="B303" s="1">
        <v>50</v>
      </c>
      <c r="C303" s="1" t="s">
        <v>101</v>
      </c>
      <c r="D303" s="1">
        <v>20</v>
      </c>
      <c r="E303" s="137" t="s">
        <v>2371</v>
      </c>
      <c r="F303" s="1">
        <v>15</v>
      </c>
      <c r="G303" s="1"/>
      <c r="H303" s="1"/>
      <c r="I303" s="1"/>
      <c r="J303" s="1"/>
      <c r="K303" s="246">
        <f t="shared" si="92"/>
        <v>8.5714285714285712</v>
      </c>
      <c r="L303" s="246">
        <f t="shared" si="104"/>
        <v>171.42857142857142</v>
      </c>
      <c r="M303" s="246">
        <f t="shared" si="93"/>
        <v>1.0588235294117647</v>
      </c>
      <c r="N303" s="246">
        <f t="shared" si="94"/>
        <v>15.882352941176471</v>
      </c>
      <c r="O303" s="246" t="str">
        <f t="shared" si="95"/>
        <v/>
      </c>
      <c r="P303" s="246" t="str">
        <f t="shared" si="96"/>
        <v/>
      </c>
      <c r="Q303" s="246" t="str">
        <f t="shared" si="97"/>
        <v/>
      </c>
      <c r="R303" s="246" t="str">
        <f t="shared" si="98"/>
        <v/>
      </c>
      <c r="S303" s="108">
        <f t="shared" si="105"/>
        <v>10</v>
      </c>
      <c r="T303" s="247">
        <f t="shared" si="99"/>
        <v>197.31092436974788</v>
      </c>
      <c r="U303" s="247">
        <f t="shared" si="100"/>
        <v>207.17647058823528</v>
      </c>
      <c r="V303" s="36">
        <f t="shared" si="101"/>
        <v>4.1435294117647059</v>
      </c>
      <c r="W303" s="36">
        <f t="shared" si="102"/>
        <v>0.7</v>
      </c>
      <c r="X303" s="63">
        <f t="shared" si="103"/>
        <v>4.5999999999999996</v>
      </c>
      <c r="Y303"/>
    </row>
    <row r="304" spans="1:25">
      <c r="A304" s="1" t="s">
        <v>2363</v>
      </c>
      <c r="B304" s="1">
        <v>50</v>
      </c>
      <c r="C304" s="137" t="s">
        <v>2372</v>
      </c>
      <c r="D304" s="1">
        <v>20</v>
      </c>
      <c r="E304" s="1" t="s">
        <v>2142</v>
      </c>
      <c r="F304" s="1">
        <v>12</v>
      </c>
      <c r="G304" s="1"/>
      <c r="H304" s="1"/>
      <c r="I304" s="1"/>
      <c r="J304" s="1"/>
      <c r="K304" s="246">
        <f t="shared" si="92"/>
        <v>1</v>
      </c>
      <c r="L304" s="246">
        <f t="shared" si="104"/>
        <v>20</v>
      </c>
      <c r="M304" s="246">
        <f t="shared" si="93"/>
        <v>2.5333333333333332</v>
      </c>
      <c r="N304" s="246">
        <f t="shared" si="94"/>
        <v>30.4</v>
      </c>
      <c r="O304" s="246" t="str">
        <f t="shared" si="95"/>
        <v/>
      </c>
      <c r="P304" s="246" t="str">
        <f t="shared" si="96"/>
        <v/>
      </c>
      <c r="Q304" s="246" t="str">
        <f t="shared" si="97"/>
        <v/>
      </c>
      <c r="R304" s="246" t="str">
        <f t="shared" si="98"/>
        <v/>
      </c>
      <c r="S304" s="108">
        <f t="shared" si="105"/>
        <v>10</v>
      </c>
      <c r="T304" s="247">
        <f t="shared" si="99"/>
        <v>60.4</v>
      </c>
      <c r="U304" s="247">
        <f t="shared" si="100"/>
        <v>63.42</v>
      </c>
      <c r="V304" s="36">
        <f t="shared" si="101"/>
        <v>1.2684</v>
      </c>
      <c r="W304" s="36">
        <f t="shared" si="102"/>
        <v>0.64</v>
      </c>
      <c r="X304" s="63">
        <f t="shared" si="103"/>
        <v>1.4</v>
      </c>
      <c r="Y304"/>
    </row>
    <row r="305" spans="1:25">
      <c r="A305" s="1" t="s">
        <v>2547</v>
      </c>
      <c r="B305" s="1">
        <v>20</v>
      </c>
      <c r="C305" s="137" t="s">
        <v>2550</v>
      </c>
      <c r="D305" s="1">
        <v>8</v>
      </c>
      <c r="E305" s="137" t="s">
        <v>2551</v>
      </c>
      <c r="F305" s="1">
        <v>4</v>
      </c>
      <c r="G305" s="137" t="s">
        <v>2552</v>
      </c>
      <c r="H305" s="1">
        <v>1</v>
      </c>
      <c r="I305" s="1"/>
      <c r="J305" s="1"/>
      <c r="K305" s="246">
        <f t="shared" si="92"/>
        <v>13.857142857142858</v>
      </c>
      <c r="L305" s="246">
        <f t="shared" si="104"/>
        <v>110.85714285714286</v>
      </c>
      <c r="M305" s="246">
        <f t="shared" si="93"/>
        <v>0.94117647058823539</v>
      </c>
      <c r="N305" s="246">
        <f t="shared" si="94"/>
        <v>3.7647058823529416</v>
      </c>
      <c r="O305" s="246">
        <f t="shared" si="95"/>
        <v>2.2352941176470589</v>
      </c>
      <c r="P305" s="246">
        <f t="shared" si="96"/>
        <v>2.2352941176470589</v>
      </c>
      <c r="Q305" s="246" t="str">
        <f t="shared" si="97"/>
        <v/>
      </c>
      <c r="R305" s="246" t="str">
        <f t="shared" si="98"/>
        <v/>
      </c>
      <c r="S305" s="108">
        <f t="shared" si="105"/>
        <v>4</v>
      </c>
      <c r="T305" s="247">
        <f t="shared" si="99"/>
        <v>120.85714285714286</v>
      </c>
      <c r="U305" s="247">
        <f t="shared" si="100"/>
        <v>126.9</v>
      </c>
      <c r="V305" s="36">
        <f t="shared" si="101"/>
        <v>6.3450000000000006</v>
      </c>
      <c r="W305" s="36">
        <f t="shared" si="102"/>
        <v>0.65000000000000013</v>
      </c>
      <c r="X305" s="63">
        <f t="shared" si="103"/>
        <v>7</v>
      </c>
      <c r="Y305"/>
    </row>
    <row r="306" spans="1:25">
      <c r="A306" s="1" t="s">
        <v>2548</v>
      </c>
      <c r="B306" s="1">
        <v>20</v>
      </c>
      <c r="C306" s="137" t="s">
        <v>2555</v>
      </c>
      <c r="D306" s="1">
        <v>10</v>
      </c>
      <c r="E306" s="137" t="s">
        <v>2556</v>
      </c>
      <c r="F306" s="1">
        <v>4</v>
      </c>
      <c r="G306" s="1"/>
      <c r="H306" s="1"/>
      <c r="I306" s="1"/>
      <c r="J306" s="1"/>
      <c r="K306" s="246">
        <f t="shared" si="92"/>
        <v>2.5333333333333332</v>
      </c>
      <c r="L306" s="246">
        <f t="shared" si="104"/>
        <v>25.333333333333332</v>
      </c>
      <c r="M306" s="246">
        <f t="shared" si="93"/>
        <v>4.2352941176470589</v>
      </c>
      <c r="N306" s="246">
        <f t="shared" si="94"/>
        <v>16.941176470588236</v>
      </c>
      <c r="O306" s="246" t="str">
        <f t="shared" si="95"/>
        <v/>
      </c>
      <c r="P306" s="246" t="str">
        <f t="shared" si="96"/>
        <v/>
      </c>
      <c r="Q306" s="246" t="str">
        <f t="shared" si="97"/>
        <v/>
      </c>
      <c r="R306" s="246" t="str">
        <f t="shared" si="98"/>
        <v/>
      </c>
      <c r="S306" s="108">
        <f t="shared" si="105"/>
        <v>4</v>
      </c>
      <c r="T306" s="247">
        <f t="shared" si="99"/>
        <v>46.274509803921568</v>
      </c>
      <c r="U306" s="247">
        <f t="shared" si="100"/>
        <v>48.588235294117645</v>
      </c>
      <c r="V306" s="36">
        <f t="shared" si="101"/>
        <v>2.4294117647058822</v>
      </c>
      <c r="W306" s="36">
        <f t="shared" si="102"/>
        <v>0.7</v>
      </c>
      <c r="X306" s="63">
        <f t="shared" si="103"/>
        <v>2.7</v>
      </c>
      <c r="Y306"/>
    </row>
    <row r="307" spans="1:25">
      <c r="A307" s="1" t="s">
        <v>2545</v>
      </c>
      <c r="B307" s="1">
        <v>30</v>
      </c>
      <c r="C307" s="137" t="s">
        <v>2553</v>
      </c>
      <c r="D307" s="1">
        <v>12</v>
      </c>
      <c r="E307" s="137" t="s">
        <v>2554</v>
      </c>
      <c r="F307" s="1">
        <v>3</v>
      </c>
      <c r="G307" s="1"/>
      <c r="H307" s="1"/>
      <c r="I307" s="1"/>
      <c r="J307" s="1"/>
      <c r="K307" s="246">
        <f t="shared" si="92"/>
        <v>7.2857142857142856</v>
      </c>
      <c r="L307" s="246">
        <f t="shared" si="104"/>
        <v>87.428571428571431</v>
      </c>
      <c r="M307" s="246">
        <f t="shared" si="93"/>
        <v>2.5</v>
      </c>
      <c r="N307" s="246">
        <f t="shared" si="94"/>
        <v>7.5</v>
      </c>
      <c r="O307" s="246" t="str">
        <f t="shared" si="95"/>
        <v/>
      </c>
      <c r="P307" s="246" t="str">
        <f t="shared" si="96"/>
        <v/>
      </c>
      <c r="Q307" s="246" t="str">
        <f t="shared" si="97"/>
        <v/>
      </c>
      <c r="R307" s="246" t="str">
        <f t="shared" si="98"/>
        <v/>
      </c>
      <c r="S307" s="108">
        <f>B307*0.1</f>
        <v>3</v>
      </c>
      <c r="T307" s="247">
        <f t="shared" si="99"/>
        <v>97.928571428571431</v>
      </c>
      <c r="U307" s="247">
        <f t="shared" si="100"/>
        <v>102.825</v>
      </c>
      <c r="V307" s="36">
        <f t="shared" si="101"/>
        <v>3.4275000000000002</v>
      </c>
      <c r="W307" s="36">
        <f t="shared" si="102"/>
        <v>0.5</v>
      </c>
      <c r="X307" s="63">
        <f t="shared" si="103"/>
        <v>3.8</v>
      </c>
      <c r="Y307"/>
    </row>
    <row r="308" spans="1:25">
      <c r="A308" s="1" t="s">
        <v>2562</v>
      </c>
      <c r="B308" s="1">
        <v>20</v>
      </c>
      <c r="C308" s="137" t="s">
        <v>2564</v>
      </c>
      <c r="D308" s="1">
        <v>6.5</v>
      </c>
      <c r="E308" s="137" t="s">
        <v>2565</v>
      </c>
      <c r="F308" s="1">
        <v>3</v>
      </c>
      <c r="G308" s="1"/>
      <c r="H308" s="1"/>
      <c r="I308" s="1"/>
      <c r="J308" s="1"/>
      <c r="K308" s="246">
        <f t="shared" si="92"/>
        <v>14.428571428571429</v>
      </c>
      <c r="L308" s="246">
        <f t="shared" si="104"/>
        <v>93.785714285714292</v>
      </c>
      <c r="M308" s="246">
        <f t="shared" si="93"/>
        <v>7</v>
      </c>
      <c r="N308" s="246">
        <f t="shared" si="94"/>
        <v>21</v>
      </c>
      <c r="O308" s="246" t="str">
        <f t="shared" si="95"/>
        <v/>
      </c>
      <c r="P308" s="246" t="str">
        <f t="shared" si="96"/>
        <v/>
      </c>
      <c r="Q308" s="246" t="str">
        <f t="shared" si="97"/>
        <v/>
      </c>
      <c r="R308" s="246" t="str">
        <f t="shared" si="98"/>
        <v/>
      </c>
      <c r="S308" s="108">
        <f>B308*0.1</f>
        <v>2</v>
      </c>
      <c r="T308" s="247">
        <f t="shared" si="99"/>
        <v>116.78571428571429</v>
      </c>
      <c r="U308" s="247">
        <f t="shared" si="100"/>
        <v>122.62500000000001</v>
      </c>
      <c r="V308" s="36">
        <f t="shared" si="101"/>
        <v>6.1312500000000005</v>
      </c>
      <c r="W308" s="36">
        <f t="shared" si="102"/>
        <v>0.47499999999999998</v>
      </c>
      <c r="X308" s="63">
        <f t="shared" si="103"/>
        <v>6.7</v>
      </c>
      <c r="Y308"/>
    </row>
    <row r="309" spans="1:25">
      <c r="A309" s="1" t="s">
        <v>2568</v>
      </c>
      <c r="B309" s="1">
        <v>40</v>
      </c>
      <c r="C309" s="137" t="s">
        <v>2570</v>
      </c>
      <c r="D309" s="1">
        <v>16</v>
      </c>
      <c r="E309" s="137" t="s">
        <v>2571</v>
      </c>
      <c r="F309" s="1">
        <v>8</v>
      </c>
      <c r="G309" s="137" t="s">
        <v>2572</v>
      </c>
      <c r="H309" s="1">
        <v>4</v>
      </c>
      <c r="I309" s="137" t="s">
        <v>2573</v>
      </c>
      <c r="J309" s="1">
        <v>1</v>
      </c>
      <c r="K309" s="246">
        <f t="shared" si="92"/>
        <v>9.4285714285714288</v>
      </c>
      <c r="L309" s="246">
        <f t="shared" si="104"/>
        <v>150.85714285714286</v>
      </c>
      <c r="M309" s="246">
        <f t="shared" si="93"/>
        <v>0.94117647058823539</v>
      </c>
      <c r="N309" s="246">
        <f t="shared" si="94"/>
        <v>7.5294117647058831</v>
      </c>
      <c r="O309" s="246">
        <f t="shared" si="95"/>
        <v>1.6470588235294117</v>
      </c>
      <c r="P309" s="246">
        <f t="shared" si="96"/>
        <v>6.5882352941176467</v>
      </c>
      <c r="Q309" s="246">
        <f t="shared" si="97"/>
        <v>8.3529411764705888</v>
      </c>
      <c r="R309" s="246">
        <f t="shared" si="98"/>
        <v>8.3529411764705888</v>
      </c>
      <c r="S309" s="108">
        <f t="shared" si="105"/>
        <v>8</v>
      </c>
      <c r="T309" s="247">
        <f t="shared" si="99"/>
        <v>181.32773109243698</v>
      </c>
      <c r="U309" s="247">
        <f t="shared" si="100"/>
        <v>190.39411764705883</v>
      </c>
      <c r="V309" s="36">
        <f t="shared" si="101"/>
        <v>4.7598529411764705</v>
      </c>
      <c r="W309" s="36">
        <f t="shared" si="102"/>
        <v>0.72500000000000009</v>
      </c>
      <c r="X309" s="63">
        <f t="shared" si="103"/>
        <v>5.2</v>
      </c>
      <c r="Y309"/>
    </row>
    <row r="310" spans="1:25">
      <c r="A310" s="1" t="s">
        <v>2577</v>
      </c>
      <c r="B310" s="1">
        <v>40</v>
      </c>
      <c r="C310" s="137" t="s">
        <v>2579</v>
      </c>
      <c r="D310" s="1">
        <v>24</v>
      </c>
      <c r="E310" s="137" t="s">
        <v>2572</v>
      </c>
      <c r="F310" s="1">
        <v>6</v>
      </c>
      <c r="G310" s="1"/>
      <c r="H310" s="1"/>
      <c r="I310" s="1"/>
      <c r="J310" s="1"/>
      <c r="K310" s="246">
        <f t="shared" si="92"/>
        <v>3.2941176470588234</v>
      </c>
      <c r="L310" s="246">
        <f t="shared" si="104"/>
        <v>79.058823529411768</v>
      </c>
      <c r="M310" s="246">
        <f t="shared" si="93"/>
        <v>1.6470588235294117</v>
      </c>
      <c r="N310" s="246">
        <f t="shared" si="94"/>
        <v>9.882352941176471</v>
      </c>
      <c r="O310" s="246" t="str">
        <f t="shared" si="95"/>
        <v/>
      </c>
      <c r="P310" s="246" t="str">
        <f t="shared" si="96"/>
        <v/>
      </c>
      <c r="Q310" s="246" t="str">
        <f t="shared" si="97"/>
        <v/>
      </c>
      <c r="R310" s="246" t="str">
        <f t="shared" si="98"/>
        <v/>
      </c>
      <c r="S310" s="108">
        <f>B310*0.4</f>
        <v>16</v>
      </c>
      <c r="T310" s="247">
        <f t="shared" si="99"/>
        <v>104.94117647058823</v>
      </c>
      <c r="U310" s="247">
        <f t="shared" si="100"/>
        <v>110.18823529411765</v>
      </c>
      <c r="V310" s="36">
        <f t="shared" si="101"/>
        <v>2.7547058823529413</v>
      </c>
      <c r="W310" s="36">
        <f t="shared" si="102"/>
        <v>0.75</v>
      </c>
      <c r="X310" s="63">
        <f t="shared" si="103"/>
        <v>3</v>
      </c>
      <c r="Y310"/>
    </row>
    <row r="311" spans="1:25">
      <c r="A311" s="1" t="s">
        <v>2580</v>
      </c>
      <c r="B311" s="1">
        <v>40</v>
      </c>
      <c r="C311" s="137" t="s">
        <v>193</v>
      </c>
      <c r="D311" s="1">
        <v>14</v>
      </c>
      <c r="E311" s="137" t="s">
        <v>2590</v>
      </c>
      <c r="F311" s="1">
        <v>4</v>
      </c>
      <c r="G311" s="137" t="s">
        <v>2591</v>
      </c>
      <c r="H311" s="1">
        <v>10</v>
      </c>
      <c r="I311" s="1"/>
      <c r="J311" s="1"/>
      <c r="K311" s="246">
        <f t="shared" si="92"/>
        <v>14.000000000000002</v>
      </c>
      <c r="L311" s="246">
        <f t="shared" si="104"/>
        <v>196.00000000000003</v>
      </c>
      <c r="M311" s="246">
        <f t="shared" si="93"/>
        <v>5</v>
      </c>
      <c r="N311" s="246">
        <f t="shared" si="94"/>
        <v>20</v>
      </c>
      <c r="O311" s="246">
        <f t="shared" si="95"/>
        <v>0.94117647058823539</v>
      </c>
      <c r="P311" s="246">
        <f t="shared" si="96"/>
        <v>9.4117647058823533</v>
      </c>
      <c r="Q311" s="246" t="str">
        <f t="shared" si="97"/>
        <v/>
      </c>
      <c r="R311" s="246" t="str">
        <f t="shared" si="98"/>
        <v/>
      </c>
      <c r="S311" s="108">
        <f>B311*0.1</f>
        <v>4</v>
      </c>
      <c r="T311" s="247">
        <f t="shared" si="99"/>
        <v>229.41176470588238</v>
      </c>
      <c r="U311" s="247">
        <f t="shared" si="100"/>
        <v>240.88235294117649</v>
      </c>
      <c r="V311" s="36">
        <f t="shared" si="101"/>
        <v>6.0220588235294121</v>
      </c>
      <c r="W311" s="36">
        <f t="shared" si="102"/>
        <v>0.7</v>
      </c>
      <c r="X311" s="63">
        <f t="shared" si="103"/>
        <v>6.6</v>
      </c>
      <c r="Y311"/>
    </row>
    <row r="312" spans="1:25">
      <c r="A312" s="1" t="s">
        <v>2583</v>
      </c>
      <c r="B312" s="1">
        <v>40</v>
      </c>
      <c r="C312" s="137" t="s">
        <v>248</v>
      </c>
      <c r="D312" s="1">
        <v>20</v>
      </c>
      <c r="E312" s="1"/>
      <c r="F312" s="1"/>
      <c r="G312" s="1"/>
      <c r="H312" s="1"/>
      <c r="I312" s="1"/>
      <c r="J312" s="1"/>
      <c r="K312" s="246">
        <f t="shared" si="92"/>
        <v>11.285714285714286</v>
      </c>
      <c r="L312" s="246">
        <f t="shared" si="104"/>
        <v>225.71428571428572</v>
      </c>
      <c r="M312" s="246" t="str">
        <f t="shared" si="93"/>
        <v/>
      </c>
      <c r="N312" s="246" t="str">
        <f t="shared" si="94"/>
        <v/>
      </c>
      <c r="O312" s="246" t="str">
        <f t="shared" si="95"/>
        <v/>
      </c>
      <c r="P312" s="246" t="str">
        <f t="shared" si="96"/>
        <v/>
      </c>
      <c r="Q312" s="246" t="str">
        <f t="shared" si="97"/>
        <v/>
      </c>
      <c r="R312" s="246" t="str">
        <f t="shared" si="98"/>
        <v/>
      </c>
      <c r="S312" s="108">
        <f t="shared" si="105"/>
        <v>8</v>
      </c>
      <c r="T312" s="247">
        <f t="shared" si="99"/>
        <v>233.71428571428572</v>
      </c>
      <c r="U312" s="247">
        <f t="shared" si="100"/>
        <v>245.4</v>
      </c>
      <c r="V312" s="36">
        <f t="shared" si="101"/>
        <v>6.1349999999999998</v>
      </c>
      <c r="W312" s="36">
        <f t="shared" si="102"/>
        <v>0.5</v>
      </c>
      <c r="X312" s="63">
        <f t="shared" si="103"/>
        <v>6.7</v>
      </c>
      <c r="Y312"/>
    </row>
    <row r="313" spans="1:25">
      <c r="A313" s="1" t="s">
        <v>2592</v>
      </c>
      <c r="B313" s="1">
        <v>40</v>
      </c>
      <c r="C313" s="137" t="s">
        <v>2594</v>
      </c>
      <c r="D313" s="1">
        <v>12</v>
      </c>
      <c r="E313" s="137" t="s">
        <v>2595</v>
      </c>
      <c r="F313" s="1">
        <v>14</v>
      </c>
      <c r="G313" s="1"/>
      <c r="H313" s="1"/>
      <c r="I313" s="1"/>
      <c r="J313" s="1"/>
      <c r="K313" s="246">
        <f t="shared" si="92"/>
        <v>13</v>
      </c>
      <c r="L313" s="246">
        <f t="shared" si="104"/>
        <v>156</v>
      </c>
      <c r="M313" s="246">
        <f t="shared" si="93"/>
        <v>1.2857142857142858</v>
      </c>
      <c r="N313" s="246">
        <f t="shared" si="94"/>
        <v>18</v>
      </c>
      <c r="O313" s="246" t="str">
        <f t="shared" si="95"/>
        <v/>
      </c>
      <c r="P313" s="246" t="str">
        <f t="shared" si="96"/>
        <v/>
      </c>
      <c r="Q313" s="246" t="str">
        <f t="shared" si="97"/>
        <v/>
      </c>
      <c r="R313" s="246" t="str">
        <f t="shared" si="98"/>
        <v/>
      </c>
      <c r="S313" s="108">
        <f t="shared" si="105"/>
        <v>8</v>
      </c>
      <c r="T313" s="247">
        <f t="shared" si="99"/>
        <v>182</v>
      </c>
      <c r="U313" s="247">
        <f t="shared" si="100"/>
        <v>191.1</v>
      </c>
      <c r="V313" s="36">
        <f t="shared" si="101"/>
        <v>4.7774999999999999</v>
      </c>
      <c r="W313" s="36">
        <f t="shared" si="102"/>
        <v>0.64999999999999991</v>
      </c>
      <c r="X313" s="63">
        <f t="shared" si="103"/>
        <v>5.3</v>
      </c>
      <c r="Y313"/>
    </row>
    <row r="314" spans="1:25">
      <c r="A314" s="1" t="s">
        <v>2596</v>
      </c>
      <c r="B314" s="1">
        <v>40</v>
      </c>
      <c r="C314" s="137" t="s">
        <v>2570</v>
      </c>
      <c r="D314" s="1">
        <v>24</v>
      </c>
      <c r="E314" s="1"/>
      <c r="F314" s="1"/>
      <c r="G314" s="1"/>
      <c r="H314" s="1"/>
      <c r="I314" s="1"/>
      <c r="J314" s="1"/>
      <c r="K314" s="246">
        <f t="shared" si="92"/>
        <v>9.4285714285714288</v>
      </c>
      <c r="L314" s="246">
        <f t="shared" si="104"/>
        <v>226.28571428571428</v>
      </c>
      <c r="M314" s="246" t="str">
        <f t="shared" si="93"/>
        <v/>
      </c>
      <c r="N314" s="246" t="str">
        <f t="shared" si="94"/>
        <v/>
      </c>
      <c r="O314" s="246" t="str">
        <f t="shared" si="95"/>
        <v/>
      </c>
      <c r="P314" s="246" t="str">
        <f t="shared" si="96"/>
        <v/>
      </c>
      <c r="Q314" s="246" t="str">
        <f t="shared" si="97"/>
        <v/>
      </c>
      <c r="R314" s="246" t="str">
        <f t="shared" si="98"/>
        <v/>
      </c>
      <c r="S314" s="108">
        <f t="shared" si="105"/>
        <v>8</v>
      </c>
      <c r="T314" s="247">
        <f t="shared" si="99"/>
        <v>234.28571428571428</v>
      </c>
      <c r="U314" s="247">
        <f t="shared" si="100"/>
        <v>246</v>
      </c>
      <c r="V314" s="36">
        <f t="shared" si="101"/>
        <v>6.15</v>
      </c>
      <c r="W314" s="36">
        <f t="shared" si="102"/>
        <v>0.6</v>
      </c>
      <c r="X314" s="63">
        <f t="shared" si="103"/>
        <v>6.8</v>
      </c>
      <c r="Y314"/>
    </row>
    <row r="315" spans="1:25">
      <c r="A315" s="1" t="s">
        <v>2597</v>
      </c>
      <c r="B315" s="1">
        <v>40</v>
      </c>
      <c r="C315" s="137" t="s">
        <v>2599</v>
      </c>
      <c r="D315" s="1">
        <v>16</v>
      </c>
      <c r="E315" s="137" t="s">
        <v>2571</v>
      </c>
      <c r="F315" s="1">
        <v>8</v>
      </c>
      <c r="G315" s="137" t="s">
        <v>2600</v>
      </c>
      <c r="H315" s="1">
        <v>1</v>
      </c>
      <c r="I315" s="1"/>
      <c r="J315" s="1"/>
      <c r="K315" s="246">
        <f t="shared" si="92"/>
        <v>13.857142857142858</v>
      </c>
      <c r="L315" s="246">
        <f t="shared" si="104"/>
        <v>221.71428571428572</v>
      </c>
      <c r="M315" s="246">
        <f t="shared" si="93"/>
        <v>0.94117647058823539</v>
      </c>
      <c r="N315" s="246">
        <f t="shared" si="94"/>
        <v>7.5294117647058831</v>
      </c>
      <c r="O315" s="246">
        <f t="shared" si="95"/>
        <v>2.2352941176470589</v>
      </c>
      <c r="P315" s="246">
        <f t="shared" si="96"/>
        <v>2.2352941176470589</v>
      </c>
      <c r="Q315" s="246" t="str">
        <f t="shared" si="97"/>
        <v/>
      </c>
      <c r="R315" s="246" t="str">
        <f t="shared" si="98"/>
        <v/>
      </c>
      <c r="S315" s="108">
        <f t="shared" si="105"/>
        <v>8</v>
      </c>
      <c r="T315" s="247">
        <f t="shared" si="99"/>
        <v>239.47899159663868</v>
      </c>
      <c r="U315" s="247">
        <f t="shared" si="100"/>
        <v>251.45294117647063</v>
      </c>
      <c r="V315" s="36">
        <f t="shared" si="101"/>
        <v>6.2863235294117654</v>
      </c>
      <c r="W315" s="36">
        <f t="shared" si="102"/>
        <v>0.62500000000000011</v>
      </c>
      <c r="X315" s="63">
        <f t="shared" si="103"/>
        <v>6.9</v>
      </c>
      <c r="Y315"/>
    </row>
    <row r="316" spans="1:25">
      <c r="A316" s="1" t="s">
        <v>2601</v>
      </c>
      <c r="B316" s="1">
        <v>40</v>
      </c>
      <c r="C316" s="1" t="s">
        <v>319</v>
      </c>
      <c r="D316" s="1">
        <v>24</v>
      </c>
      <c r="E316" s="1" t="s">
        <v>1294</v>
      </c>
      <c r="F316" s="1">
        <v>3</v>
      </c>
      <c r="G316" s="1"/>
      <c r="H316" s="1"/>
      <c r="I316" s="1"/>
      <c r="J316" s="1"/>
      <c r="K316" s="246">
        <f t="shared" si="92"/>
        <v>3.5714285714285716</v>
      </c>
      <c r="L316" s="246">
        <f t="shared" si="104"/>
        <v>85.714285714285722</v>
      </c>
      <c r="M316" s="246">
        <f t="shared" si="93"/>
        <v>8.5714285714285712</v>
      </c>
      <c r="N316" s="246">
        <f t="shared" si="94"/>
        <v>25.714285714285715</v>
      </c>
      <c r="O316" s="246" t="str">
        <f t="shared" si="95"/>
        <v/>
      </c>
      <c r="P316" s="246" t="str">
        <f t="shared" si="96"/>
        <v/>
      </c>
      <c r="Q316" s="246" t="str">
        <f t="shared" si="97"/>
        <v/>
      </c>
      <c r="R316" s="246" t="str">
        <f t="shared" si="98"/>
        <v/>
      </c>
      <c r="S316" s="108">
        <f t="shared" si="105"/>
        <v>8</v>
      </c>
      <c r="T316" s="247">
        <f t="shared" si="99"/>
        <v>119.42857142857144</v>
      </c>
      <c r="U316" s="247">
        <f t="shared" si="100"/>
        <v>125.40000000000002</v>
      </c>
      <c r="V316" s="36">
        <f t="shared" si="101"/>
        <v>3.1350000000000007</v>
      </c>
      <c r="W316" s="36">
        <f t="shared" si="102"/>
        <v>0.67499999999999993</v>
      </c>
      <c r="X316" s="63">
        <f t="shared" si="103"/>
        <v>3.4</v>
      </c>
      <c r="Y316"/>
    </row>
    <row r="317" spans="1:25">
      <c r="A317" s="1" t="s">
        <v>2614</v>
      </c>
      <c r="B317" s="1">
        <v>40</v>
      </c>
      <c r="C317" s="137" t="s">
        <v>2616</v>
      </c>
      <c r="D317" s="1">
        <v>10</v>
      </c>
      <c r="E317" s="137" t="s">
        <v>2617</v>
      </c>
      <c r="F317" s="1">
        <v>20</v>
      </c>
      <c r="G317" s="1"/>
      <c r="H317" s="1"/>
      <c r="I317" s="1"/>
      <c r="J317" s="1"/>
      <c r="K317" s="246">
        <f t="shared" si="92"/>
        <v>1.2941176470588236</v>
      </c>
      <c r="L317" s="246">
        <f t="shared" si="104"/>
        <v>12.941176470588236</v>
      </c>
      <c r="M317" s="246">
        <f t="shared" si="93"/>
        <v>1.2941176470588236</v>
      </c>
      <c r="N317" s="246">
        <f t="shared" si="94"/>
        <v>25.882352941176471</v>
      </c>
      <c r="O317" s="246" t="str">
        <f t="shared" si="95"/>
        <v/>
      </c>
      <c r="P317" s="246" t="str">
        <f t="shared" si="96"/>
        <v/>
      </c>
      <c r="Q317" s="246" t="str">
        <f t="shared" si="97"/>
        <v/>
      </c>
      <c r="R317" s="246" t="str">
        <f t="shared" si="98"/>
        <v/>
      </c>
      <c r="S317" s="108">
        <f t="shared" si="105"/>
        <v>8</v>
      </c>
      <c r="T317" s="247">
        <f t="shared" si="99"/>
        <v>46.82352941176471</v>
      </c>
      <c r="U317" s="247">
        <f t="shared" si="100"/>
        <v>49.164705882352948</v>
      </c>
      <c r="V317" s="36">
        <f t="shared" si="101"/>
        <v>1.2291176470588236</v>
      </c>
      <c r="W317" s="36">
        <f t="shared" si="102"/>
        <v>0.75</v>
      </c>
      <c r="X317" s="63">
        <f t="shared" si="103"/>
        <v>1.4</v>
      </c>
      <c r="Y317"/>
    </row>
    <row r="318" spans="1:25">
      <c r="A318" s="1" t="s">
        <v>2608</v>
      </c>
      <c r="B318" s="1">
        <v>40</v>
      </c>
      <c r="C318" s="137" t="s">
        <v>2618</v>
      </c>
      <c r="D318" s="1">
        <v>8</v>
      </c>
      <c r="E318" s="137" t="s">
        <v>2619</v>
      </c>
      <c r="F318" s="1">
        <v>16</v>
      </c>
      <c r="G318" s="1"/>
      <c r="H318" s="1"/>
      <c r="I318" s="1"/>
      <c r="J318" s="1"/>
      <c r="K318" s="246">
        <f t="shared" si="92"/>
        <v>1.7647058823529411</v>
      </c>
      <c r="L318" s="246">
        <f t="shared" si="104"/>
        <v>14.117647058823529</v>
      </c>
      <c r="M318" s="246">
        <f t="shared" si="93"/>
        <v>10.857142857142858</v>
      </c>
      <c r="N318" s="246">
        <f t="shared" si="94"/>
        <v>173.71428571428572</v>
      </c>
      <c r="O318" s="246" t="str">
        <f t="shared" si="95"/>
        <v/>
      </c>
      <c r="P318" s="246" t="str">
        <f t="shared" si="96"/>
        <v/>
      </c>
      <c r="Q318" s="246" t="str">
        <f t="shared" si="97"/>
        <v/>
      </c>
      <c r="R318" s="246" t="str">
        <f t="shared" si="98"/>
        <v/>
      </c>
      <c r="S318" s="108">
        <f t="shared" si="105"/>
        <v>8</v>
      </c>
      <c r="T318" s="247">
        <f t="shared" si="99"/>
        <v>195.83193277310926</v>
      </c>
      <c r="U318" s="247">
        <f t="shared" si="100"/>
        <v>205.62352941176474</v>
      </c>
      <c r="V318" s="36">
        <f t="shared" si="101"/>
        <v>5.1405882352941186</v>
      </c>
      <c r="W318" s="36">
        <f t="shared" si="102"/>
        <v>0.60000000000000009</v>
      </c>
      <c r="X318" s="63">
        <f t="shared" si="103"/>
        <v>5.7</v>
      </c>
      <c r="Y318"/>
    </row>
    <row r="319" spans="1:25">
      <c r="A319" s="1" t="s">
        <v>2606</v>
      </c>
      <c r="B319" s="1">
        <v>40</v>
      </c>
      <c r="C319" s="1" t="s">
        <v>248</v>
      </c>
      <c r="D319" s="1">
        <v>16</v>
      </c>
      <c r="E319" s="1"/>
      <c r="F319" s="1"/>
      <c r="G319" s="1"/>
      <c r="H319" s="1"/>
      <c r="I319" s="1"/>
      <c r="J319" s="1"/>
      <c r="K319" s="246">
        <f t="shared" si="92"/>
        <v>11.285714285714286</v>
      </c>
      <c r="L319" s="246">
        <f t="shared" si="104"/>
        <v>180.57142857142858</v>
      </c>
      <c r="M319" s="246" t="str">
        <f t="shared" si="93"/>
        <v/>
      </c>
      <c r="N319" s="246" t="str">
        <f t="shared" si="94"/>
        <v/>
      </c>
      <c r="O319" s="246" t="str">
        <f t="shared" si="95"/>
        <v/>
      </c>
      <c r="P319" s="246" t="str">
        <f t="shared" si="96"/>
        <v/>
      </c>
      <c r="Q319" s="246" t="str">
        <f t="shared" si="97"/>
        <v/>
      </c>
      <c r="R319" s="246" t="str">
        <f t="shared" si="98"/>
        <v/>
      </c>
      <c r="S319" s="108">
        <f t="shared" si="105"/>
        <v>8</v>
      </c>
      <c r="T319" s="247">
        <f t="shared" si="99"/>
        <v>188.57142857142858</v>
      </c>
      <c r="U319" s="247">
        <f t="shared" si="100"/>
        <v>198.00000000000003</v>
      </c>
      <c r="V319" s="36">
        <f t="shared" si="101"/>
        <v>4.9500000000000011</v>
      </c>
      <c r="W319" s="36">
        <f t="shared" si="102"/>
        <v>0.4</v>
      </c>
      <c r="X319" s="63">
        <f t="shared" si="103"/>
        <v>5.4</v>
      </c>
      <c r="Y319"/>
    </row>
    <row r="320" spans="1:25">
      <c r="A320" s="1" t="s">
        <v>2604</v>
      </c>
      <c r="B320" s="1">
        <v>40</v>
      </c>
      <c r="C320" s="1"/>
      <c r="D320" s="1"/>
      <c r="E320" s="1"/>
      <c r="F320" s="1"/>
      <c r="G320" s="1"/>
      <c r="H320" s="1"/>
      <c r="I320" s="1"/>
      <c r="J320" s="1"/>
      <c r="K320" s="246" t="str">
        <f t="shared" si="92"/>
        <v/>
      </c>
      <c r="L320" s="246" t="str">
        <f t="shared" si="104"/>
        <v/>
      </c>
      <c r="M320" s="246" t="str">
        <f t="shared" si="93"/>
        <v/>
      </c>
      <c r="N320" s="246" t="str">
        <f t="shared" si="94"/>
        <v/>
      </c>
      <c r="O320" s="246" t="str">
        <f t="shared" si="95"/>
        <v/>
      </c>
      <c r="P320" s="246" t="str">
        <f t="shared" si="96"/>
        <v/>
      </c>
      <c r="Q320" s="246" t="str">
        <f t="shared" si="97"/>
        <v/>
      </c>
      <c r="R320" s="246" t="str">
        <f t="shared" si="98"/>
        <v/>
      </c>
      <c r="S320" s="108">
        <f t="shared" si="105"/>
        <v>8</v>
      </c>
      <c r="T320" s="247">
        <f t="shared" si="99"/>
        <v>8</v>
      </c>
      <c r="U320" s="247">
        <f t="shared" si="100"/>
        <v>8.4</v>
      </c>
      <c r="V320" s="36">
        <f t="shared" si="101"/>
        <v>0.21000000000000002</v>
      </c>
      <c r="W320" s="36">
        <f t="shared" si="102"/>
        <v>0</v>
      </c>
      <c r="X320" s="63">
        <f t="shared" si="103"/>
        <v>0.2</v>
      </c>
      <c r="Y320"/>
    </row>
    <row r="321" spans="1:25">
      <c r="A321" s="1" t="s">
        <v>2621</v>
      </c>
      <c r="B321" s="1">
        <v>40</v>
      </c>
      <c r="C321" s="1" t="s">
        <v>73</v>
      </c>
      <c r="D321" s="1">
        <v>12</v>
      </c>
      <c r="E321" s="137" t="s">
        <v>2623</v>
      </c>
      <c r="F321" s="1">
        <v>16</v>
      </c>
      <c r="G321" s="1"/>
      <c r="H321" s="1"/>
      <c r="I321" s="1"/>
      <c r="J321" s="1"/>
      <c r="K321" s="246">
        <f t="shared" si="92"/>
        <v>1.2857142857142858</v>
      </c>
      <c r="L321" s="246">
        <f t="shared" si="104"/>
        <v>15.428571428571431</v>
      </c>
      <c r="M321" s="246">
        <f t="shared" si="93"/>
        <v>2.5333333333333332</v>
      </c>
      <c r="N321" s="246">
        <f t="shared" si="94"/>
        <v>40.533333333333331</v>
      </c>
      <c r="O321" s="246" t="str">
        <f t="shared" si="95"/>
        <v/>
      </c>
      <c r="P321" s="246" t="str">
        <f t="shared" si="96"/>
        <v/>
      </c>
      <c r="Q321" s="246" t="str">
        <f t="shared" si="97"/>
        <v/>
      </c>
      <c r="R321" s="246" t="str">
        <f t="shared" si="98"/>
        <v/>
      </c>
      <c r="S321" s="108">
        <f>B321*0.4</f>
        <v>16</v>
      </c>
      <c r="T321" s="247">
        <f t="shared" si="99"/>
        <v>71.961904761904762</v>
      </c>
      <c r="U321" s="247">
        <f t="shared" si="100"/>
        <v>75.56</v>
      </c>
      <c r="V321" s="36">
        <f t="shared" si="101"/>
        <v>1.889</v>
      </c>
      <c r="W321" s="36">
        <f t="shared" si="102"/>
        <v>0.7</v>
      </c>
      <c r="X321" s="63">
        <f t="shared" si="103"/>
        <v>2.1</v>
      </c>
      <c r="Y321"/>
    </row>
    <row r="322" spans="1:25">
      <c r="A322" s="1" t="s">
        <v>1778</v>
      </c>
      <c r="B322" s="1">
        <v>40</v>
      </c>
      <c r="C322" s="137" t="s">
        <v>2625</v>
      </c>
      <c r="D322" s="1">
        <v>16</v>
      </c>
      <c r="E322" s="1" t="s">
        <v>42</v>
      </c>
      <c r="F322" s="1">
        <v>4</v>
      </c>
      <c r="G322" s="1"/>
      <c r="H322" s="1"/>
      <c r="I322" s="1"/>
      <c r="J322" s="1"/>
      <c r="K322" s="246">
        <f t="shared" si="92"/>
        <v>1.6470588235294117</v>
      </c>
      <c r="L322" s="246">
        <f t="shared" si="104"/>
        <v>26.352941176470587</v>
      </c>
      <c r="M322" s="246">
        <f t="shared" si="93"/>
        <v>42.857142857142861</v>
      </c>
      <c r="N322" s="246">
        <f t="shared" si="94"/>
        <v>171.42857142857144</v>
      </c>
      <c r="O322" s="246" t="str">
        <f t="shared" si="95"/>
        <v/>
      </c>
      <c r="P322" s="246" t="str">
        <f t="shared" si="96"/>
        <v/>
      </c>
      <c r="Q322" s="246" t="str">
        <f t="shared" si="97"/>
        <v/>
      </c>
      <c r="R322" s="246" t="str">
        <f t="shared" si="98"/>
        <v/>
      </c>
      <c r="S322" s="108">
        <f t="shared" si="105"/>
        <v>8</v>
      </c>
      <c r="T322" s="247">
        <f t="shared" si="99"/>
        <v>205.78151260504202</v>
      </c>
      <c r="U322" s="247">
        <f t="shared" si="100"/>
        <v>216.07058823529414</v>
      </c>
      <c r="V322" s="36">
        <f t="shared" si="101"/>
        <v>5.4017647058823535</v>
      </c>
      <c r="W322" s="36">
        <f t="shared" si="102"/>
        <v>0.5</v>
      </c>
      <c r="X322" s="63">
        <f t="shared" si="103"/>
        <v>5.9</v>
      </c>
      <c r="Y322"/>
    </row>
    <row r="323" spans="1:25">
      <c r="A323" s="137" t="s">
        <v>2815</v>
      </c>
      <c r="B323" s="1">
        <v>40</v>
      </c>
      <c r="C323" s="137" t="s">
        <v>3159</v>
      </c>
      <c r="D323" s="1">
        <v>8</v>
      </c>
      <c r="E323" s="137" t="s">
        <v>2571</v>
      </c>
      <c r="F323" s="1">
        <v>12</v>
      </c>
      <c r="G323" s="137" t="s">
        <v>2572</v>
      </c>
      <c r="H323" s="1">
        <v>4</v>
      </c>
      <c r="I323" s="1"/>
      <c r="J323" s="1"/>
      <c r="K323" s="246" t="e">
        <f t="shared" si="92"/>
        <v>#N/A</v>
      </c>
      <c r="L323" s="246" t="str">
        <f t="shared" si="104"/>
        <v/>
      </c>
      <c r="M323" s="246">
        <f t="shared" si="93"/>
        <v>0.94117647058823539</v>
      </c>
      <c r="N323" s="246">
        <f t="shared" si="94"/>
        <v>11.294117647058824</v>
      </c>
      <c r="O323" s="246">
        <f t="shared" si="95"/>
        <v>1.6470588235294117</v>
      </c>
      <c r="P323" s="246">
        <f t="shared" si="96"/>
        <v>6.5882352941176467</v>
      </c>
      <c r="Q323" s="246" t="str">
        <f t="shared" si="97"/>
        <v/>
      </c>
      <c r="R323" s="246" t="str">
        <f t="shared" si="98"/>
        <v/>
      </c>
      <c r="S323" s="108">
        <f>B323*0.1</f>
        <v>4</v>
      </c>
      <c r="T323" s="247">
        <f t="shared" si="99"/>
        <v>21.882352941176471</v>
      </c>
      <c r="U323" s="247">
        <f t="shared" si="100"/>
        <v>22.976470588235294</v>
      </c>
      <c r="V323" s="36">
        <f t="shared" si="101"/>
        <v>0.5744117647058824</v>
      </c>
      <c r="W323" s="36">
        <f t="shared" si="102"/>
        <v>0.6</v>
      </c>
      <c r="X323" s="63">
        <f t="shared" si="103"/>
        <v>0.6</v>
      </c>
      <c r="Y323"/>
    </row>
    <row r="324" spans="1:25">
      <c r="A324" s="1" t="s">
        <v>2628</v>
      </c>
      <c r="B324" s="1">
        <v>40</v>
      </c>
      <c r="C324" s="137" t="s">
        <v>2619</v>
      </c>
      <c r="D324" s="1">
        <v>16</v>
      </c>
      <c r="E324" s="137" t="s">
        <v>2625</v>
      </c>
      <c r="F324" s="1">
        <v>8</v>
      </c>
      <c r="G324" s="137" t="s">
        <v>2573</v>
      </c>
      <c r="H324" s="1">
        <v>1</v>
      </c>
      <c r="I324" s="1"/>
      <c r="J324" s="1"/>
      <c r="K324" s="246">
        <f t="shared" si="92"/>
        <v>10.857142857142858</v>
      </c>
      <c r="L324" s="246">
        <f t="shared" si="104"/>
        <v>173.71428571428572</v>
      </c>
      <c r="M324" s="246">
        <f t="shared" si="93"/>
        <v>1.6470588235294117</v>
      </c>
      <c r="N324" s="246">
        <f t="shared" si="94"/>
        <v>13.176470588235293</v>
      </c>
      <c r="O324" s="246">
        <f t="shared" si="95"/>
        <v>8.3529411764705888</v>
      </c>
      <c r="P324" s="246">
        <f t="shared" si="96"/>
        <v>8.3529411764705888</v>
      </c>
      <c r="Q324" s="246" t="str">
        <f t="shared" si="97"/>
        <v/>
      </c>
      <c r="R324" s="246" t="str">
        <f t="shared" si="98"/>
        <v/>
      </c>
      <c r="S324" s="108">
        <f t="shared" si="105"/>
        <v>8</v>
      </c>
      <c r="T324" s="247">
        <f t="shared" si="99"/>
        <v>203.24369747899161</v>
      </c>
      <c r="U324" s="247">
        <f t="shared" si="100"/>
        <v>213.40588235294121</v>
      </c>
      <c r="V324" s="36">
        <f t="shared" si="101"/>
        <v>5.3351470588235301</v>
      </c>
      <c r="W324" s="36">
        <f t="shared" si="102"/>
        <v>0.62500000000000011</v>
      </c>
      <c r="X324" s="63">
        <f t="shared" si="103"/>
        <v>5.9</v>
      </c>
      <c r="Y324"/>
    </row>
    <row r="325" spans="1:25">
      <c r="A325" s="1" t="s">
        <v>2630</v>
      </c>
      <c r="B325" s="1">
        <v>40</v>
      </c>
      <c r="C325" s="137" t="s">
        <v>2594</v>
      </c>
      <c r="D325" s="1">
        <v>12</v>
      </c>
      <c r="E325" s="1"/>
      <c r="F325" s="1"/>
      <c r="G325" s="1"/>
      <c r="H325" s="1"/>
      <c r="I325" s="1"/>
      <c r="J325" s="1"/>
      <c r="K325" s="246">
        <f t="shared" si="92"/>
        <v>13</v>
      </c>
      <c r="L325" s="246">
        <f t="shared" si="104"/>
        <v>156</v>
      </c>
      <c r="M325" s="246" t="str">
        <f t="shared" si="93"/>
        <v/>
      </c>
      <c r="N325" s="246" t="str">
        <f t="shared" si="94"/>
        <v/>
      </c>
      <c r="O325" s="246" t="str">
        <f t="shared" si="95"/>
        <v/>
      </c>
      <c r="P325" s="246" t="str">
        <f t="shared" si="96"/>
        <v/>
      </c>
      <c r="Q325" s="246" t="str">
        <f t="shared" si="97"/>
        <v/>
      </c>
      <c r="R325" s="246" t="str">
        <f t="shared" si="98"/>
        <v/>
      </c>
      <c r="S325" s="108">
        <f t="shared" si="105"/>
        <v>8</v>
      </c>
      <c r="T325" s="247">
        <f t="shared" si="99"/>
        <v>164</v>
      </c>
      <c r="U325" s="247">
        <f t="shared" si="100"/>
        <v>172.20000000000002</v>
      </c>
      <c r="V325" s="36">
        <f t="shared" si="101"/>
        <v>4.3050000000000006</v>
      </c>
      <c r="W325" s="36">
        <f t="shared" si="102"/>
        <v>0.3</v>
      </c>
      <c r="X325" s="63">
        <f t="shared" si="103"/>
        <v>4.7</v>
      </c>
      <c r="Y325"/>
    </row>
    <row r="326" spans="1:25">
      <c r="A326" s="1" t="s">
        <v>2631</v>
      </c>
      <c r="B326" s="1">
        <v>40</v>
      </c>
      <c r="C326" s="137" t="s">
        <v>2635</v>
      </c>
      <c r="D326" s="1">
        <v>4</v>
      </c>
      <c r="E326" s="137" t="s">
        <v>2636</v>
      </c>
      <c r="F326" s="1">
        <v>28</v>
      </c>
      <c r="G326" s="1"/>
      <c r="H326" s="1"/>
      <c r="I326" s="1"/>
      <c r="J326" s="1"/>
      <c r="K326" s="246">
        <f t="shared" si="92"/>
        <v>4.2352941176470589</v>
      </c>
      <c r="L326" s="246">
        <f t="shared" si="104"/>
        <v>16.941176470588236</v>
      </c>
      <c r="M326" s="246">
        <f t="shared" si="93"/>
        <v>1.7647058823529411</v>
      </c>
      <c r="N326" s="246">
        <f t="shared" si="94"/>
        <v>49.411764705882348</v>
      </c>
      <c r="O326" s="246" t="str">
        <f t="shared" si="95"/>
        <v/>
      </c>
      <c r="P326" s="246" t="str">
        <f t="shared" si="96"/>
        <v/>
      </c>
      <c r="Q326" s="246" t="str">
        <f t="shared" si="97"/>
        <v/>
      </c>
      <c r="R326" s="246" t="str">
        <f t="shared" si="98"/>
        <v/>
      </c>
      <c r="S326" s="108">
        <f t="shared" si="105"/>
        <v>8</v>
      </c>
      <c r="T326" s="247">
        <f t="shared" si="99"/>
        <v>74.35294117647058</v>
      </c>
      <c r="U326" s="247">
        <f t="shared" si="100"/>
        <v>78.07058823529411</v>
      </c>
      <c r="V326" s="36">
        <f t="shared" si="101"/>
        <v>1.9517647058823528</v>
      </c>
      <c r="W326" s="36">
        <f t="shared" si="102"/>
        <v>0.79999999999999993</v>
      </c>
      <c r="X326" s="63">
        <f t="shared" si="103"/>
        <v>2.1</v>
      </c>
      <c r="Y326"/>
    </row>
    <row r="327" spans="1:25">
      <c r="A327" s="1" t="s">
        <v>2641</v>
      </c>
      <c r="B327" s="1">
        <v>40</v>
      </c>
      <c r="C327" s="137" t="s">
        <v>2619</v>
      </c>
      <c r="D327" s="1">
        <v>16</v>
      </c>
      <c r="E327" s="137" t="s">
        <v>2643</v>
      </c>
      <c r="F327" s="1">
        <v>8</v>
      </c>
      <c r="G327" s="1"/>
      <c r="H327" s="1"/>
      <c r="I327" s="1"/>
      <c r="J327" s="1"/>
      <c r="K327" s="246">
        <f t="shared" si="92"/>
        <v>10.857142857142858</v>
      </c>
      <c r="L327" s="246">
        <f t="shared" si="104"/>
        <v>173.71428571428572</v>
      </c>
      <c r="M327" s="246">
        <f t="shared" si="93"/>
        <v>1.1176470588235294</v>
      </c>
      <c r="N327" s="246">
        <f t="shared" si="94"/>
        <v>8.9411764705882355</v>
      </c>
      <c r="O327" s="246" t="str">
        <f t="shared" si="95"/>
        <v/>
      </c>
      <c r="P327" s="246" t="str">
        <f t="shared" si="96"/>
        <v/>
      </c>
      <c r="Q327" s="246" t="str">
        <f t="shared" si="97"/>
        <v/>
      </c>
      <c r="R327" s="246" t="str">
        <f t="shared" si="98"/>
        <v/>
      </c>
      <c r="S327" s="108">
        <f t="shared" si="105"/>
        <v>8</v>
      </c>
      <c r="T327" s="247">
        <f t="shared" si="99"/>
        <v>190.65546218487395</v>
      </c>
      <c r="U327" s="247">
        <f t="shared" si="100"/>
        <v>200.18823529411765</v>
      </c>
      <c r="V327" s="36">
        <f t="shared" si="101"/>
        <v>5.0047058823529413</v>
      </c>
      <c r="W327" s="36">
        <f t="shared" si="102"/>
        <v>0.60000000000000009</v>
      </c>
      <c r="X327" s="63">
        <f t="shared" si="103"/>
        <v>5.5</v>
      </c>
      <c r="Y327"/>
    </row>
    <row r="328" spans="1:25">
      <c r="A328" s="1" t="s">
        <v>2644</v>
      </c>
      <c r="B328" s="1">
        <v>40</v>
      </c>
      <c r="C328" s="137" t="s">
        <v>193</v>
      </c>
      <c r="D328" s="1">
        <v>20</v>
      </c>
      <c r="E328" s="1"/>
      <c r="F328" s="1"/>
      <c r="G328" s="1"/>
      <c r="H328" s="1"/>
      <c r="I328" s="1"/>
      <c r="J328" s="1"/>
      <c r="K328" s="246">
        <f t="shared" si="92"/>
        <v>14.000000000000002</v>
      </c>
      <c r="L328" s="246">
        <f t="shared" si="104"/>
        <v>280.00000000000006</v>
      </c>
      <c r="M328" s="246" t="str">
        <f t="shared" si="93"/>
        <v/>
      </c>
      <c r="N328" s="246" t="str">
        <f t="shared" si="94"/>
        <v/>
      </c>
      <c r="O328" s="246" t="str">
        <f t="shared" si="95"/>
        <v/>
      </c>
      <c r="P328" s="246" t="str">
        <f t="shared" si="96"/>
        <v/>
      </c>
      <c r="Q328" s="246" t="str">
        <f t="shared" si="97"/>
        <v/>
      </c>
      <c r="R328" s="246" t="str">
        <f t="shared" si="98"/>
        <v/>
      </c>
      <c r="S328" s="108">
        <f t="shared" si="105"/>
        <v>8</v>
      </c>
      <c r="T328" s="247">
        <f t="shared" si="99"/>
        <v>288.00000000000006</v>
      </c>
      <c r="U328" s="247">
        <f t="shared" si="100"/>
        <v>302.40000000000009</v>
      </c>
      <c r="V328" s="36">
        <f t="shared" si="101"/>
        <v>7.5600000000000023</v>
      </c>
      <c r="W328" s="36">
        <f t="shared" si="102"/>
        <v>0.5</v>
      </c>
      <c r="X328" s="63">
        <f t="shared" si="103"/>
        <v>8.3000000000000007</v>
      </c>
      <c r="Y328"/>
    </row>
    <row r="329" spans="1:25">
      <c r="A329" s="137" t="s">
        <v>2647</v>
      </c>
      <c r="B329" s="1">
        <v>40</v>
      </c>
      <c r="C329" s="137" t="s">
        <v>3162</v>
      </c>
      <c r="D329" s="1">
        <v>24</v>
      </c>
      <c r="E329" s="1"/>
      <c r="F329" s="1"/>
      <c r="G329" s="1"/>
      <c r="H329" s="1"/>
      <c r="I329" s="1"/>
      <c r="J329" s="1"/>
      <c r="K329" s="246">
        <f t="shared" si="92"/>
        <v>9.5</v>
      </c>
      <c r="L329" s="246">
        <f t="shared" si="104"/>
        <v>228</v>
      </c>
      <c r="M329" s="246" t="str">
        <f t="shared" si="93"/>
        <v/>
      </c>
      <c r="N329" s="246" t="str">
        <f t="shared" si="94"/>
        <v/>
      </c>
      <c r="O329" s="246" t="str">
        <f t="shared" si="95"/>
        <v/>
      </c>
      <c r="P329" s="246" t="str">
        <f t="shared" si="96"/>
        <v/>
      </c>
      <c r="Q329" s="246" t="str">
        <f t="shared" si="97"/>
        <v/>
      </c>
      <c r="R329" s="246" t="str">
        <f t="shared" si="98"/>
        <v/>
      </c>
      <c r="S329" s="108">
        <f t="shared" si="105"/>
        <v>8</v>
      </c>
      <c r="T329" s="247">
        <f t="shared" si="99"/>
        <v>236</v>
      </c>
      <c r="U329" s="247">
        <f t="shared" si="100"/>
        <v>247.8</v>
      </c>
      <c r="V329" s="36">
        <f t="shared" si="101"/>
        <v>6.1950000000000003</v>
      </c>
      <c r="W329" s="36">
        <f t="shared" si="102"/>
        <v>0.6</v>
      </c>
      <c r="X329" s="63">
        <f t="shared" si="103"/>
        <v>6.8</v>
      </c>
      <c r="Y329"/>
    </row>
    <row r="330" spans="1:25">
      <c r="A330" t="s">
        <v>2651</v>
      </c>
      <c r="B330" s="263">
        <v>40</v>
      </c>
      <c r="C330" s="264" t="s">
        <v>2653</v>
      </c>
      <c r="D330" s="263">
        <v>24</v>
      </c>
      <c r="E330" s="122" t="s">
        <v>2654</v>
      </c>
      <c r="F330">
        <v>0.3</v>
      </c>
      <c r="G330"/>
      <c r="H330"/>
      <c r="I330"/>
      <c r="J330"/>
      <c r="K330" s="246">
        <f t="shared" si="92"/>
        <v>0.88235294117647056</v>
      </c>
      <c r="L330" s="246">
        <f t="shared" si="104"/>
        <v>21.176470588235293</v>
      </c>
      <c r="M330" s="246">
        <f t="shared" si="93"/>
        <v>61.428571428571431</v>
      </c>
      <c r="N330" s="246">
        <f t="shared" si="94"/>
        <v>18.428571428571427</v>
      </c>
      <c r="O330" s="246" t="str">
        <f t="shared" si="95"/>
        <v/>
      </c>
      <c r="P330" s="246" t="str">
        <f t="shared" si="96"/>
        <v/>
      </c>
      <c r="Q330" s="246" t="str">
        <f t="shared" si="97"/>
        <v/>
      </c>
      <c r="R330" s="246" t="str">
        <f t="shared" si="98"/>
        <v/>
      </c>
      <c r="S330" s="108">
        <f t="shared" si="105"/>
        <v>8</v>
      </c>
      <c r="T330" s="247">
        <f t="shared" si="99"/>
        <v>47.605042016806721</v>
      </c>
      <c r="U330" s="247">
        <f t="shared" si="100"/>
        <v>49.985294117647058</v>
      </c>
      <c r="V330" s="36">
        <f t="shared" si="101"/>
        <v>1.2496323529411764</v>
      </c>
      <c r="W330" s="36">
        <f t="shared" si="102"/>
        <v>0.60749999999999993</v>
      </c>
      <c r="X330" s="63">
        <f t="shared" si="103"/>
        <v>1.4</v>
      </c>
      <c r="Y330"/>
    </row>
    <row r="331" spans="1:25">
      <c r="A331" t="s">
        <v>2655</v>
      </c>
      <c r="B331" s="263">
        <v>40</v>
      </c>
      <c r="C331" t="s">
        <v>258</v>
      </c>
      <c r="D331" s="263">
        <v>20</v>
      </c>
      <c r="E331"/>
      <c r="F331"/>
      <c r="G331"/>
      <c r="H331"/>
      <c r="I331"/>
      <c r="J331"/>
      <c r="K331" s="246">
        <f t="shared" si="92"/>
        <v>11.285714285714286</v>
      </c>
      <c r="L331" s="246">
        <f t="shared" si="104"/>
        <v>225.71428571428572</v>
      </c>
      <c r="M331" s="246" t="str">
        <f t="shared" si="93"/>
        <v/>
      </c>
      <c r="N331" s="246" t="str">
        <f t="shared" si="94"/>
        <v/>
      </c>
      <c r="O331" s="246" t="str">
        <f t="shared" si="95"/>
        <v/>
      </c>
      <c r="P331" s="246" t="str">
        <f t="shared" si="96"/>
        <v/>
      </c>
      <c r="Q331" s="246" t="str">
        <f t="shared" si="97"/>
        <v/>
      </c>
      <c r="R331" s="246" t="str">
        <f t="shared" si="98"/>
        <v/>
      </c>
      <c r="S331" s="108">
        <f t="shared" si="105"/>
        <v>8</v>
      </c>
      <c r="T331" s="247">
        <f t="shared" si="99"/>
        <v>233.71428571428572</v>
      </c>
      <c r="U331" s="247">
        <f t="shared" si="100"/>
        <v>245.4</v>
      </c>
      <c r="V331" s="36">
        <f t="shared" si="101"/>
        <v>6.1349999999999998</v>
      </c>
      <c r="W331" s="36">
        <f t="shared" si="102"/>
        <v>0.5</v>
      </c>
      <c r="X331" s="63">
        <f t="shared" si="103"/>
        <v>6.7</v>
      </c>
      <c r="Y331"/>
    </row>
    <row r="332" spans="1:25">
      <c r="A332" t="s">
        <v>2790</v>
      </c>
      <c r="B332" s="263">
        <v>100</v>
      </c>
      <c r="C332" t="s">
        <v>201</v>
      </c>
      <c r="D332" s="263">
        <v>32</v>
      </c>
      <c r="E332" s="122" t="s">
        <v>2793</v>
      </c>
      <c r="F332">
        <v>40</v>
      </c>
      <c r="G332"/>
      <c r="H332"/>
      <c r="I332"/>
      <c r="J332"/>
      <c r="K332" s="246">
        <f t="shared" si="92"/>
        <v>14.714285714285717</v>
      </c>
      <c r="L332" s="246">
        <f t="shared" si="104"/>
        <v>470.85714285714295</v>
      </c>
      <c r="M332" s="246">
        <f t="shared" si="93"/>
        <v>1.6235294117647059</v>
      </c>
      <c r="N332" s="246">
        <f t="shared" si="94"/>
        <v>64.941176470588232</v>
      </c>
      <c r="O332" s="246" t="str">
        <f t="shared" si="95"/>
        <v/>
      </c>
      <c r="P332" s="246" t="str">
        <f t="shared" si="96"/>
        <v/>
      </c>
      <c r="Q332" s="246" t="str">
        <f t="shared" si="97"/>
        <v/>
      </c>
      <c r="R332" s="246" t="str">
        <f t="shared" si="98"/>
        <v/>
      </c>
      <c r="S332" s="108">
        <f>B332*0.4</f>
        <v>40</v>
      </c>
      <c r="T332" s="247">
        <f t="shared" si="99"/>
        <v>575.79831932773118</v>
      </c>
      <c r="U332" s="247">
        <f t="shared" si="100"/>
        <v>604.58823529411779</v>
      </c>
      <c r="V332" s="36">
        <f t="shared" si="101"/>
        <v>6.0458823529411783</v>
      </c>
      <c r="W332" s="36">
        <f t="shared" si="102"/>
        <v>0.72</v>
      </c>
      <c r="X332" s="63">
        <f t="shared" si="103"/>
        <v>6.7</v>
      </c>
      <c r="Y332"/>
    </row>
    <row r="333" spans="1:25">
      <c r="A333" t="s">
        <v>1349</v>
      </c>
      <c r="B333" s="263">
        <v>50</v>
      </c>
      <c r="C333" s="122" t="s">
        <v>2795</v>
      </c>
      <c r="D333" s="263">
        <v>40</v>
      </c>
      <c r="E333"/>
      <c r="F333"/>
      <c r="G333"/>
      <c r="H333"/>
      <c r="I333"/>
      <c r="J333"/>
      <c r="K333" s="246">
        <f t="shared" si="92"/>
        <v>1</v>
      </c>
      <c r="L333" s="246">
        <f t="shared" si="104"/>
        <v>40</v>
      </c>
      <c r="M333" s="246" t="str">
        <f t="shared" si="93"/>
        <v/>
      </c>
      <c r="N333" s="246" t="str">
        <f t="shared" si="94"/>
        <v/>
      </c>
      <c r="O333" s="246" t="str">
        <f t="shared" si="95"/>
        <v/>
      </c>
      <c r="P333" s="246" t="str">
        <f t="shared" si="96"/>
        <v/>
      </c>
      <c r="Q333" s="246" t="str">
        <f t="shared" si="97"/>
        <v/>
      </c>
      <c r="R333" s="246" t="str">
        <f t="shared" si="98"/>
        <v/>
      </c>
      <c r="S333" s="108">
        <f>B333*0.5</f>
        <v>25</v>
      </c>
      <c r="T333" s="247">
        <f t="shared" si="99"/>
        <v>65</v>
      </c>
      <c r="U333" s="247">
        <f t="shared" si="100"/>
        <v>68.25</v>
      </c>
      <c r="V333" s="36">
        <f t="shared" si="101"/>
        <v>1.365</v>
      </c>
      <c r="W333" s="36">
        <f t="shared" si="102"/>
        <v>0.8</v>
      </c>
      <c r="X333" s="63">
        <f t="shared" si="103"/>
        <v>1.5</v>
      </c>
      <c r="Y333"/>
    </row>
    <row r="334" spans="1:25">
      <c r="A334"/>
      <c r="B334"/>
      <c r="C334"/>
      <c r="D334"/>
      <c r="E334"/>
      <c r="F334"/>
      <c r="G334"/>
      <c r="H334"/>
      <c r="I334"/>
      <c r="J334"/>
      <c r="K334" s="246" t="str">
        <f t="shared" si="92"/>
        <v/>
      </c>
      <c r="L334" s="246" t="str">
        <f t="shared" si="104"/>
        <v/>
      </c>
      <c r="M334" s="246" t="str">
        <f t="shared" si="93"/>
        <v/>
      </c>
      <c r="N334" s="246" t="str">
        <f t="shared" si="94"/>
        <v/>
      </c>
      <c r="O334" s="246" t="str">
        <f t="shared" si="95"/>
        <v/>
      </c>
      <c r="P334" s="246" t="str">
        <f t="shared" si="96"/>
        <v/>
      </c>
      <c r="Q334" s="246" t="str">
        <f t="shared" si="97"/>
        <v/>
      </c>
      <c r="R334" s="246" t="str">
        <f t="shared" si="98"/>
        <v/>
      </c>
      <c r="S334" s="108">
        <f t="shared" si="105"/>
        <v>0</v>
      </c>
      <c r="T334" s="247">
        <f t="shared" si="99"/>
        <v>0</v>
      </c>
      <c r="U334" s="247">
        <f t="shared" si="100"/>
        <v>0</v>
      </c>
      <c r="V334" s="36" t="e">
        <f t="shared" si="101"/>
        <v>#DIV/0!</v>
      </c>
      <c r="W334" s="36" t="e">
        <f t="shared" si="102"/>
        <v>#DIV/0!</v>
      </c>
      <c r="X334" s="63" t="e">
        <f t="shared" si="103"/>
        <v>#DIV/0!</v>
      </c>
      <c r="Y334"/>
    </row>
    <row r="335" spans="1:25">
      <c r="A335"/>
      <c r="B335"/>
      <c r="C335"/>
      <c r="D335"/>
      <c r="E335"/>
      <c r="F335"/>
      <c r="G335"/>
      <c r="H335"/>
      <c r="I335"/>
      <c r="J335"/>
      <c r="K335" s="246" t="str">
        <f t="shared" ref="K335:K398" si="106">IF(C335="","",VLOOKUP(C335,成本单价,8,0))</f>
        <v/>
      </c>
      <c r="L335" s="246" t="str">
        <f t="shared" si="104"/>
        <v/>
      </c>
      <c r="M335" s="246" t="str">
        <f t="shared" ref="M335:M398" si="107">IF(E335="","",VLOOKUP(E335,成本单价,8,0))</f>
        <v/>
      </c>
      <c r="N335" s="246" t="str">
        <f t="shared" ref="N335:N398" si="108">IFERROR(F335*M335,"")</f>
        <v/>
      </c>
      <c r="O335" s="246" t="str">
        <f t="shared" ref="O335:O398" si="109">IF(G335="","",VLOOKUP(G335,成本单价,8,0))</f>
        <v/>
      </c>
      <c r="P335" s="246" t="str">
        <f t="shared" ref="P335:P398" si="110">IFERROR(H335*O335,"")</f>
        <v/>
      </c>
      <c r="Q335" s="246" t="str">
        <f t="shared" ref="Q335:Q398" si="111">IF(I335="","",VLOOKUP(I335,成本单价,8,0))</f>
        <v/>
      </c>
      <c r="R335" s="246" t="str">
        <f t="shared" ref="R335:R398" si="112">IFERROR(J335*Q335,"")</f>
        <v/>
      </c>
      <c r="S335" s="108">
        <f t="shared" si="105"/>
        <v>0</v>
      </c>
      <c r="T335" s="247">
        <f t="shared" ref="T335:T352" si="113">IFERROR(SUM(L335,N335,P335,R335,S335),"")</f>
        <v>0</v>
      </c>
      <c r="U335" s="247">
        <f t="shared" ref="U335:U398" si="114">T335*(1+物料比)</f>
        <v>0</v>
      </c>
      <c r="V335" s="36" t="e">
        <f t="shared" ref="V335:V398" si="115">U335/B335</f>
        <v>#DIV/0!</v>
      </c>
      <c r="W335" s="36" t="e">
        <f t="shared" ref="W335:W398" si="116">D335/B335+F335/B335+H335/B335+J335/B335</f>
        <v>#DIV/0!</v>
      </c>
      <c r="X335" s="63" t="e">
        <f t="shared" ref="X335:X374" si="117">ROUND(V335*(1+大灶毛利),1)</f>
        <v>#DIV/0!</v>
      </c>
      <c r="Y335"/>
    </row>
    <row r="336" spans="1:25">
      <c r="A336"/>
      <c r="B336"/>
      <c r="C336"/>
      <c r="D336"/>
      <c r="E336"/>
      <c r="F336"/>
      <c r="G336"/>
      <c r="H336"/>
      <c r="I336"/>
      <c r="J336"/>
      <c r="K336" s="246" t="str">
        <f t="shared" si="106"/>
        <v/>
      </c>
      <c r="L336" s="246" t="str">
        <f t="shared" ref="L336:L399" si="118">IFERROR(D336*K336,"")</f>
        <v/>
      </c>
      <c r="M336" s="246" t="str">
        <f t="shared" si="107"/>
        <v/>
      </c>
      <c r="N336" s="246" t="str">
        <f t="shared" si="108"/>
        <v/>
      </c>
      <c r="O336" s="246" t="str">
        <f t="shared" si="109"/>
        <v/>
      </c>
      <c r="P336" s="246" t="str">
        <f t="shared" si="110"/>
        <v/>
      </c>
      <c r="Q336" s="246" t="str">
        <f t="shared" si="111"/>
        <v/>
      </c>
      <c r="R336" s="246" t="str">
        <f t="shared" si="112"/>
        <v/>
      </c>
      <c r="S336" s="108">
        <f t="shared" ref="S336:S399" si="119">B336*0.2</f>
        <v>0</v>
      </c>
      <c r="T336" s="247">
        <f t="shared" si="113"/>
        <v>0</v>
      </c>
      <c r="U336" s="247">
        <f t="shared" si="114"/>
        <v>0</v>
      </c>
      <c r="V336" s="36" t="e">
        <f t="shared" si="115"/>
        <v>#DIV/0!</v>
      </c>
      <c r="W336" s="36" t="e">
        <f t="shared" si="116"/>
        <v>#DIV/0!</v>
      </c>
      <c r="X336" s="63" t="e">
        <f t="shared" si="117"/>
        <v>#DIV/0!</v>
      </c>
      <c r="Y336"/>
    </row>
    <row r="337" spans="1:25">
      <c r="A337"/>
      <c r="B337"/>
      <c r="C337"/>
      <c r="D337"/>
      <c r="E337"/>
      <c r="F337"/>
      <c r="G337"/>
      <c r="H337"/>
      <c r="I337"/>
      <c r="J337"/>
      <c r="K337" s="246" t="str">
        <f t="shared" si="106"/>
        <v/>
      </c>
      <c r="L337" s="246" t="str">
        <f t="shared" si="118"/>
        <v/>
      </c>
      <c r="M337" s="246" t="str">
        <f t="shared" si="107"/>
        <v/>
      </c>
      <c r="N337" s="246" t="str">
        <f t="shared" si="108"/>
        <v/>
      </c>
      <c r="O337" s="246" t="str">
        <f t="shared" si="109"/>
        <v/>
      </c>
      <c r="P337" s="246" t="str">
        <f t="shared" si="110"/>
        <v/>
      </c>
      <c r="Q337" s="246" t="str">
        <f t="shared" si="111"/>
        <v/>
      </c>
      <c r="R337" s="246" t="str">
        <f t="shared" si="112"/>
        <v/>
      </c>
      <c r="S337" s="108">
        <f t="shared" si="119"/>
        <v>0</v>
      </c>
      <c r="T337" s="247">
        <f t="shared" si="113"/>
        <v>0</v>
      </c>
      <c r="U337" s="247">
        <f t="shared" si="114"/>
        <v>0</v>
      </c>
      <c r="V337" s="36" t="e">
        <f t="shared" si="115"/>
        <v>#DIV/0!</v>
      </c>
      <c r="W337" s="36" t="e">
        <f t="shared" si="116"/>
        <v>#DIV/0!</v>
      </c>
      <c r="X337" s="63" t="e">
        <f t="shared" si="117"/>
        <v>#DIV/0!</v>
      </c>
      <c r="Y337"/>
    </row>
    <row r="338" spans="1:25">
      <c r="A338"/>
      <c r="B338"/>
      <c r="C338"/>
      <c r="D338"/>
      <c r="E338"/>
      <c r="F338"/>
      <c r="G338"/>
      <c r="H338"/>
      <c r="I338"/>
      <c r="J338"/>
      <c r="K338" s="246" t="str">
        <f t="shared" si="106"/>
        <v/>
      </c>
      <c r="L338" s="246" t="str">
        <f t="shared" si="118"/>
        <v/>
      </c>
      <c r="M338" s="246" t="str">
        <f t="shared" si="107"/>
        <v/>
      </c>
      <c r="N338" s="246" t="str">
        <f t="shared" si="108"/>
        <v/>
      </c>
      <c r="O338" s="246" t="str">
        <f t="shared" si="109"/>
        <v/>
      </c>
      <c r="P338" s="246" t="str">
        <f t="shared" si="110"/>
        <v/>
      </c>
      <c r="Q338" s="246" t="str">
        <f t="shared" si="111"/>
        <v/>
      </c>
      <c r="R338" s="246" t="str">
        <f t="shared" si="112"/>
        <v/>
      </c>
      <c r="S338" s="108">
        <f t="shared" si="119"/>
        <v>0</v>
      </c>
      <c r="T338" s="247">
        <f t="shared" si="113"/>
        <v>0</v>
      </c>
      <c r="U338" s="247">
        <f t="shared" si="114"/>
        <v>0</v>
      </c>
      <c r="V338" s="36" t="e">
        <f t="shared" si="115"/>
        <v>#DIV/0!</v>
      </c>
      <c r="W338" s="36" t="e">
        <f t="shared" si="116"/>
        <v>#DIV/0!</v>
      </c>
      <c r="X338" s="63" t="e">
        <f t="shared" si="117"/>
        <v>#DIV/0!</v>
      </c>
      <c r="Y338"/>
    </row>
    <row r="339" spans="1:25">
      <c r="A339"/>
      <c r="B339"/>
      <c r="C339"/>
      <c r="D339"/>
      <c r="E339"/>
      <c r="F339"/>
      <c r="G339"/>
      <c r="H339"/>
      <c r="I339"/>
      <c r="J339"/>
      <c r="K339" s="246" t="str">
        <f t="shared" si="106"/>
        <v/>
      </c>
      <c r="L339" s="246" t="str">
        <f t="shared" si="118"/>
        <v/>
      </c>
      <c r="M339" s="246" t="str">
        <f t="shared" si="107"/>
        <v/>
      </c>
      <c r="N339" s="246" t="str">
        <f t="shared" si="108"/>
        <v/>
      </c>
      <c r="O339" s="246" t="str">
        <f t="shared" si="109"/>
        <v/>
      </c>
      <c r="P339" s="246" t="str">
        <f t="shared" si="110"/>
        <v/>
      </c>
      <c r="Q339" s="246" t="str">
        <f t="shared" si="111"/>
        <v/>
      </c>
      <c r="R339" s="246" t="str">
        <f t="shared" si="112"/>
        <v/>
      </c>
      <c r="S339" s="108">
        <f t="shared" si="119"/>
        <v>0</v>
      </c>
      <c r="T339" s="247">
        <f t="shared" si="113"/>
        <v>0</v>
      </c>
      <c r="U339" s="247">
        <f t="shared" si="114"/>
        <v>0</v>
      </c>
      <c r="V339" s="36" t="e">
        <f t="shared" si="115"/>
        <v>#DIV/0!</v>
      </c>
      <c r="W339" s="36" t="e">
        <f t="shared" si="116"/>
        <v>#DIV/0!</v>
      </c>
      <c r="X339" s="63" t="e">
        <f t="shared" si="117"/>
        <v>#DIV/0!</v>
      </c>
      <c r="Y339"/>
    </row>
    <row r="340" spans="1:25">
      <c r="A340"/>
      <c r="B340"/>
      <c r="C340"/>
      <c r="D340"/>
      <c r="E340"/>
      <c r="F340"/>
      <c r="G340"/>
      <c r="H340"/>
      <c r="I340"/>
      <c r="J340"/>
      <c r="K340" s="246" t="str">
        <f t="shared" si="106"/>
        <v/>
      </c>
      <c r="L340" s="246" t="str">
        <f t="shared" si="118"/>
        <v/>
      </c>
      <c r="M340" s="246" t="str">
        <f t="shared" si="107"/>
        <v/>
      </c>
      <c r="N340" s="246" t="str">
        <f t="shared" si="108"/>
        <v/>
      </c>
      <c r="O340" s="246" t="str">
        <f t="shared" si="109"/>
        <v/>
      </c>
      <c r="P340" s="246" t="str">
        <f t="shared" si="110"/>
        <v/>
      </c>
      <c r="Q340" s="246" t="str">
        <f t="shared" si="111"/>
        <v/>
      </c>
      <c r="R340" s="246" t="str">
        <f t="shared" si="112"/>
        <v/>
      </c>
      <c r="S340" s="108">
        <f t="shared" si="119"/>
        <v>0</v>
      </c>
      <c r="T340" s="247">
        <f t="shared" si="113"/>
        <v>0</v>
      </c>
      <c r="U340" s="247">
        <f t="shared" si="114"/>
        <v>0</v>
      </c>
      <c r="V340" s="36" t="e">
        <f t="shared" si="115"/>
        <v>#DIV/0!</v>
      </c>
      <c r="W340" s="36" t="e">
        <f t="shared" si="116"/>
        <v>#DIV/0!</v>
      </c>
      <c r="X340" s="63" t="e">
        <f t="shared" si="117"/>
        <v>#DIV/0!</v>
      </c>
      <c r="Y340"/>
    </row>
    <row r="341" spans="1:25">
      <c r="A341"/>
      <c r="B341"/>
      <c r="C341"/>
      <c r="D341"/>
      <c r="E341"/>
      <c r="F341"/>
      <c r="G341"/>
      <c r="H341"/>
      <c r="I341"/>
      <c r="J341"/>
      <c r="K341" s="246" t="str">
        <f t="shared" si="106"/>
        <v/>
      </c>
      <c r="L341" s="246" t="str">
        <f t="shared" si="118"/>
        <v/>
      </c>
      <c r="M341" s="246" t="str">
        <f t="shared" si="107"/>
        <v/>
      </c>
      <c r="N341" s="246" t="str">
        <f t="shared" si="108"/>
        <v/>
      </c>
      <c r="O341" s="246" t="str">
        <f t="shared" si="109"/>
        <v/>
      </c>
      <c r="P341" s="246" t="str">
        <f t="shared" si="110"/>
        <v/>
      </c>
      <c r="Q341" s="246" t="str">
        <f t="shared" si="111"/>
        <v/>
      </c>
      <c r="R341" s="246" t="str">
        <f t="shared" si="112"/>
        <v/>
      </c>
      <c r="S341" s="108">
        <f t="shared" si="119"/>
        <v>0</v>
      </c>
      <c r="T341" s="247">
        <f t="shared" si="113"/>
        <v>0</v>
      </c>
      <c r="U341" s="247">
        <f t="shared" si="114"/>
        <v>0</v>
      </c>
      <c r="V341" s="36" t="e">
        <f t="shared" si="115"/>
        <v>#DIV/0!</v>
      </c>
      <c r="W341" s="36" t="e">
        <f t="shared" si="116"/>
        <v>#DIV/0!</v>
      </c>
      <c r="X341" s="63" t="e">
        <f t="shared" si="117"/>
        <v>#DIV/0!</v>
      </c>
      <c r="Y341"/>
    </row>
    <row r="342" spans="1:25">
      <c r="A342"/>
      <c r="B342"/>
      <c r="C342"/>
      <c r="D342"/>
      <c r="E342"/>
      <c r="F342"/>
      <c r="G342"/>
      <c r="H342"/>
      <c r="I342"/>
      <c r="J342"/>
      <c r="K342" s="246" t="str">
        <f t="shared" si="106"/>
        <v/>
      </c>
      <c r="L342" s="246" t="str">
        <f t="shared" si="118"/>
        <v/>
      </c>
      <c r="M342" s="246" t="str">
        <f t="shared" si="107"/>
        <v/>
      </c>
      <c r="N342" s="246" t="str">
        <f t="shared" si="108"/>
        <v/>
      </c>
      <c r="O342" s="246" t="str">
        <f t="shared" si="109"/>
        <v/>
      </c>
      <c r="P342" s="246" t="str">
        <f t="shared" si="110"/>
        <v/>
      </c>
      <c r="Q342" s="246" t="str">
        <f t="shared" si="111"/>
        <v/>
      </c>
      <c r="R342" s="246" t="str">
        <f t="shared" si="112"/>
        <v/>
      </c>
      <c r="S342" s="108">
        <f t="shared" si="119"/>
        <v>0</v>
      </c>
      <c r="T342" s="247">
        <f t="shared" si="113"/>
        <v>0</v>
      </c>
      <c r="U342" s="247">
        <f t="shared" si="114"/>
        <v>0</v>
      </c>
      <c r="V342" s="36" t="e">
        <f t="shared" si="115"/>
        <v>#DIV/0!</v>
      </c>
      <c r="W342" s="36" t="e">
        <f t="shared" si="116"/>
        <v>#DIV/0!</v>
      </c>
      <c r="X342" s="63" t="e">
        <f t="shared" si="117"/>
        <v>#DIV/0!</v>
      </c>
      <c r="Y342"/>
    </row>
    <row r="343" spans="1:25">
      <c r="A343"/>
      <c r="B343"/>
      <c r="C343"/>
      <c r="D343"/>
      <c r="E343"/>
      <c r="F343"/>
      <c r="G343"/>
      <c r="H343"/>
      <c r="I343"/>
      <c r="J343"/>
      <c r="K343" s="246" t="str">
        <f t="shared" si="106"/>
        <v/>
      </c>
      <c r="L343" s="246" t="str">
        <f t="shared" si="118"/>
        <v/>
      </c>
      <c r="M343" s="246" t="str">
        <f t="shared" si="107"/>
        <v/>
      </c>
      <c r="N343" s="246" t="str">
        <f t="shared" si="108"/>
        <v/>
      </c>
      <c r="O343" s="246" t="str">
        <f t="shared" si="109"/>
        <v/>
      </c>
      <c r="P343" s="246" t="str">
        <f t="shared" si="110"/>
        <v/>
      </c>
      <c r="Q343" s="246" t="str">
        <f t="shared" si="111"/>
        <v/>
      </c>
      <c r="R343" s="246" t="str">
        <f t="shared" si="112"/>
        <v/>
      </c>
      <c r="S343" s="108">
        <f t="shared" si="119"/>
        <v>0</v>
      </c>
      <c r="T343" s="247">
        <f t="shared" si="113"/>
        <v>0</v>
      </c>
      <c r="U343" s="247">
        <f t="shared" si="114"/>
        <v>0</v>
      </c>
      <c r="V343" s="36" t="e">
        <f t="shared" si="115"/>
        <v>#DIV/0!</v>
      </c>
      <c r="W343" s="36" t="e">
        <f t="shared" si="116"/>
        <v>#DIV/0!</v>
      </c>
      <c r="X343" s="63" t="e">
        <f t="shared" si="117"/>
        <v>#DIV/0!</v>
      </c>
      <c r="Y343"/>
    </row>
    <row r="344" spans="1:25">
      <c r="A344"/>
      <c r="B344"/>
      <c r="C344"/>
      <c r="D344"/>
      <c r="E344"/>
      <c r="F344"/>
      <c r="G344"/>
      <c r="H344"/>
      <c r="I344"/>
      <c r="J344"/>
      <c r="K344" s="246" t="str">
        <f t="shared" si="106"/>
        <v/>
      </c>
      <c r="L344" s="246" t="str">
        <f t="shared" si="118"/>
        <v/>
      </c>
      <c r="M344" s="246" t="str">
        <f t="shared" si="107"/>
        <v/>
      </c>
      <c r="N344" s="246" t="str">
        <f t="shared" si="108"/>
        <v/>
      </c>
      <c r="O344" s="246" t="str">
        <f t="shared" si="109"/>
        <v/>
      </c>
      <c r="P344" s="246" t="str">
        <f t="shared" si="110"/>
        <v/>
      </c>
      <c r="Q344" s="246" t="str">
        <f t="shared" si="111"/>
        <v/>
      </c>
      <c r="R344" s="246" t="str">
        <f t="shared" si="112"/>
        <v/>
      </c>
      <c r="S344" s="108">
        <f t="shared" si="119"/>
        <v>0</v>
      </c>
      <c r="T344" s="247">
        <f t="shared" si="113"/>
        <v>0</v>
      </c>
      <c r="U344" s="247">
        <f t="shared" si="114"/>
        <v>0</v>
      </c>
      <c r="V344" s="36" t="e">
        <f t="shared" si="115"/>
        <v>#DIV/0!</v>
      </c>
      <c r="W344" s="36" t="e">
        <f t="shared" si="116"/>
        <v>#DIV/0!</v>
      </c>
      <c r="X344" s="63" t="e">
        <f t="shared" si="117"/>
        <v>#DIV/0!</v>
      </c>
      <c r="Y344"/>
    </row>
    <row r="345" spans="1:25">
      <c r="A345"/>
      <c r="B345"/>
      <c r="C345"/>
      <c r="D345"/>
      <c r="E345"/>
      <c r="F345"/>
      <c r="G345"/>
      <c r="H345"/>
      <c r="I345"/>
      <c r="J345"/>
      <c r="K345" s="246" t="str">
        <f t="shared" si="106"/>
        <v/>
      </c>
      <c r="L345" s="246" t="str">
        <f t="shared" si="118"/>
        <v/>
      </c>
      <c r="M345" s="246" t="str">
        <f t="shared" si="107"/>
        <v/>
      </c>
      <c r="N345" s="246" t="str">
        <f t="shared" si="108"/>
        <v/>
      </c>
      <c r="O345" s="246" t="str">
        <f t="shared" si="109"/>
        <v/>
      </c>
      <c r="P345" s="246" t="str">
        <f t="shared" si="110"/>
        <v/>
      </c>
      <c r="Q345" s="246" t="str">
        <f t="shared" si="111"/>
        <v/>
      </c>
      <c r="R345" s="246" t="str">
        <f t="shared" si="112"/>
        <v/>
      </c>
      <c r="S345" s="108">
        <f t="shared" si="119"/>
        <v>0</v>
      </c>
      <c r="T345" s="247">
        <f t="shared" si="113"/>
        <v>0</v>
      </c>
      <c r="U345" s="247">
        <f t="shared" si="114"/>
        <v>0</v>
      </c>
      <c r="V345" s="36" t="e">
        <f t="shared" si="115"/>
        <v>#DIV/0!</v>
      </c>
      <c r="W345" s="36" t="e">
        <f t="shared" si="116"/>
        <v>#DIV/0!</v>
      </c>
      <c r="X345" s="63" t="e">
        <f t="shared" si="117"/>
        <v>#DIV/0!</v>
      </c>
      <c r="Y345"/>
    </row>
    <row r="346" spans="1:25">
      <c r="A346"/>
      <c r="B346"/>
      <c r="C346"/>
      <c r="D346"/>
      <c r="E346"/>
      <c r="F346"/>
      <c r="G346"/>
      <c r="H346"/>
      <c r="I346"/>
      <c r="J346"/>
      <c r="K346" s="246" t="str">
        <f t="shared" si="106"/>
        <v/>
      </c>
      <c r="L346" s="246" t="str">
        <f t="shared" si="118"/>
        <v/>
      </c>
      <c r="M346" s="246" t="str">
        <f t="shared" si="107"/>
        <v/>
      </c>
      <c r="N346" s="246" t="str">
        <f t="shared" si="108"/>
        <v/>
      </c>
      <c r="O346" s="246" t="str">
        <f t="shared" si="109"/>
        <v/>
      </c>
      <c r="P346" s="246" t="str">
        <f t="shared" si="110"/>
        <v/>
      </c>
      <c r="Q346" s="246" t="str">
        <f t="shared" si="111"/>
        <v/>
      </c>
      <c r="R346" s="246" t="str">
        <f t="shared" si="112"/>
        <v/>
      </c>
      <c r="S346" s="108">
        <f t="shared" si="119"/>
        <v>0</v>
      </c>
      <c r="T346" s="247">
        <f t="shared" si="113"/>
        <v>0</v>
      </c>
      <c r="U346" s="247">
        <f t="shared" si="114"/>
        <v>0</v>
      </c>
      <c r="V346" s="36" t="e">
        <f t="shared" si="115"/>
        <v>#DIV/0!</v>
      </c>
      <c r="W346" s="36" t="e">
        <f t="shared" si="116"/>
        <v>#DIV/0!</v>
      </c>
      <c r="X346" s="63" t="e">
        <f t="shared" si="117"/>
        <v>#DIV/0!</v>
      </c>
      <c r="Y346"/>
    </row>
    <row r="347" spans="1:25">
      <c r="A347"/>
      <c r="B347"/>
      <c r="C347"/>
      <c r="D347"/>
      <c r="E347"/>
      <c r="F347"/>
      <c r="G347"/>
      <c r="H347"/>
      <c r="I347"/>
      <c r="J347"/>
      <c r="K347" s="246" t="str">
        <f t="shared" si="106"/>
        <v/>
      </c>
      <c r="L347" s="246" t="str">
        <f t="shared" si="118"/>
        <v/>
      </c>
      <c r="M347" s="246" t="str">
        <f t="shared" si="107"/>
        <v/>
      </c>
      <c r="N347" s="246" t="str">
        <f t="shared" si="108"/>
        <v/>
      </c>
      <c r="O347" s="246" t="str">
        <f t="shared" si="109"/>
        <v/>
      </c>
      <c r="P347" s="246" t="str">
        <f t="shared" si="110"/>
        <v/>
      </c>
      <c r="Q347" s="246" t="str">
        <f t="shared" si="111"/>
        <v/>
      </c>
      <c r="R347" s="246" t="str">
        <f t="shared" si="112"/>
        <v/>
      </c>
      <c r="S347" s="108">
        <f t="shared" si="119"/>
        <v>0</v>
      </c>
      <c r="T347" s="247">
        <f t="shared" si="113"/>
        <v>0</v>
      </c>
      <c r="U347" s="247">
        <f t="shared" si="114"/>
        <v>0</v>
      </c>
      <c r="V347" s="36" t="e">
        <f t="shared" si="115"/>
        <v>#DIV/0!</v>
      </c>
      <c r="W347" s="36" t="e">
        <f t="shared" si="116"/>
        <v>#DIV/0!</v>
      </c>
      <c r="X347" s="63" t="e">
        <f t="shared" si="117"/>
        <v>#DIV/0!</v>
      </c>
      <c r="Y347"/>
    </row>
    <row r="348" spans="1:25">
      <c r="A348"/>
      <c r="B348"/>
      <c r="C348"/>
      <c r="D348"/>
      <c r="E348"/>
      <c r="F348"/>
      <c r="G348"/>
      <c r="H348"/>
      <c r="I348"/>
      <c r="J348"/>
      <c r="K348" s="246" t="str">
        <f t="shared" si="106"/>
        <v/>
      </c>
      <c r="L348" s="246" t="str">
        <f t="shared" si="118"/>
        <v/>
      </c>
      <c r="M348" s="246" t="str">
        <f t="shared" si="107"/>
        <v/>
      </c>
      <c r="N348" s="246" t="str">
        <f t="shared" si="108"/>
        <v/>
      </c>
      <c r="O348" s="246" t="str">
        <f t="shared" si="109"/>
        <v/>
      </c>
      <c r="P348" s="246" t="str">
        <f t="shared" si="110"/>
        <v/>
      </c>
      <c r="Q348" s="246" t="str">
        <f t="shared" si="111"/>
        <v/>
      </c>
      <c r="R348" s="246" t="str">
        <f t="shared" si="112"/>
        <v/>
      </c>
      <c r="S348" s="108">
        <f t="shared" si="119"/>
        <v>0</v>
      </c>
      <c r="T348" s="247">
        <f t="shared" si="113"/>
        <v>0</v>
      </c>
      <c r="U348" s="247">
        <f t="shared" si="114"/>
        <v>0</v>
      </c>
      <c r="V348" s="36" t="e">
        <f t="shared" si="115"/>
        <v>#DIV/0!</v>
      </c>
      <c r="W348" s="36" t="e">
        <f t="shared" si="116"/>
        <v>#DIV/0!</v>
      </c>
      <c r="X348" s="63" t="e">
        <f t="shared" si="117"/>
        <v>#DIV/0!</v>
      </c>
      <c r="Y348"/>
    </row>
    <row r="349" spans="1:25">
      <c r="A349"/>
      <c r="B349"/>
      <c r="C349"/>
      <c r="D349"/>
      <c r="E349"/>
      <c r="F349"/>
      <c r="G349"/>
      <c r="H349"/>
      <c r="I349"/>
      <c r="J349"/>
      <c r="K349" s="246" t="str">
        <f t="shared" si="106"/>
        <v/>
      </c>
      <c r="L349" s="246" t="str">
        <f t="shared" si="118"/>
        <v/>
      </c>
      <c r="M349" s="246" t="str">
        <f t="shared" si="107"/>
        <v/>
      </c>
      <c r="N349" s="246" t="str">
        <f t="shared" si="108"/>
        <v/>
      </c>
      <c r="O349" s="246" t="str">
        <f t="shared" si="109"/>
        <v/>
      </c>
      <c r="P349" s="246" t="str">
        <f t="shared" si="110"/>
        <v/>
      </c>
      <c r="Q349" s="246" t="str">
        <f t="shared" si="111"/>
        <v/>
      </c>
      <c r="R349" s="246" t="str">
        <f t="shared" si="112"/>
        <v/>
      </c>
      <c r="S349" s="108">
        <f t="shared" si="119"/>
        <v>0</v>
      </c>
      <c r="T349" s="247">
        <f t="shared" si="113"/>
        <v>0</v>
      </c>
      <c r="U349" s="247">
        <f t="shared" si="114"/>
        <v>0</v>
      </c>
      <c r="V349" s="36" t="e">
        <f t="shared" si="115"/>
        <v>#DIV/0!</v>
      </c>
      <c r="W349" s="36" t="e">
        <f t="shared" si="116"/>
        <v>#DIV/0!</v>
      </c>
      <c r="X349" s="63" t="e">
        <f t="shared" si="117"/>
        <v>#DIV/0!</v>
      </c>
      <c r="Y349"/>
    </row>
    <row r="350" spans="1:25">
      <c r="A350"/>
      <c r="B350"/>
      <c r="C350"/>
      <c r="D350"/>
      <c r="E350"/>
      <c r="F350"/>
      <c r="G350"/>
      <c r="H350"/>
      <c r="I350"/>
      <c r="J350"/>
      <c r="K350" s="246" t="str">
        <f t="shared" si="106"/>
        <v/>
      </c>
      <c r="L350" s="246" t="str">
        <f t="shared" si="118"/>
        <v/>
      </c>
      <c r="M350" s="246" t="str">
        <f t="shared" si="107"/>
        <v/>
      </c>
      <c r="N350" s="246" t="str">
        <f t="shared" si="108"/>
        <v/>
      </c>
      <c r="O350" s="246" t="str">
        <f t="shared" si="109"/>
        <v/>
      </c>
      <c r="P350" s="246" t="str">
        <f t="shared" si="110"/>
        <v/>
      </c>
      <c r="Q350" s="246" t="str">
        <f t="shared" si="111"/>
        <v/>
      </c>
      <c r="R350" s="246" t="str">
        <f t="shared" si="112"/>
        <v/>
      </c>
      <c r="S350" s="108">
        <f t="shared" si="119"/>
        <v>0</v>
      </c>
      <c r="T350" s="247">
        <f t="shared" si="113"/>
        <v>0</v>
      </c>
      <c r="U350" s="247">
        <f t="shared" si="114"/>
        <v>0</v>
      </c>
      <c r="V350" s="36" t="e">
        <f t="shared" si="115"/>
        <v>#DIV/0!</v>
      </c>
      <c r="W350" s="36" t="e">
        <f t="shared" si="116"/>
        <v>#DIV/0!</v>
      </c>
      <c r="X350" s="63" t="e">
        <f t="shared" si="117"/>
        <v>#DIV/0!</v>
      </c>
      <c r="Y350"/>
    </row>
    <row r="351" spans="1:25">
      <c r="A351" s="26"/>
      <c r="B351" s="27"/>
      <c r="C351" s="27"/>
      <c r="D351" s="27"/>
      <c r="E351" s="27"/>
      <c r="F351" s="27"/>
      <c r="G351" s="27"/>
      <c r="H351" s="27"/>
      <c r="I351" s="27"/>
      <c r="J351" s="27"/>
      <c r="K351" s="246" t="str">
        <f t="shared" si="106"/>
        <v/>
      </c>
      <c r="L351" s="246" t="str">
        <f t="shared" si="118"/>
        <v/>
      </c>
      <c r="M351" s="246" t="str">
        <f t="shared" si="107"/>
        <v/>
      </c>
      <c r="N351" s="246" t="str">
        <f t="shared" si="108"/>
        <v/>
      </c>
      <c r="O351" s="246" t="str">
        <f t="shared" si="109"/>
        <v/>
      </c>
      <c r="P351" s="246" t="str">
        <f t="shared" si="110"/>
        <v/>
      </c>
      <c r="Q351" s="246" t="str">
        <f t="shared" si="111"/>
        <v/>
      </c>
      <c r="R351" s="246" t="str">
        <f t="shared" si="112"/>
        <v/>
      </c>
      <c r="S351" s="108">
        <f t="shared" si="119"/>
        <v>0</v>
      </c>
      <c r="T351" s="247">
        <f t="shared" si="113"/>
        <v>0</v>
      </c>
      <c r="U351" s="247">
        <f t="shared" si="114"/>
        <v>0</v>
      </c>
      <c r="V351" s="36" t="e">
        <f t="shared" si="115"/>
        <v>#DIV/0!</v>
      </c>
      <c r="W351" s="36" t="e">
        <f t="shared" si="116"/>
        <v>#DIV/0!</v>
      </c>
      <c r="X351" s="63" t="e">
        <f t="shared" si="117"/>
        <v>#DIV/0!</v>
      </c>
    </row>
    <row r="352" spans="1:25">
      <c r="A352" s="26"/>
      <c r="B352" s="27"/>
      <c r="C352" s="27"/>
      <c r="D352" s="27"/>
      <c r="E352" s="27"/>
      <c r="F352" s="27"/>
      <c r="G352" s="27"/>
      <c r="H352" s="27"/>
      <c r="I352" s="27"/>
      <c r="J352" s="27"/>
      <c r="K352" s="246" t="str">
        <f t="shared" si="106"/>
        <v/>
      </c>
      <c r="L352" s="246" t="str">
        <f t="shared" si="118"/>
        <v/>
      </c>
      <c r="M352" s="246" t="str">
        <f t="shared" si="107"/>
        <v/>
      </c>
      <c r="N352" s="246" t="str">
        <f t="shared" si="108"/>
        <v/>
      </c>
      <c r="O352" s="246" t="str">
        <f t="shared" si="109"/>
        <v/>
      </c>
      <c r="P352" s="246" t="str">
        <f t="shared" si="110"/>
        <v/>
      </c>
      <c r="Q352" s="246" t="str">
        <f t="shared" si="111"/>
        <v/>
      </c>
      <c r="R352" s="246" t="str">
        <f t="shared" si="112"/>
        <v/>
      </c>
      <c r="S352" s="108">
        <f t="shared" si="119"/>
        <v>0</v>
      </c>
      <c r="T352" s="247">
        <f t="shared" si="113"/>
        <v>0</v>
      </c>
      <c r="U352" s="247">
        <f t="shared" si="114"/>
        <v>0</v>
      </c>
      <c r="V352" s="36" t="e">
        <f t="shared" si="115"/>
        <v>#DIV/0!</v>
      </c>
      <c r="W352" s="36" t="e">
        <f t="shared" si="116"/>
        <v>#DIV/0!</v>
      </c>
      <c r="X352" s="63" t="e">
        <f t="shared" si="117"/>
        <v>#DIV/0!</v>
      </c>
    </row>
    <row r="353" spans="1:24">
      <c r="A353" s="26"/>
      <c r="B353" s="27"/>
      <c r="C353" s="27"/>
      <c r="D353" s="27"/>
      <c r="E353" s="27"/>
      <c r="F353" s="27"/>
      <c r="G353" s="27"/>
      <c r="H353" s="27"/>
      <c r="I353" s="27"/>
      <c r="J353" s="27"/>
      <c r="K353" s="246" t="str">
        <f t="shared" si="106"/>
        <v/>
      </c>
      <c r="L353" s="246" t="str">
        <f t="shared" si="118"/>
        <v/>
      </c>
      <c r="M353" s="246" t="str">
        <f t="shared" si="107"/>
        <v/>
      </c>
      <c r="N353" s="246" t="str">
        <f t="shared" si="108"/>
        <v/>
      </c>
      <c r="O353" s="246" t="str">
        <f t="shared" si="109"/>
        <v/>
      </c>
      <c r="P353" s="246" t="str">
        <f t="shared" si="110"/>
        <v/>
      </c>
      <c r="Q353" s="246" t="str">
        <f t="shared" si="111"/>
        <v/>
      </c>
      <c r="R353" s="246" t="str">
        <f t="shared" si="112"/>
        <v/>
      </c>
      <c r="S353" s="108">
        <f t="shared" si="119"/>
        <v>0</v>
      </c>
      <c r="T353" s="28">
        <f t="shared" ref="T353:T394" si="120">IFERROR(SUM(L353,N353,P353,R353,S353),"")</f>
        <v>0</v>
      </c>
      <c r="U353" s="247">
        <f t="shared" si="114"/>
        <v>0</v>
      </c>
      <c r="V353" s="36" t="e">
        <f t="shared" si="115"/>
        <v>#DIV/0!</v>
      </c>
      <c r="W353" s="36" t="e">
        <f t="shared" si="116"/>
        <v>#DIV/0!</v>
      </c>
      <c r="X353" s="63" t="e">
        <f t="shared" si="117"/>
        <v>#DIV/0!</v>
      </c>
    </row>
    <row r="354" spans="1:24">
      <c r="A354" s="26"/>
      <c r="B354" s="27"/>
      <c r="C354" s="27"/>
      <c r="D354" s="27"/>
      <c r="E354" s="27"/>
      <c r="F354" s="27"/>
      <c r="G354" s="27"/>
      <c r="H354" s="27"/>
      <c r="I354" s="27"/>
      <c r="J354" s="27"/>
      <c r="K354" s="246" t="str">
        <f t="shared" si="106"/>
        <v/>
      </c>
      <c r="L354" s="246" t="str">
        <f t="shared" si="118"/>
        <v/>
      </c>
      <c r="M354" s="246" t="str">
        <f t="shared" si="107"/>
        <v/>
      </c>
      <c r="N354" s="246" t="str">
        <f t="shared" si="108"/>
        <v/>
      </c>
      <c r="O354" s="246" t="str">
        <f t="shared" si="109"/>
        <v/>
      </c>
      <c r="P354" s="246" t="str">
        <f t="shared" si="110"/>
        <v/>
      </c>
      <c r="Q354" s="246" t="str">
        <f t="shared" si="111"/>
        <v/>
      </c>
      <c r="R354" s="246" t="str">
        <f t="shared" si="112"/>
        <v/>
      </c>
      <c r="S354" s="108">
        <f t="shared" si="119"/>
        <v>0</v>
      </c>
      <c r="T354" s="28">
        <f t="shared" si="120"/>
        <v>0</v>
      </c>
      <c r="U354" s="247">
        <f t="shared" si="114"/>
        <v>0</v>
      </c>
      <c r="V354" s="36" t="e">
        <f t="shared" si="115"/>
        <v>#DIV/0!</v>
      </c>
      <c r="W354" s="36" t="e">
        <f t="shared" si="116"/>
        <v>#DIV/0!</v>
      </c>
      <c r="X354" s="63" t="e">
        <f t="shared" si="117"/>
        <v>#DIV/0!</v>
      </c>
    </row>
    <row r="355" spans="1:24">
      <c r="A355" s="26"/>
      <c r="B355" s="27"/>
      <c r="C355" s="27"/>
      <c r="D355" s="27"/>
      <c r="E355" s="27"/>
      <c r="F355" s="27"/>
      <c r="G355" s="27"/>
      <c r="H355" s="27"/>
      <c r="I355" s="27"/>
      <c r="J355" s="27"/>
      <c r="K355" s="246" t="str">
        <f t="shared" si="106"/>
        <v/>
      </c>
      <c r="L355" s="246" t="str">
        <f t="shared" si="118"/>
        <v/>
      </c>
      <c r="M355" s="246" t="str">
        <f t="shared" si="107"/>
        <v/>
      </c>
      <c r="N355" s="246" t="str">
        <f t="shared" si="108"/>
        <v/>
      </c>
      <c r="O355" s="246" t="str">
        <f t="shared" si="109"/>
        <v/>
      </c>
      <c r="P355" s="246" t="str">
        <f t="shared" si="110"/>
        <v/>
      </c>
      <c r="Q355" s="246" t="str">
        <f t="shared" si="111"/>
        <v/>
      </c>
      <c r="R355" s="246" t="str">
        <f t="shared" si="112"/>
        <v/>
      </c>
      <c r="S355" s="108">
        <f t="shared" si="119"/>
        <v>0</v>
      </c>
      <c r="T355" s="28">
        <f t="shared" si="120"/>
        <v>0</v>
      </c>
      <c r="U355" s="247">
        <f t="shared" si="114"/>
        <v>0</v>
      </c>
      <c r="V355" s="36" t="e">
        <f t="shared" si="115"/>
        <v>#DIV/0!</v>
      </c>
      <c r="W355" s="36" t="e">
        <f t="shared" si="116"/>
        <v>#DIV/0!</v>
      </c>
      <c r="X355" s="63" t="e">
        <f t="shared" si="117"/>
        <v>#DIV/0!</v>
      </c>
    </row>
    <row r="356" spans="1:24">
      <c r="A356" s="26"/>
      <c r="B356" s="27"/>
      <c r="C356" s="27"/>
      <c r="D356" s="27"/>
      <c r="E356" s="27"/>
      <c r="F356" s="27"/>
      <c r="G356" s="27"/>
      <c r="H356" s="27"/>
      <c r="I356" s="27"/>
      <c r="J356" s="27"/>
      <c r="K356" s="246" t="str">
        <f t="shared" si="106"/>
        <v/>
      </c>
      <c r="L356" s="246" t="str">
        <f t="shared" si="118"/>
        <v/>
      </c>
      <c r="M356" s="246" t="str">
        <f t="shared" si="107"/>
        <v/>
      </c>
      <c r="N356" s="246" t="str">
        <f t="shared" si="108"/>
        <v/>
      </c>
      <c r="O356" s="246" t="str">
        <f t="shared" si="109"/>
        <v/>
      </c>
      <c r="P356" s="246" t="str">
        <f t="shared" si="110"/>
        <v/>
      </c>
      <c r="Q356" s="246" t="str">
        <f t="shared" si="111"/>
        <v/>
      </c>
      <c r="R356" s="246" t="str">
        <f t="shared" si="112"/>
        <v/>
      </c>
      <c r="S356" s="108">
        <f t="shared" si="119"/>
        <v>0</v>
      </c>
      <c r="T356" s="28">
        <f t="shared" si="120"/>
        <v>0</v>
      </c>
      <c r="U356" s="247">
        <f t="shared" si="114"/>
        <v>0</v>
      </c>
      <c r="V356" s="36" t="e">
        <f t="shared" si="115"/>
        <v>#DIV/0!</v>
      </c>
      <c r="W356" s="36" t="e">
        <f t="shared" si="116"/>
        <v>#DIV/0!</v>
      </c>
      <c r="X356" s="63" t="e">
        <f t="shared" si="117"/>
        <v>#DIV/0!</v>
      </c>
    </row>
    <row r="357" spans="1:24">
      <c r="A357" s="26"/>
      <c r="B357" s="27"/>
      <c r="C357" s="27"/>
      <c r="D357" s="27"/>
      <c r="E357" s="27"/>
      <c r="F357" s="27"/>
      <c r="G357" s="27"/>
      <c r="H357" s="27"/>
      <c r="I357" s="27"/>
      <c r="J357" s="27"/>
      <c r="K357" s="246" t="str">
        <f t="shared" si="106"/>
        <v/>
      </c>
      <c r="L357" s="246" t="str">
        <f t="shared" si="118"/>
        <v/>
      </c>
      <c r="M357" s="246" t="str">
        <f t="shared" si="107"/>
        <v/>
      </c>
      <c r="N357" s="246" t="str">
        <f t="shared" si="108"/>
        <v/>
      </c>
      <c r="O357" s="246" t="str">
        <f t="shared" si="109"/>
        <v/>
      </c>
      <c r="P357" s="246" t="str">
        <f t="shared" si="110"/>
        <v/>
      </c>
      <c r="Q357" s="246" t="str">
        <f t="shared" si="111"/>
        <v/>
      </c>
      <c r="R357" s="246" t="str">
        <f t="shared" si="112"/>
        <v/>
      </c>
      <c r="S357" s="108">
        <f t="shared" si="119"/>
        <v>0</v>
      </c>
      <c r="T357" s="28">
        <f t="shared" si="120"/>
        <v>0</v>
      </c>
      <c r="U357" s="247">
        <f t="shared" si="114"/>
        <v>0</v>
      </c>
      <c r="V357" s="36" t="e">
        <f t="shared" si="115"/>
        <v>#DIV/0!</v>
      </c>
      <c r="W357" s="36" t="e">
        <f t="shared" si="116"/>
        <v>#DIV/0!</v>
      </c>
      <c r="X357" s="63" t="e">
        <f t="shared" si="117"/>
        <v>#DIV/0!</v>
      </c>
    </row>
    <row r="358" spans="1:24">
      <c r="A358" s="26"/>
      <c r="B358" s="27"/>
      <c r="C358" s="27"/>
      <c r="D358" s="27"/>
      <c r="E358" s="27"/>
      <c r="F358" s="27"/>
      <c r="G358" s="27"/>
      <c r="H358" s="27"/>
      <c r="I358" s="27"/>
      <c r="J358" s="27"/>
      <c r="K358" s="246" t="str">
        <f t="shared" si="106"/>
        <v/>
      </c>
      <c r="L358" s="246" t="str">
        <f t="shared" si="118"/>
        <v/>
      </c>
      <c r="M358" s="246" t="str">
        <f t="shared" si="107"/>
        <v/>
      </c>
      <c r="N358" s="246" t="str">
        <f t="shared" si="108"/>
        <v/>
      </c>
      <c r="O358" s="246" t="str">
        <f t="shared" si="109"/>
        <v/>
      </c>
      <c r="P358" s="246" t="str">
        <f t="shared" si="110"/>
        <v/>
      </c>
      <c r="Q358" s="246" t="str">
        <f t="shared" si="111"/>
        <v/>
      </c>
      <c r="R358" s="246" t="str">
        <f t="shared" si="112"/>
        <v/>
      </c>
      <c r="S358" s="108">
        <f t="shared" si="119"/>
        <v>0</v>
      </c>
      <c r="T358" s="28">
        <f t="shared" si="120"/>
        <v>0</v>
      </c>
      <c r="U358" s="247">
        <f t="shared" si="114"/>
        <v>0</v>
      </c>
      <c r="V358" s="36" t="e">
        <f t="shared" si="115"/>
        <v>#DIV/0!</v>
      </c>
      <c r="W358" s="36" t="e">
        <f t="shared" si="116"/>
        <v>#DIV/0!</v>
      </c>
      <c r="X358" s="63" t="e">
        <f t="shared" si="117"/>
        <v>#DIV/0!</v>
      </c>
    </row>
    <row r="359" spans="1:24">
      <c r="A359" s="26"/>
      <c r="B359" s="27"/>
      <c r="C359" s="27"/>
      <c r="D359" s="27"/>
      <c r="E359" s="27"/>
      <c r="F359" s="27"/>
      <c r="G359" s="27"/>
      <c r="H359" s="27"/>
      <c r="I359" s="27"/>
      <c r="J359" s="27"/>
      <c r="K359" s="246" t="str">
        <f t="shared" si="106"/>
        <v/>
      </c>
      <c r="L359" s="246" t="str">
        <f t="shared" si="118"/>
        <v/>
      </c>
      <c r="M359" s="246" t="str">
        <f t="shared" si="107"/>
        <v/>
      </c>
      <c r="N359" s="246" t="str">
        <f t="shared" si="108"/>
        <v/>
      </c>
      <c r="O359" s="246" t="str">
        <f t="shared" si="109"/>
        <v/>
      </c>
      <c r="P359" s="246" t="str">
        <f t="shared" si="110"/>
        <v/>
      </c>
      <c r="Q359" s="246" t="str">
        <f t="shared" si="111"/>
        <v/>
      </c>
      <c r="R359" s="246" t="str">
        <f t="shared" si="112"/>
        <v/>
      </c>
      <c r="S359" s="108">
        <f t="shared" si="119"/>
        <v>0</v>
      </c>
      <c r="T359" s="28">
        <f t="shared" si="120"/>
        <v>0</v>
      </c>
      <c r="U359" s="247">
        <f t="shared" si="114"/>
        <v>0</v>
      </c>
      <c r="V359" s="36" t="e">
        <f t="shared" si="115"/>
        <v>#DIV/0!</v>
      </c>
      <c r="W359" s="36" t="e">
        <f t="shared" si="116"/>
        <v>#DIV/0!</v>
      </c>
      <c r="X359" s="63" t="e">
        <f t="shared" si="117"/>
        <v>#DIV/0!</v>
      </c>
    </row>
    <row r="360" spans="1:24">
      <c r="A360" s="26"/>
      <c r="B360" s="27"/>
      <c r="C360" s="27"/>
      <c r="D360" s="27"/>
      <c r="E360" s="27"/>
      <c r="F360" s="27"/>
      <c r="G360" s="27"/>
      <c r="H360" s="27"/>
      <c r="I360" s="27"/>
      <c r="J360" s="27"/>
      <c r="K360" s="246" t="str">
        <f t="shared" si="106"/>
        <v/>
      </c>
      <c r="L360" s="246" t="str">
        <f t="shared" si="118"/>
        <v/>
      </c>
      <c r="M360" s="246" t="str">
        <f t="shared" si="107"/>
        <v/>
      </c>
      <c r="N360" s="246" t="str">
        <f t="shared" si="108"/>
        <v/>
      </c>
      <c r="O360" s="246" t="str">
        <f t="shared" si="109"/>
        <v/>
      </c>
      <c r="P360" s="246" t="str">
        <f t="shared" si="110"/>
        <v/>
      </c>
      <c r="Q360" s="246" t="str">
        <f t="shared" si="111"/>
        <v/>
      </c>
      <c r="R360" s="246" t="str">
        <f t="shared" si="112"/>
        <v/>
      </c>
      <c r="S360" s="108">
        <f t="shared" si="119"/>
        <v>0</v>
      </c>
      <c r="T360" s="28">
        <f t="shared" si="120"/>
        <v>0</v>
      </c>
      <c r="U360" s="247">
        <f t="shared" si="114"/>
        <v>0</v>
      </c>
      <c r="V360" s="36" t="e">
        <f t="shared" si="115"/>
        <v>#DIV/0!</v>
      </c>
      <c r="W360" s="36" t="e">
        <f t="shared" si="116"/>
        <v>#DIV/0!</v>
      </c>
      <c r="X360" s="63" t="e">
        <f t="shared" si="117"/>
        <v>#DIV/0!</v>
      </c>
    </row>
    <row r="361" spans="1:24">
      <c r="A361" s="26"/>
      <c r="B361" s="27"/>
      <c r="C361" s="27"/>
      <c r="D361" s="27"/>
      <c r="E361" s="27"/>
      <c r="F361" s="27"/>
      <c r="G361" s="27"/>
      <c r="H361" s="27"/>
      <c r="I361" s="27"/>
      <c r="J361" s="27"/>
      <c r="K361" s="246" t="str">
        <f t="shared" si="106"/>
        <v/>
      </c>
      <c r="L361" s="246" t="str">
        <f t="shared" si="118"/>
        <v/>
      </c>
      <c r="M361" s="246" t="str">
        <f t="shared" si="107"/>
        <v/>
      </c>
      <c r="N361" s="246" t="str">
        <f t="shared" si="108"/>
        <v/>
      </c>
      <c r="O361" s="246" t="str">
        <f t="shared" si="109"/>
        <v/>
      </c>
      <c r="P361" s="246" t="str">
        <f t="shared" si="110"/>
        <v/>
      </c>
      <c r="Q361" s="246" t="str">
        <f t="shared" si="111"/>
        <v/>
      </c>
      <c r="R361" s="246" t="str">
        <f t="shared" si="112"/>
        <v/>
      </c>
      <c r="S361" s="108">
        <f t="shared" si="119"/>
        <v>0</v>
      </c>
      <c r="T361" s="28">
        <f t="shared" si="120"/>
        <v>0</v>
      </c>
      <c r="U361" s="247">
        <f t="shared" si="114"/>
        <v>0</v>
      </c>
      <c r="V361" s="36" t="e">
        <f t="shared" si="115"/>
        <v>#DIV/0!</v>
      </c>
      <c r="W361" s="36" t="e">
        <f t="shared" si="116"/>
        <v>#DIV/0!</v>
      </c>
      <c r="X361" s="63" t="e">
        <f t="shared" si="117"/>
        <v>#DIV/0!</v>
      </c>
    </row>
    <row r="362" spans="1:24">
      <c r="A362" s="26"/>
      <c r="B362" s="27"/>
      <c r="C362" s="27"/>
      <c r="D362" s="27"/>
      <c r="E362" s="27"/>
      <c r="F362" s="27"/>
      <c r="G362" s="27"/>
      <c r="H362" s="27"/>
      <c r="I362" s="27"/>
      <c r="J362" s="27"/>
      <c r="K362" s="246" t="str">
        <f t="shared" si="106"/>
        <v/>
      </c>
      <c r="L362" s="246" t="str">
        <f t="shared" si="118"/>
        <v/>
      </c>
      <c r="M362" s="246" t="str">
        <f t="shared" si="107"/>
        <v/>
      </c>
      <c r="N362" s="246" t="str">
        <f t="shared" si="108"/>
        <v/>
      </c>
      <c r="O362" s="246" t="str">
        <f t="shared" si="109"/>
        <v/>
      </c>
      <c r="P362" s="246" t="str">
        <f t="shared" si="110"/>
        <v/>
      </c>
      <c r="Q362" s="246" t="str">
        <f t="shared" si="111"/>
        <v/>
      </c>
      <c r="R362" s="246" t="str">
        <f t="shared" si="112"/>
        <v/>
      </c>
      <c r="S362" s="108">
        <f t="shared" si="119"/>
        <v>0</v>
      </c>
      <c r="T362" s="28">
        <f t="shared" si="120"/>
        <v>0</v>
      </c>
      <c r="U362" s="247">
        <f t="shared" si="114"/>
        <v>0</v>
      </c>
      <c r="V362" s="36" t="e">
        <f t="shared" si="115"/>
        <v>#DIV/0!</v>
      </c>
      <c r="W362" s="36" t="e">
        <f t="shared" si="116"/>
        <v>#DIV/0!</v>
      </c>
      <c r="X362" s="63" t="e">
        <f t="shared" si="117"/>
        <v>#DIV/0!</v>
      </c>
    </row>
    <row r="363" spans="1:24">
      <c r="A363" s="26"/>
      <c r="B363" s="27"/>
      <c r="C363" s="27"/>
      <c r="D363" s="27"/>
      <c r="E363" s="27"/>
      <c r="F363" s="27"/>
      <c r="G363" s="27"/>
      <c r="H363" s="27"/>
      <c r="I363" s="27"/>
      <c r="J363" s="27"/>
      <c r="K363" s="246" t="str">
        <f t="shared" si="106"/>
        <v/>
      </c>
      <c r="L363" s="246" t="str">
        <f t="shared" si="118"/>
        <v/>
      </c>
      <c r="M363" s="246" t="str">
        <f t="shared" si="107"/>
        <v/>
      </c>
      <c r="N363" s="246" t="str">
        <f t="shared" si="108"/>
        <v/>
      </c>
      <c r="O363" s="246" t="str">
        <f t="shared" si="109"/>
        <v/>
      </c>
      <c r="P363" s="246" t="str">
        <f t="shared" si="110"/>
        <v/>
      </c>
      <c r="Q363" s="246" t="str">
        <f t="shared" si="111"/>
        <v/>
      </c>
      <c r="R363" s="246" t="str">
        <f t="shared" si="112"/>
        <v/>
      </c>
      <c r="S363" s="108">
        <f t="shared" si="119"/>
        <v>0</v>
      </c>
      <c r="T363" s="28">
        <f t="shared" si="120"/>
        <v>0</v>
      </c>
      <c r="U363" s="247">
        <f t="shared" si="114"/>
        <v>0</v>
      </c>
      <c r="V363" s="36" t="e">
        <f t="shared" si="115"/>
        <v>#DIV/0!</v>
      </c>
      <c r="W363" s="36" t="e">
        <f t="shared" si="116"/>
        <v>#DIV/0!</v>
      </c>
      <c r="X363" s="63" t="e">
        <f t="shared" si="117"/>
        <v>#DIV/0!</v>
      </c>
    </row>
    <row r="364" spans="1:24">
      <c r="A364" s="26"/>
      <c r="B364" s="27"/>
      <c r="C364" s="27"/>
      <c r="D364" s="27"/>
      <c r="E364" s="27"/>
      <c r="F364" s="27"/>
      <c r="G364" s="27"/>
      <c r="H364" s="27"/>
      <c r="I364" s="27"/>
      <c r="J364" s="27"/>
      <c r="K364" s="246" t="str">
        <f t="shared" si="106"/>
        <v/>
      </c>
      <c r="L364" s="246" t="str">
        <f t="shared" si="118"/>
        <v/>
      </c>
      <c r="M364" s="246" t="str">
        <f t="shared" si="107"/>
        <v/>
      </c>
      <c r="N364" s="246" t="str">
        <f t="shared" si="108"/>
        <v/>
      </c>
      <c r="O364" s="246" t="str">
        <f t="shared" si="109"/>
        <v/>
      </c>
      <c r="P364" s="246" t="str">
        <f t="shared" si="110"/>
        <v/>
      </c>
      <c r="Q364" s="246" t="str">
        <f t="shared" si="111"/>
        <v/>
      </c>
      <c r="R364" s="246" t="str">
        <f t="shared" si="112"/>
        <v/>
      </c>
      <c r="S364" s="108">
        <f t="shared" si="119"/>
        <v>0</v>
      </c>
      <c r="T364" s="28">
        <f t="shared" si="120"/>
        <v>0</v>
      </c>
      <c r="U364" s="247">
        <f t="shared" si="114"/>
        <v>0</v>
      </c>
      <c r="V364" s="36" t="e">
        <f t="shared" si="115"/>
        <v>#DIV/0!</v>
      </c>
      <c r="W364" s="36" t="e">
        <f t="shared" si="116"/>
        <v>#DIV/0!</v>
      </c>
      <c r="X364" s="63" t="e">
        <f t="shared" si="117"/>
        <v>#DIV/0!</v>
      </c>
    </row>
    <row r="365" spans="1:24">
      <c r="A365" s="26"/>
      <c r="B365" s="27"/>
      <c r="C365" s="27"/>
      <c r="D365" s="27"/>
      <c r="E365" s="27"/>
      <c r="F365" s="27"/>
      <c r="G365" s="27"/>
      <c r="H365" s="27"/>
      <c r="I365" s="27"/>
      <c r="J365" s="27"/>
      <c r="K365" s="246" t="str">
        <f t="shared" si="106"/>
        <v/>
      </c>
      <c r="L365" s="246" t="str">
        <f t="shared" si="118"/>
        <v/>
      </c>
      <c r="M365" s="246" t="str">
        <f t="shared" si="107"/>
        <v/>
      </c>
      <c r="N365" s="246" t="str">
        <f t="shared" si="108"/>
        <v/>
      </c>
      <c r="O365" s="246" t="str">
        <f t="shared" si="109"/>
        <v/>
      </c>
      <c r="P365" s="246" t="str">
        <f t="shared" si="110"/>
        <v/>
      </c>
      <c r="Q365" s="246" t="str">
        <f t="shared" si="111"/>
        <v/>
      </c>
      <c r="R365" s="246" t="str">
        <f t="shared" si="112"/>
        <v/>
      </c>
      <c r="S365" s="108">
        <f t="shared" si="119"/>
        <v>0</v>
      </c>
      <c r="T365" s="28">
        <f t="shared" si="120"/>
        <v>0</v>
      </c>
      <c r="U365" s="247">
        <f t="shared" si="114"/>
        <v>0</v>
      </c>
      <c r="V365" s="36" t="e">
        <f t="shared" si="115"/>
        <v>#DIV/0!</v>
      </c>
      <c r="W365" s="36" t="e">
        <f t="shared" si="116"/>
        <v>#DIV/0!</v>
      </c>
      <c r="X365" s="63" t="e">
        <f t="shared" si="117"/>
        <v>#DIV/0!</v>
      </c>
    </row>
    <row r="366" spans="1:24">
      <c r="A366" s="26"/>
      <c r="B366" s="27"/>
      <c r="C366" s="27"/>
      <c r="D366" s="27"/>
      <c r="E366" s="27"/>
      <c r="F366" s="27"/>
      <c r="G366" s="27"/>
      <c r="H366" s="27"/>
      <c r="I366" s="27"/>
      <c r="J366" s="27"/>
      <c r="K366" s="246" t="str">
        <f t="shared" si="106"/>
        <v/>
      </c>
      <c r="L366" s="246" t="str">
        <f t="shared" si="118"/>
        <v/>
      </c>
      <c r="M366" s="246" t="str">
        <f t="shared" si="107"/>
        <v/>
      </c>
      <c r="N366" s="246" t="str">
        <f t="shared" si="108"/>
        <v/>
      </c>
      <c r="O366" s="246" t="str">
        <f t="shared" si="109"/>
        <v/>
      </c>
      <c r="P366" s="246" t="str">
        <f t="shared" si="110"/>
        <v/>
      </c>
      <c r="Q366" s="246" t="str">
        <f t="shared" si="111"/>
        <v/>
      </c>
      <c r="R366" s="246" t="str">
        <f t="shared" si="112"/>
        <v/>
      </c>
      <c r="S366" s="108">
        <f t="shared" si="119"/>
        <v>0</v>
      </c>
      <c r="T366" s="28">
        <f t="shared" si="120"/>
        <v>0</v>
      </c>
      <c r="U366" s="247">
        <f t="shared" si="114"/>
        <v>0</v>
      </c>
      <c r="V366" s="36" t="e">
        <f t="shared" si="115"/>
        <v>#DIV/0!</v>
      </c>
      <c r="W366" s="36" t="e">
        <f t="shared" si="116"/>
        <v>#DIV/0!</v>
      </c>
      <c r="X366" s="63" t="e">
        <f t="shared" si="117"/>
        <v>#DIV/0!</v>
      </c>
    </row>
    <row r="367" spans="1:24">
      <c r="A367" s="26"/>
      <c r="B367" s="27"/>
      <c r="C367" s="27"/>
      <c r="D367" s="27"/>
      <c r="E367" s="27"/>
      <c r="F367" s="27"/>
      <c r="G367" s="27"/>
      <c r="H367" s="27"/>
      <c r="I367" s="27"/>
      <c r="J367" s="27"/>
      <c r="K367" s="246" t="str">
        <f t="shared" si="106"/>
        <v/>
      </c>
      <c r="L367" s="246" t="str">
        <f t="shared" si="118"/>
        <v/>
      </c>
      <c r="M367" s="246" t="str">
        <f t="shared" si="107"/>
        <v/>
      </c>
      <c r="N367" s="246" t="str">
        <f t="shared" si="108"/>
        <v/>
      </c>
      <c r="O367" s="246" t="str">
        <f t="shared" si="109"/>
        <v/>
      </c>
      <c r="P367" s="246" t="str">
        <f t="shared" si="110"/>
        <v/>
      </c>
      <c r="Q367" s="246" t="str">
        <f t="shared" si="111"/>
        <v/>
      </c>
      <c r="R367" s="246" t="str">
        <f t="shared" si="112"/>
        <v/>
      </c>
      <c r="S367" s="108">
        <f t="shared" si="119"/>
        <v>0</v>
      </c>
      <c r="T367" s="28">
        <f t="shared" si="120"/>
        <v>0</v>
      </c>
      <c r="U367" s="247">
        <f t="shared" si="114"/>
        <v>0</v>
      </c>
      <c r="V367" s="36" t="e">
        <f t="shared" si="115"/>
        <v>#DIV/0!</v>
      </c>
      <c r="W367" s="36" t="e">
        <f t="shared" si="116"/>
        <v>#DIV/0!</v>
      </c>
      <c r="X367" s="63" t="e">
        <f t="shared" si="117"/>
        <v>#DIV/0!</v>
      </c>
    </row>
    <row r="368" spans="1:24">
      <c r="A368" s="26"/>
      <c r="B368" s="27"/>
      <c r="C368" s="27"/>
      <c r="D368" s="27"/>
      <c r="E368" s="27"/>
      <c r="F368" s="27"/>
      <c r="G368" s="27"/>
      <c r="H368" s="27"/>
      <c r="I368" s="27"/>
      <c r="J368" s="27"/>
      <c r="K368" s="246" t="str">
        <f t="shared" si="106"/>
        <v/>
      </c>
      <c r="L368" s="246" t="str">
        <f t="shared" si="118"/>
        <v/>
      </c>
      <c r="M368" s="246" t="str">
        <f t="shared" si="107"/>
        <v/>
      </c>
      <c r="N368" s="246" t="str">
        <f t="shared" si="108"/>
        <v/>
      </c>
      <c r="O368" s="246" t="str">
        <f t="shared" si="109"/>
        <v/>
      </c>
      <c r="P368" s="246" t="str">
        <f t="shared" si="110"/>
        <v/>
      </c>
      <c r="Q368" s="246" t="str">
        <f t="shared" si="111"/>
        <v/>
      </c>
      <c r="R368" s="246" t="str">
        <f t="shared" si="112"/>
        <v/>
      </c>
      <c r="S368" s="108">
        <f t="shared" si="119"/>
        <v>0</v>
      </c>
      <c r="T368" s="28">
        <f t="shared" si="120"/>
        <v>0</v>
      </c>
      <c r="U368" s="247">
        <f t="shared" si="114"/>
        <v>0</v>
      </c>
      <c r="V368" s="36" t="e">
        <f t="shared" si="115"/>
        <v>#DIV/0!</v>
      </c>
      <c r="W368" s="36" t="e">
        <f t="shared" si="116"/>
        <v>#DIV/0!</v>
      </c>
      <c r="X368" s="63" t="e">
        <f t="shared" si="117"/>
        <v>#DIV/0!</v>
      </c>
    </row>
    <row r="369" spans="1:24">
      <c r="A369" s="26"/>
      <c r="B369" s="27"/>
      <c r="C369" s="27"/>
      <c r="D369" s="27"/>
      <c r="E369" s="27"/>
      <c r="F369" s="27"/>
      <c r="G369" s="27"/>
      <c r="H369" s="27"/>
      <c r="I369" s="27"/>
      <c r="J369" s="27"/>
      <c r="K369" s="246" t="str">
        <f t="shared" si="106"/>
        <v/>
      </c>
      <c r="L369" s="246" t="str">
        <f t="shared" si="118"/>
        <v/>
      </c>
      <c r="M369" s="246" t="str">
        <f t="shared" si="107"/>
        <v/>
      </c>
      <c r="N369" s="246" t="str">
        <f t="shared" si="108"/>
        <v/>
      </c>
      <c r="O369" s="246" t="str">
        <f t="shared" si="109"/>
        <v/>
      </c>
      <c r="P369" s="246" t="str">
        <f t="shared" si="110"/>
        <v/>
      </c>
      <c r="Q369" s="246" t="str">
        <f t="shared" si="111"/>
        <v/>
      </c>
      <c r="R369" s="246" t="str">
        <f t="shared" si="112"/>
        <v/>
      </c>
      <c r="S369" s="108">
        <f t="shared" si="119"/>
        <v>0</v>
      </c>
      <c r="T369" s="28">
        <f t="shared" si="120"/>
        <v>0</v>
      </c>
      <c r="U369" s="247">
        <f t="shared" si="114"/>
        <v>0</v>
      </c>
      <c r="V369" s="36" t="e">
        <f t="shared" si="115"/>
        <v>#DIV/0!</v>
      </c>
      <c r="W369" s="36" t="e">
        <f t="shared" si="116"/>
        <v>#DIV/0!</v>
      </c>
      <c r="X369" s="63" t="e">
        <f t="shared" si="117"/>
        <v>#DIV/0!</v>
      </c>
    </row>
    <row r="370" spans="1:24">
      <c r="A370" s="26"/>
      <c r="B370" s="27"/>
      <c r="C370" s="27"/>
      <c r="D370" s="27"/>
      <c r="E370" s="27"/>
      <c r="F370" s="27"/>
      <c r="G370" s="27"/>
      <c r="H370" s="27"/>
      <c r="I370" s="27"/>
      <c r="J370" s="27"/>
      <c r="K370" s="246" t="str">
        <f t="shared" si="106"/>
        <v/>
      </c>
      <c r="L370" s="246" t="str">
        <f t="shared" si="118"/>
        <v/>
      </c>
      <c r="M370" s="246" t="str">
        <f t="shared" si="107"/>
        <v/>
      </c>
      <c r="N370" s="246" t="str">
        <f t="shared" si="108"/>
        <v/>
      </c>
      <c r="O370" s="246" t="str">
        <f t="shared" si="109"/>
        <v/>
      </c>
      <c r="P370" s="246" t="str">
        <f t="shared" si="110"/>
        <v/>
      </c>
      <c r="Q370" s="246" t="str">
        <f t="shared" si="111"/>
        <v/>
      </c>
      <c r="R370" s="246" t="str">
        <f t="shared" si="112"/>
        <v/>
      </c>
      <c r="S370" s="108">
        <f t="shared" si="119"/>
        <v>0</v>
      </c>
      <c r="T370" s="28">
        <f t="shared" si="120"/>
        <v>0</v>
      </c>
      <c r="U370" s="247">
        <f t="shared" si="114"/>
        <v>0</v>
      </c>
      <c r="V370" s="36" t="e">
        <f t="shared" si="115"/>
        <v>#DIV/0!</v>
      </c>
      <c r="W370" s="36" t="e">
        <f t="shared" si="116"/>
        <v>#DIV/0!</v>
      </c>
      <c r="X370" s="63" t="e">
        <f t="shared" si="117"/>
        <v>#DIV/0!</v>
      </c>
    </row>
    <row r="371" spans="1:24">
      <c r="A371" s="26"/>
      <c r="B371" s="27"/>
      <c r="C371" s="27"/>
      <c r="D371" s="27"/>
      <c r="E371" s="27"/>
      <c r="F371" s="27"/>
      <c r="G371" s="27"/>
      <c r="H371" s="27"/>
      <c r="I371" s="27"/>
      <c r="J371" s="27"/>
      <c r="K371" s="246" t="str">
        <f t="shared" si="106"/>
        <v/>
      </c>
      <c r="L371" s="246" t="str">
        <f t="shared" si="118"/>
        <v/>
      </c>
      <c r="M371" s="246" t="str">
        <f t="shared" si="107"/>
        <v/>
      </c>
      <c r="N371" s="246" t="str">
        <f t="shared" si="108"/>
        <v/>
      </c>
      <c r="O371" s="246" t="str">
        <f t="shared" si="109"/>
        <v/>
      </c>
      <c r="P371" s="246" t="str">
        <f t="shared" si="110"/>
        <v/>
      </c>
      <c r="Q371" s="246" t="str">
        <f t="shared" si="111"/>
        <v/>
      </c>
      <c r="R371" s="246" t="str">
        <f t="shared" si="112"/>
        <v/>
      </c>
      <c r="S371" s="108">
        <f t="shared" si="119"/>
        <v>0</v>
      </c>
      <c r="T371" s="28">
        <f t="shared" si="120"/>
        <v>0</v>
      </c>
      <c r="U371" s="247">
        <f t="shared" si="114"/>
        <v>0</v>
      </c>
      <c r="V371" s="36" t="e">
        <f t="shared" si="115"/>
        <v>#DIV/0!</v>
      </c>
      <c r="W371" s="36" t="e">
        <f t="shared" si="116"/>
        <v>#DIV/0!</v>
      </c>
      <c r="X371" s="63" t="e">
        <f t="shared" si="117"/>
        <v>#DIV/0!</v>
      </c>
    </row>
    <row r="372" spans="1:24">
      <c r="A372" s="26"/>
      <c r="B372" s="27"/>
      <c r="C372" s="27"/>
      <c r="D372" s="27"/>
      <c r="E372" s="27"/>
      <c r="F372" s="27"/>
      <c r="G372" s="27"/>
      <c r="H372" s="27"/>
      <c r="I372" s="27"/>
      <c r="J372" s="27"/>
      <c r="K372" s="246" t="str">
        <f t="shared" si="106"/>
        <v/>
      </c>
      <c r="L372" s="246" t="str">
        <f t="shared" si="118"/>
        <v/>
      </c>
      <c r="M372" s="246" t="str">
        <f t="shared" si="107"/>
        <v/>
      </c>
      <c r="N372" s="246" t="str">
        <f t="shared" si="108"/>
        <v/>
      </c>
      <c r="O372" s="246" t="str">
        <f t="shared" si="109"/>
        <v/>
      </c>
      <c r="P372" s="246" t="str">
        <f t="shared" si="110"/>
        <v/>
      </c>
      <c r="Q372" s="246" t="str">
        <f t="shared" si="111"/>
        <v/>
      </c>
      <c r="R372" s="246" t="str">
        <f t="shared" si="112"/>
        <v/>
      </c>
      <c r="S372" s="108">
        <f t="shared" si="119"/>
        <v>0</v>
      </c>
      <c r="T372" s="28">
        <f t="shared" si="120"/>
        <v>0</v>
      </c>
      <c r="U372" s="247">
        <f t="shared" si="114"/>
        <v>0</v>
      </c>
      <c r="V372" s="36" t="e">
        <f t="shared" si="115"/>
        <v>#DIV/0!</v>
      </c>
      <c r="W372" s="36" t="e">
        <f t="shared" si="116"/>
        <v>#DIV/0!</v>
      </c>
      <c r="X372" s="63" t="e">
        <f t="shared" si="117"/>
        <v>#DIV/0!</v>
      </c>
    </row>
    <row r="373" spans="1:24">
      <c r="A373" s="26"/>
      <c r="B373" s="27"/>
      <c r="C373" s="27"/>
      <c r="D373" s="27"/>
      <c r="E373" s="27"/>
      <c r="F373" s="27"/>
      <c r="G373" s="27"/>
      <c r="H373" s="27"/>
      <c r="I373" s="27"/>
      <c r="J373" s="27"/>
      <c r="K373" s="246" t="str">
        <f t="shared" si="106"/>
        <v/>
      </c>
      <c r="L373" s="246" t="str">
        <f t="shared" si="118"/>
        <v/>
      </c>
      <c r="M373" s="246" t="str">
        <f t="shared" si="107"/>
        <v/>
      </c>
      <c r="N373" s="246" t="str">
        <f t="shared" si="108"/>
        <v/>
      </c>
      <c r="O373" s="246" t="str">
        <f t="shared" si="109"/>
        <v/>
      </c>
      <c r="P373" s="246" t="str">
        <f t="shared" si="110"/>
        <v/>
      </c>
      <c r="Q373" s="246" t="str">
        <f t="shared" si="111"/>
        <v/>
      </c>
      <c r="R373" s="246" t="str">
        <f t="shared" si="112"/>
        <v/>
      </c>
      <c r="S373" s="108">
        <f t="shared" si="119"/>
        <v>0</v>
      </c>
      <c r="T373" s="28">
        <f t="shared" si="120"/>
        <v>0</v>
      </c>
      <c r="U373" s="247">
        <f t="shared" si="114"/>
        <v>0</v>
      </c>
      <c r="V373" s="36" t="e">
        <f t="shared" si="115"/>
        <v>#DIV/0!</v>
      </c>
      <c r="W373" s="36" t="e">
        <f t="shared" si="116"/>
        <v>#DIV/0!</v>
      </c>
      <c r="X373" s="63" t="e">
        <f t="shared" si="117"/>
        <v>#DIV/0!</v>
      </c>
    </row>
    <row r="374" spans="1:24">
      <c r="A374" s="26"/>
      <c r="B374" s="27"/>
      <c r="C374" s="27"/>
      <c r="D374" s="27"/>
      <c r="E374" s="27"/>
      <c r="F374" s="27"/>
      <c r="G374" s="27"/>
      <c r="H374" s="27"/>
      <c r="I374" s="27"/>
      <c r="J374" s="27"/>
      <c r="K374" s="246" t="str">
        <f t="shared" si="106"/>
        <v/>
      </c>
      <c r="L374" s="246" t="str">
        <f t="shared" si="118"/>
        <v/>
      </c>
      <c r="M374" s="246" t="str">
        <f t="shared" si="107"/>
        <v/>
      </c>
      <c r="N374" s="246" t="str">
        <f t="shared" si="108"/>
        <v/>
      </c>
      <c r="O374" s="246" t="str">
        <f t="shared" si="109"/>
        <v/>
      </c>
      <c r="P374" s="246" t="str">
        <f t="shared" si="110"/>
        <v/>
      </c>
      <c r="Q374" s="246" t="str">
        <f t="shared" si="111"/>
        <v/>
      </c>
      <c r="R374" s="246" t="str">
        <f t="shared" si="112"/>
        <v/>
      </c>
      <c r="S374" s="108">
        <f t="shared" si="119"/>
        <v>0</v>
      </c>
      <c r="T374" s="28">
        <f t="shared" si="120"/>
        <v>0</v>
      </c>
      <c r="U374" s="247">
        <f t="shared" si="114"/>
        <v>0</v>
      </c>
      <c r="V374" s="36" t="e">
        <f t="shared" si="115"/>
        <v>#DIV/0!</v>
      </c>
      <c r="W374" s="36" t="e">
        <f t="shared" si="116"/>
        <v>#DIV/0!</v>
      </c>
      <c r="X374" s="63" t="e">
        <f t="shared" si="117"/>
        <v>#DIV/0!</v>
      </c>
    </row>
    <row r="375" spans="1:24">
      <c r="A375" s="26"/>
      <c r="B375" s="27"/>
      <c r="C375" s="27"/>
      <c r="D375" s="27"/>
      <c r="E375" s="27"/>
      <c r="F375" s="27"/>
      <c r="G375" s="27"/>
      <c r="H375" s="27"/>
      <c r="I375" s="27"/>
      <c r="J375" s="27"/>
      <c r="K375" s="246" t="str">
        <f t="shared" si="106"/>
        <v/>
      </c>
      <c r="L375" s="246" t="str">
        <f t="shared" si="118"/>
        <v/>
      </c>
      <c r="M375" s="246" t="str">
        <f t="shared" si="107"/>
        <v/>
      </c>
      <c r="N375" s="246" t="str">
        <f t="shared" si="108"/>
        <v/>
      </c>
      <c r="O375" s="246" t="str">
        <f t="shared" si="109"/>
        <v/>
      </c>
      <c r="P375" s="246" t="str">
        <f t="shared" si="110"/>
        <v/>
      </c>
      <c r="Q375" s="246" t="str">
        <f t="shared" si="111"/>
        <v/>
      </c>
      <c r="R375" s="246" t="str">
        <f t="shared" si="112"/>
        <v/>
      </c>
      <c r="S375" s="108">
        <f t="shared" si="119"/>
        <v>0</v>
      </c>
      <c r="T375" s="28">
        <f t="shared" si="120"/>
        <v>0</v>
      </c>
      <c r="U375" s="247">
        <f t="shared" si="114"/>
        <v>0</v>
      </c>
      <c r="V375" s="36" t="e">
        <f t="shared" si="115"/>
        <v>#DIV/0!</v>
      </c>
      <c r="W375" s="36" t="e">
        <f t="shared" si="116"/>
        <v>#DIV/0!</v>
      </c>
      <c r="X375" s="63" t="e">
        <f t="shared" ref="X375:X394" si="121">ROUND(V375*(1+大灶毛利),1)</f>
        <v>#DIV/0!</v>
      </c>
    </row>
    <row r="376" spans="1:24">
      <c r="A376" s="26"/>
      <c r="B376" s="27"/>
      <c r="C376" s="27"/>
      <c r="D376" s="27"/>
      <c r="E376" s="27"/>
      <c r="F376" s="27"/>
      <c r="G376" s="27"/>
      <c r="H376" s="27"/>
      <c r="I376" s="27"/>
      <c r="J376" s="27"/>
      <c r="K376" s="246" t="str">
        <f t="shared" si="106"/>
        <v/>
      </c>
      <c r="L376" s="246" t="str">
        <f t="shared" si="118"/>
        <v/>
      </c>
      <c r="M376" s="246" t="str">
        <f t="shared" si="107"/>
        <v/>
      </c>
      <c r="N376" s="246" t="str">
        <f t="shared" si="108"/>
        <v/>
      </c>
      <c r="O376" s="246" t="str">
        <f t="shared" si="109"/>
        <v/>
      </c>
      <c r="P376" s="246" t="str">
        <f t="shared" si="110"/>
        <v/>
      </c>
      <c r="Q376" s="246" t="str">
        <f t="shared" si="111"/>
        <v/>
      </c>
      <c r="R376" s="246" t="str">
        <f t="shared" si="112"/>
        <v/>
      </c>
      <c r="S376" s="108">
        <f t="shared" si="119"/>
        <v>0</v>
      </c>
      <c r="T376" s="28">
        <f t="shared" si="120"/>
        <v>0</v>
      </c>
      <c r="U376" s="247">
        <f t="shared" si="114"/>
        <v>0</v>
      </c>
      <c r="V376" s="36" t="e">
        <f t="shared" si="115"/>
        <v>#DIV/0!</v>
      </c>
      <c r="W376" s="36" t="e">
        <f t="shared" si="116"/>
        <v>#DIV/0!</v>
      </c>
      <c r="X376" s="63" t="e">
        <f t="shared" si="121"/>
        <v>#DIV/0!</v>
      </c>
    </row>
    <row r="377" spans="1:24">
      <c r="A377" s="26"/>
      <c r="B377" s="27"/>
      <c r="C377" s="27"/>
      <c r="D377" s="27"/>
      <c r="E377" s="27"/>
      <c r="F377" s="27"/>
      <c r="G377" s="27"/>
      <c r="H377" s="27"/>
      <c r="I377" s="27"/>
      <c r="J377" s="27"/>
      <c r="K377" s="246" t="str">
        <f t="shared" si="106"/>
        <v/>
      </c>
      <c r="L377" s="246" t="str">
        <f t="shared" si="118"/>
        <v/>
      </c>
      <c r="M377" s="246" t="str">
        <f t="shared" si="107"/>
        <v/>
      </c>
      <c r="N377" s="246" t="str">
        <f t="shared" si="108"/>
        <v/>
      </c>
      <c r="O377" s="246" t="str">
        <f t="shared" si="109"/>
        <v/>
      </c>
      <c r="P377" s="246" t="str">
        <f t="shared" si="110"/>
        <v/>
      </c>
      <c r="Q377" s="246" t="str">
        <f t="shared" si="111"/>
        <v/>
      </c>
      <c r="R377" s="246" t="str">
        <f t="shared" si="112"/>
        <v/>
      </c>
      <c r="S377" s="108">
        <f t="shared" si="119"/>
        <v>0</v>
      </c>
      <c r="T377" s="28">
        <f t="shared" si="120"/>
        <v>0</v>
      </c>
      <c r="U377" s="247">
        <f t="shared" si="114"/>
        <v>0</v>
      </c>
      <c r="V377" s="36" t="e">
        <f t="shared" si="115"/>
        <v>#DIV/0!</v>
      </c>
      <c r="W377" s="36" t="e">
        <f t="shared" si="116"/>
        <v>#DIV/0!</v>
      </c>
      <c r="X377" s="63" t="e">
        <f t="shared" si="121"/>
        <v>#DIV/0!</v>
      </c>
    </row>
    <row r="378" spans="1:24">
      <c r="A378" s="26"/>
      <c r="B378" s="27"/>
      <c r="C378" s="27"/>
      <c r="D378" s="27"/>
      <c r="E378" s="27"/>
      <c r="F378" s="27"/>
      <c r="G378" s="27"/>
      <c r="H378" s="27"/>
      <c r="I378" s="27"/>
      <c r="J378" s="27"/>
      <c r="K378" s="246" t="str">
        <f t="shared" si="106"/>
        <v/>
      </c>
      <c r="L378" s="246" t="str">
        <f t="shared" si="118"/>
        <v/>
      </c>
      <c r="M378" s="246" t="str">
        <f t="shared" si="107"/>
        <v/>
      </c>
      <c r="N378" s="246" t="str">
        <f t="shared" si="108"/>
        <v/>
      </c>
      <c r="O378" s="246" t="str">
        <f t="shared" si="109"/>
        <v/>
      </c>
      <c r="P378" s="246" t="str">
        <f t="shared" si="110"/>
        <v/>
      </c>
      <c r="Q378" s="246" t="str">
        <f t="shared" si="111"/>
        <v/>
      </c>
      <c r="R378" s="246" t="str">
        <f t="shared" si="112"/>
        <v/>
      </c>
      <c r="S378" s="108">
        <f t="shared" si="119"/>
        <v>0</v>
      </c>
      <c r="T378" s="28">
        <f t="shared" si="120"/>
        <v>0</v>
      </c>
      <c r="U378" s="247">
        <f t="shared" si="114"/>
        <v>0</v>
      </c>
      <c r="V378" s="36" t="e">
        <f t="shared" si="115"/>
        <v>#DIV/0!</v>
      </c>
      <c r="W378" s="36" t="e">
        <f t="shared" si="116"/>
        <v>#DIV/0!</v>
      </c>
      <c r="X378" s="63" t="e">
        <f t="shared" si="121"/>
        <v>#DIV/0!</v>
      </c>
    </row>
    <row r="379" spans="1:24">
      <c r="A379" s="26"/>
      <c r="B379" s="27"/>
      <c r="C379" s="27"/>
      <c r="D379" s="27"/>
      <c r="E379" s="27"/>
      <c r="F379" s="27"/>
      <c r="G379" s="27"/>
      <c r="H379" s="27"/>
      <c r="I379" s="27"/>
      <c r="J379" s="27"/>
      <c r="K379" s="246" t="str">
        <f t="shared" si="106"/>
        <v/>
      </c>
      <c r="L379" s="246" t="str">
        <f t="shared" si="118"/>
        <v/>
      </c>
      <c r="M379" s="246" t="str">
        <f t="shared" si="107"/>
        <v/>
      </c>
      <c r="N379" s="246" t="str">
        <f t="shared" si="108"/>
        <v/>
      </c>
      <c r="O379" s="246" t="str">
        <f t="shared" si="109"/>
        <v/>
      </c>
      <c r="P379" s="246" t="str">
        <f t="shared" si="110"/>
        <v/>
      </c>
      <c r="Q379" s="246" t="str">
        <f t="shared" si="111"/>
        <v/>
      </c>
      <c r="R379" s="246" t="str">
        <f t="shared" si="112"/>
        <v/>
      </c>
      <c r="S379" s="108">
        <f t="shared" si="119"/>
        <v>0</v>
      </c>
      <c r="T379" s="28">
        <f t="shared" si="120"/>
        <v>0</v>
      </c>
      <c r="U379" s="247">
        <f t="shared" si="114"/>
        <v>0</v>
      </c>
      <c r="V379" s="36" t="e">
        <f t="shared" si="115"/>
        <v>#DIV/0!</v>
      </c>
      <c r="W379" s="36" t="e">
        <f t="shared" si="116"/>
        <v>#DIV/0!</v>
      </c>
      <c r="X379" s="63" t="e">
        <f t="shared" si="121"/>
        <v>#DIV/0!</v>
      </c>
    </row>
    <row r="380" spans="1:24">
      <c r="A380" s="26"/>
      <c r="B380" s="27"/>
      <c r="C380" s="27"/>
      <c r="D380" s="27"/>
      <c r="E380" s="27"/>
      <c r="F380" s="27"/>
      <c r="G380" s="27"/>
      <c r="H380" s="27"/>
      <c r="I380" s="27"/>
      <c r="J380" s="27"/>
      <c r="K380" s="246" t="str">
        <f t="shared" si="106"/>
        <v/>
      </c>
      <c r="L380" s="246" t="str">
        <f t="shared" si="118"/>
        <v/>
      </c>
      <c r="M380" s="246" t="str">
        <f t="shared" si="107"/>
        <v/>
      </c>
      <c r="N380" s="246" t="str">
        <f t="shared" si="108"/>
        <v/>
      </c>
      <c r="O380" s="246" t="str">
        <f t="shared" si="109"/>
        <v/>
      </c>
      <c r="P380" s="246" t="str">
        <f t="shared" si="110"/>
        <v/>
      </c>
      <c r="Q380" s="246" t="str">
        <f t="shared" si="111"/>
        <v/>
      </c>
      <c r="R380" s="246" t="str">
        <f t="shared" si="112"/>
        <v/>
      </c>
      <c r="S380" s="108">
        <f t="shared" si="119"/>
        <v>0</v>
      </c>
      <c r="T380" s="28">
        <f t="shared" si="120"/>
        <v>0</v>
      </c>
      <c r="U380" s="247">
        <f t="shared" si="114"/>
        <v>0</v>
      </c>
      <c r="V380" s="36" t="e">
        <f t="shared" si="115"/>
        <v>#DIV/0!</v>
      </c>
      <c r="W380" s="36" t="e">
        <f t="shared" si="116"/>
        <v>#DIV/0!</v>
      </c>
      <c r="X380" s="63" t="e">
        <f t="shared" si="121"/>
        <v>#DIV/0!</v>
      </c>
    </row>
    <row r="381" spans="1:24">
      <c r="A381" s="26"/>
      <c r="B381" s="27"/>
      <c r="C381" s="27"/>
      <c r="D381" s="27"/>
      <c r="E381" s="27"/>
      <c r="F381" s="27"/>
      <c r="G381" s="27"/>
      <c r="H381" s="27"/>
      <c r="I381" s="27"/>
      <c r="J381" s="27"/>
      <c r="K381" s="246" t="str">
        <f t="shared" si="106"/>
        <v/>
      </c>
      <c r="L381" s="246" t="str">
        <f t="shared" si="118"/>
        <v/>
      </c>
      <c r="M381" s="246" t="str">
        <f t="shared" si="107"/>
        <v/>
      </c>
      <c r="N381" s="246" t="str">
        <f t="shared" si="108"/>
        <v/>
      </c>
      <c r="O381" s="246" t="str">
        <f t="shared" si="109"/>
        <v/>
      </c>
      <c r="P381" s="246" t="str">
        <f t="shared" si="110"/>
        <v/>
      </c>
      <c r="Q381" s="246" t="str">
        <f t="shared" si="111"/>
        <v/>
      </c>
      <c r="R381" s="246" t="str">
        <f t="shared" si="112"/>
        <v/>
      </c>
      <c r="S381" s="108">
        <f t="shared" si="119"/>
        <v>0</v>
      </c>
      <c r="T381" s="28">
        <f t="shared" si="120"/>
        <v>0</v>
      </c>
      <c r="U381" s="247">
        <f t="shared" si="114"/>
        <v>0</v>
      </c>
      <c r="V381" s="36" t="e">
        <f t="shared" si="115"/>
        <v>#DIV/0!</v>
      </c>
      <c r="W381" s="36" t="e">
        <f t="shared" si="116"/>
        <v>#DIV/0!</v>
      </c>
      <c r="X381" s="63" t="e">
        <f t="shared" si="121"/>
        <v>#DIV/0!</v>
      </c>
    </row>
    <row r="382" spans="1:24">
      <c r="A382" s="26"/>
      <c r="B382" s="27"/>
      <c r="C382" s="27"/>
      <c r="D382" s="27"/>
      <c r="E382" s="27"/>
      <c r="F382" s="27"/>
      <c r="G382" s="27"/>
      <c r="H382" s="27"/>
      <c r="I382" s="27"/>
      <c r="J382" s="27"/>
      <c r="K382" s="246" t="str">
        <f t="shared" si="106"/>
        <v/>
      </c>
      <c r="L382" s="246" t="str">
        <f t="shared" si="118"/>
        <v/>
      </c>
      <c r="M382" s="246" t="str">
        <f t="shared" si="107"/>
        <v/>
      </c>
      <c r="N382" s="246" t="str">
        <f t="shared" si="108"/>
        <v/>
      </c>
      <c r="O382" s="246" t="str">
        <f t="shared" si="109"/>
        <v/>
      </c>
      <c r="P382" s="246" t="str">
        <f t="shared" si="110"/>
        <v/>
      </c>
      <c r="Q382" s="246" t="str">
        <f t="shared" si="111"/>
        <v/>
      </c>
      <c r="R382" s="246" t="str">
        <f t="shared" si="112"/>
        <v/>
      </c>
      <c r="S382" s="108">
        <f t="shared" si="119"/>
        <v>0</v>
      </c>
      <c r="T382" s="28">
        <f t="shared" si="120"/>
        <v>0</v>
      </c>
      <c r="U382" s="247">
        <f t="shared" si="114"/>
        <v>0</v>
      </c>
      <c r="V382" s="36" t="e">
        <f t="shared" si="115"/>
        <v>#DIV/0!</v>
      </c>
      <c r="W382" s="36" t="e">
        <f t="shared" si="116"/>
        <v>#DIV/0!</v>
      </c>
      <c r="X382" s="63" t="e">
        <f t="shared" si="121"/>
        <v>#DIV/0!</v>
      </c>
    </row>
    <row r="383" spans="1:24">
      <c r="A383" s="26"/>
      <c r="B383" s="27"/>
      <c r="C383" s="27"/>
      <c r="D383" s="27"/>
      <c r="E383" s="27"/>
      <c r="F383" s="27"/>
      <c r="G383" s="27"/>
      <c r="H383" s="27"/>
      <c r="I383" s="27"/>
      <c r="J383" s="27"/>
      <c r="K383" s="246" t="str">
        <f t="shared" si="106"/>
        <v/>
      </c>
      <c r="L383" s="246" t="str">
        <f t="shared" si="118"/>
        <v/>
      </c>
      <c r="M383" s="246" t="str">
        <f t="shared" si="107"/>
        <v/>
      </c>
      <c r="N383" s="246" t="str">
        <f t="shared" si="108"/>
        <v/>
      </c>
      <c r="O383" s="246" t="str">
        <f t="shared" si="109"/>
        <v/>
      </c>
      <c r="P383" s="246" t="str">
        <f t="shared" si="110"/>
        <v/>
      </c>
      <c r="Q383" s="246" t="str">
        <f t="shared" si="111"/>
        <v/>
      </c>
      <c r="R383" s="246" t="str">
        <f t="shared" si="112"/>
        <v/>
      </c>
      <c r="S383" s="108">
        <f t="shared" si="119"/>
        <v>0</v>
      </c>
      <c r="T383" s="28">
        <f t="shared" si="120"/>
        <v>0</v>
      </c>
      <c r="U383" s="247">
        <f t="shared" si="114"/>
        <v>0</v>
      </c>
      <c r="V383" s="36" t="e">
        <f t="shared" si="115"/>
        <v>#DIV/0!</v>
      </c>
      <c r="W383" s="36" t="e">
        <f t="shared" si="116"/>
        <v>#DIV/0!</v>
      </c>
      <c r="X383" s="63" t="e">
        <f t="shared" si="121"/>
        <v>#DIV/0!</v>
      </c>
    </row>
    <row r="384" spans="1:24">
      <c r="A384" s="26"/>
      <c r="B384" s="27"/>
      <c r="C384" s="27"/>
      <c r="D384" s="27"/>
      <c r="E384" s="27"/>
      <c r="F384" s="27"/>
      <c r="G384" s="27"/>
      <c r="H384" s="27"/>
      <c r="I384" s="27"/>
      <c r="J384" s="27"/>
      <c r="K384" s="246" t="str">
        <f t="shared" si="106"/>
        <v/>
      </c>
      <c r="L384" s="246" t="str">
        <f t="shared" si="118"/>
        <v/>
      </c>
      <c r="M384" s="246" t="str">
        <f t="shared" si="107"/>
        <v/>
      </c>
      <c r="N384" s="246" t="str">
        <f t="shared" si="108"/>
        <v/>
      </c>
      <c r="O384" s="246" t="str">
        <f t="shared" si="109"/>
        <v/>
      </c>
      <c r="P384" s="246" t="str">
        <f t="shared" si="110"/>
        <v/>
      </c>
      <c r="Q384" s="246" t="str">
        <f t="shared" si="111"/>
        <v/>
      </c>
      <c r="R384" s="246" t="str">
        <f t="shared" si="112"/>
        <v/>
      </c>
      <c r="S384" s="108">
        <f t="shared" si="119"/>
        <v>0</v>
      </c>
      <c r="T384" s="28">
        <f t="shared" si="120"/>
        <v>0</v>
      </c>
      <c r="U384" s="247">
        <f t="shared" si="114"/>
        <v>0</v>
      </c>
      <c r="V384" s="36" t="e">
        <f t="shared" si="115"/>
        <v>#DIV/0!</v>
      </c>
      <c r="W384" s="36" t="e">
        <f t="shared" si="116"/>
        <v>#DIV/0!</v>
      </c>
      <c r="X384" s="63" t="e">
        <f t="shared" si="121"/>
        <v>#DIV/0!</v>
      </c>
    </row>
    <row r="385" spans="1:24">
      <c r="A385" s="26"/>
      <c r="B385" s="27"/>
      <c r="C385" s="27"/>
      <c r="D385" s="27"/>
      <c r="E385" s="27"/>
      <c r="F385" s="27"/>
      <c r="G385" s="27"/>
      <c r="H385" s="27"/>
      <c r="I385" s="27"/>
      <c r="J385" s="27"/>
      <c r="K385" s="246" t="str">
        <f t="shared" si="106"/>
        <v/>
      </c>
      <c r="L385" s="246" t="str">
        <f t="shared" si="118"/>
        <v/>
      </c>
      <c r="M385" s="246" t="str">
        <f t="shared" si="107"/>
        <v/>
      </c>
      <c r="N385" s="246" t="str">
        <f t="shared" si="108"/>
        <v/>
      </c>
      <c r="O385" s="246" t="str">
        <f t="shared" si="109"/>
        <v/>
      </c>
      <c r="P385" s="246" t="str">
        <f t="shared" si="110"/>
        <v/>
      </c>
      <c r="Q385" s="246" t="str">
        <f t="shared" si="111"/>
        <v/>
      </c>
      <c r="R385" s="246" t="str">
        <f t="shared" si="112"/>
        <v/>
      </c>
      <c r="S385" s="108">
        <f t="shared" si="119"/>
        <v>0</v>
      </c>
      <c r="T385" s="28">
        <f t="shared" si="120"/>
        <v>0</v>
      </c>
      <c r="U385" s="247">
        <f t="shared" si="114"/>
        <v>0</v>
      </c>
      <c r="V385" s="36" t="e">
        <f t="shared" si="115"/>
        <v>#DIV/0!</v>
      </c>
      <c r="W385" s="36" t="e">
        <f t="shared" si="116"/>
        <v>#DIV/0!</v>
      </c>
      <c r="X385" s="63" t="e">
        <f t="shared" si="121"/>
        <v>#DIV/0!</v>
      </c>
    </row>
    <row r="386" spans="1:24">
      <c r="A386" s="26"/>
      <c r="B386" s="27"/>
      <c r="C386" s="27"/>
      <c r="D386" s="27"/>
      <c r="E386" s="27"/>
      <c r="F386" s="27"/>
      <c r="G386" s="27"/>
      <c r="H386" s="27"/>
      <c r="I386" s="27"/>
      <c r="J386" s="27"/>
      <c r="K386" s="246" t="str">
        <f t="shared" si="106"/>
        <v/>
      </c>
      <c r="L386" s="246" t="str">
        <f t="shared" si="118"/>
        <v/>
      </c>
      <c r="M386" s="246" t="str">
        <f t="shared" si="107"/>
        <v/>
      </c>
      <c r="N386" s="246" t="str">
        <f t="shared" si="108"/>
        <v/>
      </c>
      <c r="O386" s="246" t="str">
        <f t="shared" si="109"/>
        <v/>
      </c>
      <c r="P386" s="246" t="str">
        <f t="shared" si="110"/>
        <v/>
      </c>
      <c r="Q386" s="246" t="str">
        <f t="shared" si="111"/>
        <v/>
      </c>
      <c r="R386" s="246" t="str">
        <f t="shared" si="112"/>
        <v/>
      </c>
      <c r="S386" s="108">
        <f t="shared" si="119"/>
        <v>0</v>
      </c>
      <c r="T386" s="28">
        <f t="shared" si="120"/>
        <v>0</v>
      </c>
      <c r="U386" s="247">
        <f t="shared" si="114"/>
        <v>0</v>
      </c>
      <c r="V386" s="36" t="e">
        <f t="shared" si="115"/>
        <v>#DIV/0!</v>
      </c>
      <c r="W386" s="36" t="e">
        <f t="shared" si="116"/>
        <v>#DIV/0!</v>
      </c>
      <c r="X386" s="63" t="e">
        <f t="shared" si="121"/>
        <v>#DIV/0!</v>
      </c>
    </row>
    <row r="387" spans="1:24">
      <c r="A387" s="26"/>
      <c r="B387" s="27"/>
      <c r="C387" s="27"/>
      <c r="D387" s="27"/>
      <c r="E387" s="27"/>
      <c r="F387" s="27"/>
      <c r="G387" s="27"/>
      <c r="H387" s="27"/>
      <c r="I387" s="27"/>
      <c r="J387" s="27"/>
      <c r="K387" s="246" t="str">
        <f t="shared" si="106"/>
        <v/>
      </c>
      <c r="L387" s="246" t="str">
        <f t="shared" si="118"/>
        <v/>
      </c>
      <c r="M387" s="246" t="str">
        <f t="shared" si="107"/>
        <v/>
      </c>
      <c r="N387" s="246" t="str">
        <f t="shared" si="108"/>
        <v/>
      </c>
      <c r="O387" s="246" t="str">
        <f t="shared" si="109"/>
        <v/>
      </c>
      <c r="P387" s="246" t="str">
        <f t="shared" si="110"/>
        <v/>
      </c>
      <c r="Q387" s="246" t="str">
        <f t="shared" si="111"/>
        <v/>
      </c>
      <c r="R387" s="246" t="str">
        <f t="shared" si="112"/>
        <v/>
      </c>
      <c r="S387" s="108">
        <f t="shared" si="119"/>
        <v>0</v>
      </c>
      <c r="T387" s="28">
        <f t="shared" si="120"/>
        <v>0</v>
      </c>
      <c r="U387" s="247">
        <f t="shared" si="114"/>
        <v>0</v>
      </c>
      <c r="V387" s="36" t="e">
        <f t="shared" si="115"/>
        <v>#DIV/0!</v>
      </c>
      <c r="W387" s="36" t="e">
        <f t="shared" si="116"/>
        <v>#DIV/0!</v>
      </c>
      <c r="X387" s="63" t="e">
        <f t="shared" si="121"/>
        <v>#DIV/0!</v>
      </c>
    </row>
    <row r="388" spans="1:24">
      <c r="A388" s="26"/>
      <c r="B388" s="27"/>
      <c r="C388" s="27"/>
      <c r="D388" s="27"/>
      <c r="E388" s="27"/>
      <c r="F388" s="27"/>
      <c r="G388" s="27"/>
      <c r="H388" s="27"/>
      <c r="I388" s="27"/>
      <c r="J388" s="27"/>
      <c r="K388" s="246" t="str">
        <f t="shared" si="106"/>
        <v/>
      </c>
      <c r="L388" s="246" t="str">
        <f t="shared" si="118"/>
        <v/>
      </c>
      <c r="M388" s="246" t="str">
        <f t="shared" si="107"/>
        <v/>
      </c>
      <c r="N388" s="246" t="str">
        <f t="shared" si="108"/>
        <v/>
      </c>
      <c r="O388" s="246" t="str">
        <f t="shared" si="109"/>
        <v/>
      </c>
      <c r="P388" s="246" t="str">
        <f t="shared" si="110"/>
        <v/>
      </c>
      <c r="Q388" s="246" t="str">
        <f t="shared" si="111"/>
        <v/>
      </c>
      <c r="R388" s="246" t="str">
        <f t="shared" si="112"/>
        <v/>
      </c>
      <c r="S388" s="108">
        <f t="shared" si="119"/>
        <v>0</v>
      </c>
      <c r="T388" s="28">
        <f t="shared" si="120"/>
        <v>0</v>
      </c>
      <c r="U388" s="247">
        <f t="shared" si="114"/>
        <v>0</v>
      </c>
      <c r="V388" s="36" t="e">
        <f t="shared" si="115"/>
        <v>#DIV/0!</v>
      </c>
      <c r="W388" s="36" t="e">
        <f t="shared" si="116"/>
        <v>#DIV/0!</v>
      </c>
      <c r="X388" s="63" t="e">
        <f t="shared" si="121"/>
        <v>#DIV/0!</v>
      </c>
    </row>
    <row r="389" spans="1:24">
      <c r="A389" s="26"/>
      <c r="B389" s="27"/>
      <c r="C389" s="27"/>
      <c r="D389" s="27"/>
      <c r="E389" s="27"/>
      <c r="F389" s="27"/>
      <c r="G389" s="27"/>
      <c r="H389" s="27"/>
      <c r="I389" s="27"/>
      <c r="J389" s="27"/>
      <c r="K389" s="246" t="str">
        <f t="shared" si="106"/>
        <v/>
      </c>
      <c r="L389" s="246" t="str">
        <f t="shared" si="118"/>
        <v/>
      </c>
      <c r="M389" s="246" t="str">
        <f t="shared" si="107"/>
        <v/>
      </c>
      <c r="N389" s="246" t="str">
        <f t="shared" si="108"/>
        <v/>
      </c>
      <c r="O389" s="246" t="str">
        <f t="shared" si="109"/>
        <v/>
      </c>
      <c r="P389" s="246" t="str">
        <f t="shared" si="110"/>
        <v/>
      </c>
      <c r="Q389" s="246" t="str">
        <f t="shared" si="111"/>
        <v/>
      </c>
      <c r="R389" s="246" t="str">
        <f t="shared" si="112"/>
        <v/>
      </c>
      <c r="S389" s="108">
        <f t="shared" si="119"/>
        <v>0</v>
      </c>
      <c r="T389" s="28">
        <f t="shared" si="120"/>
        <v>0</v>
      </c>
      <c r="U389" s="247">
        <f t="shared" si="114"/>
        <v>0</v>
      </c>
      <c r="V389" s="36" t="e">
        <f t="shared" si="115"/>
        <v>#DIV/0!</v>
      </c>
      <c r="W389" s="36" t="e">
        <f t="shared" si="116"/>
        <v>#DIV/0!</v>
      </c>
      <c r="X389" s="63" t="e">
        <f t="shared" si="121"/>
        <v>#DIV/0!</v>
      </c>
    </row>
    <row r="390" spans="1:24">
      <c r="A390" s="26"/>
      <c r="B390" s="27"/>
      <c r="C390" s="27"/>
      <c r="D390" s="27"/>
      <c r="E390" s="27"/>
      <c r="F390" s="27"/>
      <c r="G390" s="27"/>
      <c r="H390" s="27"/>
      <c r="I390" s="27"/>
      <c r="J390" s="27"/>
      <c r="K390" s="246" t="str">
        <f t="shared" si="106"/>
        <v/>
      </c>
      <c r="L390" s="246" t="str">
        <f t="shared" si="118"/>
        <v/>
      </c>
      <c r="M390" s="246" t="str">
        <f t="shared" si="107"/>
        <v/>
      </c>
      <c r="N390" s="246" t="str">
        <f t="shared" si="108"/>
        <v/>
      </c>
      <c r="O390" s="246" t="str">
        <f t="shared" si="109"/>
        <v/>
      </c>
      <c r="P390" s="246" t="str">
        <f t="shared" si="110"/>
        <v/>
      </c>
      <c r="Q390" s="246" t="str">
        <f t="shared" si="111"/>
        <v/>
      </c>
      <c r="R390" s="246" t="str">
        <f t="shared" si="112"/>
        <v/>
      </c>
      <c r="S390" s="108">
        <f t="shared" si="119"/>
        <v>0</v>
      </c>
      <c r="T390" s="28">
        <f t="shared" si="120"/>
        <v>0</v>
      </c>
      <c r="U390" s="247">
        <f t="shared" si="114"/>
        <v>0</v>
      </c>
      <c r="V390" s="36" t="e">
        <f t="shared" si="115"/>
        <v>#DIV/0!</v>
      </c>
      <c r="W390" s="36" t="e">
        <f t="shared" si="116"/>
        <v>#DIV/0!</v>
      </c>
      <c r="X390" s="63" t="e">
        <f t="shared" si="121"/>
        <v>#DIV/0!</v>
      </c>
    </row>
    <row r="391" spans="1:24">
      <c r="A391" s="26"/>
      <c r="B391" s="27"/>
      <c r="C391" s="27"/>
      <c r="D391" s="27"/>
      <c r="E391" s="27"/>
      <c r="F391" s="27"/>
      <c r="G391" s="27"/>
      <c r="H391" s="27"/>
      <c r="I391" s="27"/>
      <c r="J391" s="27"/>
      <c r="K391" s="246" t="str">
        <f t="shared" si="106"/>
        <v/>
      </c>
      <c r="L391" s="246" t="str">
        <f t="shared" si="118"/>
        <v/>
      </c>
      <c r="M391" s="246" t="str">
        <f t="shared" si="107"/>
        <v/>
      </c>
      <c r="N391" s="246" t="str">
        <f t="shared" si="108"/>
        <v/>
      </c>
      <c r="O391" s="246" t="str">
        <f t="shared" si="109"/>
        <v/>
      </c>
      <c r="P391" s="246" t="str">
        <f t="shared" si="110"/>
        <v/>
      </c>
      <c r="Q391" s="246" t="str">
        <f t="shared" si="111"/>
        <v/>
      </c>
      <c r="R391" s="246" t="str">
        <f t="shared" si="112"/>
        <v/>
      </c>
      <c r="S391" s="108">
        <f t="shared" si="119"/>
        <v>0</v>
      </c>
      <c r="T391" s="28">
        <f t="shared" si="120"/>
        <v>0</v>
      </c>
      <c r="U391" s="247">
        <f t="shared" si="114"/>
        <v>0</v>
      </c>
      <c r="V391" s="36" t="e">
        <f t="shared" si="115"/>
        <v>#DIV/0!</v>
      </c>
      <c r="W391" s="36" t="e">
        <f t="shared" si="116"/>
        <v>#DIV/0!</v>
      </c>
      <c r="X391" s="63" t="e">
        <f t="shared" si="121"/>
        <v>#DIV/0!</v>
      </c>
    </row>
    <row r="392" spans="1:24">
      <c r="A392" s="26"/>
      <c r="B392" s="27"/>
      <c r="C392" s="27"/>
      <c r="D392" s="27"/>
      <c r="E392" s="27"/>
      <c r="F392" s="27"/>
      <c r="G392" s="27"/>
      <c r="H392" s="27"/>
      <c r="I392" s="27"/>
      <c r="J392" s="27"/>
      <c r="K392" s="246" t="str">
        <f t="shared" si="106"/>
        <v/>
      </c>
      <c r="L392" s="246" t="str">
        <f t="shared" si="118"/>
        <v/>
      </c>
      <c r="M392" s="246" t="str">
        <f t="shared" si="107"/>
        <v/>
      </c>
      <c r="N392" s="246" t="str">
        <f t="shared" si="108"/>
        <v/>
      </c>
      <c r="O392" s="246" t="str">
        <f t="shared" si="109"/>
        <v/>
      </c>
      <c r="P392" s="246" t="str">
        <f t="shared" si="110"/>
        <v/>
      </c>
      <c r="Q392" s="246" t="str">
        <f t="shared" si="111"/>
        <v/>
      </c>
      <c r="R392" s="246" t="str">
        <f t="shared" si="112"/>
        <v/>
      </c>
      <c r="S392" s="108">
        <f t="shared" si="119"/>
        <v>0</v>
      </c>
      <c r="T392" s="28">
        <f t="shared" si="120"/>
        <v>0</v>
      </c>
      <c r="U392" s="247">
        <f t="shared" si="114"/>
        <v>0</v>
      </c>
      <c r="V392" s="36" t="e">
        <f t="shared" si="115"/>
        <v>#DIV/0!</v>
      </c>
      <c r="W392" s="36" t="e">
        <f t="shared" si="116"/>
        <v>#DIV/0!</v>
      </c>
      <c r="X392" s="63" t="e">
        <f t="shared" si="121"/>
        <v>#DIV/0!</v>
      </c>
    </row>
    <row r="393" spans="1:24">
      <c r="A393" s="26"/>
      <c r="B393" s="27"/>
      <c r="C393" s="27"/>
      <c r="D393" s="27"/>
      <c r="E393" s="27"/>
      <c r="F393" s="27"/>
      <c r="G393" s="27"/>
      <c r="H393" s="27"/>
      <c r="I393" s="27"/>
      <c r="J393" s="27"/>
      <c r="K393" s="246" t="str">
        <f t="shared" si="106"/>
        <v/>
      </c>
      <c r="L393" s="246" t="str">
        <f t="shared" si="118"/>
        <v/>
      </c>
      <c r="M393" s="246" t="str">
        <f t="shared" si="107"/>
        <v/>
      </c>
      <c r="N393" s="246" t="str">
        <f t="shared" si="108"/>
        <v/>
      </c>
      <c r="O393" s="246" t="str">
        <f t="shared" si="109"/>
        <v/>
      </c>
      <c r="P393" s="246" t="str">
        <f t="shared" si="110"/>
        <v/>
      </c>
      <c r="Q393" s="246" t="str">
        <f t="shared" si="111"/>
        <v/>
      </c>
      <c r="R393" s="246" t="str">
        <f t="shared" si="112"/>
        <v/>
      </c>
      <c r="S393" s="108">
        <f t="shared" si="119"/>
        <v>0</v>
      </c>
      <c r="T393" s="28">
        <f t="shared" si="120"/>
        <v>0</v>
      </c>
      <c r="U393" s="247">
        <f t="shared" si="114"/>
        <v>0</v>
      </c>
      <c r="V393" s="36" t="e">
        <f t="shared" si="115"/>
        <v>#DIV/0!</v>
      </c>
      <c r="W393" s="36" t="e">
        <f t="shared" si="116"/>
        <v>#DIV/0!</v>
      </c>
      <c r="X393" s="63" t="e">
        <f t="shared" si="121"/>
        <v>#DIV/0!</v>
      </c>
    </row>
    <row r="394" spans="1:24">
      <c r="A394" s="26"/>
      <c r="B394" s="27"/>
      <c r="C394" s="27"/>
      <c r="D394" s="27"/>
      <c r="E394" s="27"/>
      <c r="F394" s="27"/>
      <c r="G394" s="27"/>
      <c r="H394" s="27"/>
      <c r="I394" s="27"/>
      <c r="J394" s="27"/>
      <c r="K394" s="246" t="str">
        <f t="shared" si="106"/>
        <v/>
      </c>
      <c r="L394" s="246" t="str">
        <f t="shared" si="118"/>
        <v/>
      </c>
      <c r="M394" s="246" t="str">
        <f t="shared" si="107"/>
        <v/>
      </c>
      <c r="N394" s="246" t="str">
        <f t="shared" si="108"/>
        <v/>
      </c>
      <c r="O394" s="246" t="str">
        <f t="shared" si="109"/>
        <v/>
      </c>
      <c r="P394" s="246" t="str">
        <f t="shared" si="110"/>
        <v/>
      </c>
      <c r="Q394" s="246" t="str">
        <f t="shared" si="111"/>
        <v/>
      </c>
      <c r="R394" s="246" t="str">
        <f t="shared" si="112"/>
        <v/>
      </c>
      <c r="S394" s="108">
        <f t="shared" si="119"/>
        <v>0</v>
      </c>
      <c r="T394" s="28">
        <f t="shared" si="120"/>
        <v>0</v>
      </c>
      <c r="U394" s="247">
        <f t="shared" si="114"/>
        <v>0</v>
      </c>
      <c r="V394" s="36" t="e">
        <f t="shared" si="115"/>
        <v>#DIV/0!</v>
      </c>
      <c r="W394" s="36" t="e">
        <f t="shared" si="116"/>
        <v>#DIV/0!</v>
      </c>
      <c r="X394" s="63" t="e">
        <f t="shared" si="121"/>
        <v>#DIV/0!</v>
      </c>
    </row>
    <row r="395" spans="1:24">
      <c r="A395" s="26"/>
      <c r="B395" s="27"/>
      <c r="C395" s="27"/>
      <c r="D395" s="27"/>
      <c r="E395" s="27"/>
      <c r="F395" s="27"/>
      <c r="G395" s="27"/>
      <c r="H395" s="27"/>
      <c r="I395" s="27"/>
      <c r="J395" s="27"/>
      <c r="K395" s="246" t="str">
        <f t="shared" si="106"/>
        <v/>
      </c>
      <c r="L395" s="246" t="str">
        <f t="shared" si="118"/>
        <v/>
      </c>
      <c r="M395" s="246" t="str">
        <f t="shared" si="107"/>
        <v/>
      </c>
      <c r="N395" s="246" t="str">
        <f t="shared" si="108"/>
        <v/>
      </c>
      <c r="O395" s="246" t="str">
        <f t="shared" si="109"/>
        <v/>
      </c>
      <c r="P395" s="246" t="str">
        <f t="shared" si="110"/>
        <v/>
      </c>
      <c r="Q395" s="246" t="str">
        <f t="shared" si="111"/>
        <v/>
      </c>
      <c r="R395" s="246" t="str">
        <f t="shared" si="112"/>
        <v/>
      </c>
      <c r="S395" s="108">
        <f t="shared" si="119"/>
        <v>0</v>
      </c>
      <c r="T395" s="28">
        <f t="shared" ref="T395:T458" si="122">IFERROR(SUM(L395,N395,P395,R395,S395),"")</f>
        <v>0</v>
      </c>
      <c r="U395" s="247">
        <f t="shared" si="114"/>
        <v>0</v>
      </c>
      <c r="V395" s="36" t="e">
        <f t="shared" si="115"/>
        <v>#DIV/0!</v>
      </c>
      <c r="W395" s="36" t="e">
        <f t="shared" si="116"/>
        <v>#DIV/0!</v>
      </c>
      <c r="X395" s="63" t="e">
        <f t="shared" ref="X395:X458" si="123">ROUND(V395*(1+大灶毛利),1)</f>
        <v>#DIV/0!</v>
      </c>
    </row>
    <row r="396" spans="1:24">
      <c r="A396" s="26"/>
      <c r="B396" s="27"/>
      <c r="C396" s="27"/>
      <c r="D396" s="27"/>
      <c r="E396" s="27"/>
      <c r="F396" s="27"/>
      <c r="G396" s="27"/>
      <c r="H396" s="27"/>
      <c r="I396" s="27"/>
      <c r="J396" s="27"/>
      <c r="K396" s="246" t="str">
        <f t="shared" si="106"/>
        <v/>
      </c>
      <c r="L396" s="246" t="str">
        <f t="shared" si="118"/>
        <v/>
      </c>
      <c r="M396" s="246" t="str">
        <f t="shared" si="107"/>
        <v/>
      </c>
      <c r="N396" s="246" t="str">
        <f t="shared" si="108"/>
        <v/>
      </c>
      <c r="O396" s="246" t="str">
        <f t="shared" si="109"/>
        <v/>
      </c>
      <c r="P396" s="246" t="str">
        <f t="shared" si="110"/>
        <v/>
      </c>
      <c r="Q396" s="246" t="str">
        <f t="shared" si="111"/>
        <v/>
      </c>
      <c r="R396" s="246" t="str">
        <f t="shared" si="112"/>
        <v/>
      </c>
      <c r="S396" s="108">
        <f t="shared" si="119"/>
        <v>0</v>
      </c>
      <c r="T396" s="28">
        <f t="shared" si="122"/>
        <v>0</v>
      </c>
      <c r="U396" s="247">
        <f t="shared" si="114"/>
        <v>0</v>
      </c>
      <c r="V396" s="36" t="e">
        <f t="shared" si="115"/>
        <v>#DIV/0!</v>
      </c>
      <c r="W396" s="36" t="e">
        <f t="shared" si="116"/>
        <v>#DIV/0!</v>
      </c>
      <c r="X396" s="63" t="e">
        <f t="shared" si="123"/>
        <v>#DIV/0!</v>
      </c>
    </row>
    <row r="397" spans="1:24">
      <c r="A397" s="26"/>
      <c r="B397" s="27"/>
      <c r="C397" s="27"/>
      <c r="D397" s="27"/>
      <c r="E397" s="27"/>
      <c r="F397" s="27"/>
      <c r="G397" s="27"/>
      <c r="H397" s="27"/>
      <c r="I397" s="27"/>
      <c r="J397" s="27"/>
      <c r="K397" s="246" t="str">
        <f t="shared" si="106"/>
        <v/>
      </c>
      <c r="L397" s="246" t="str">
        <f t="shared" si="118"/>
        <v/>
      </c>
      <c r="M397" s="246" t="str">
        <f t="shared" si="107"/>
        <v/>
      </c>
      <c r="N397" s="246" t="str">
        <f t="shared" si="108"/>
        <v/>
      </c>
      <c r="O397" s="246" t="str">
        <f t="shared" si="109"/>
        <v/>
      </c>
      <c r="P397" s="246" t="str">
        <f t="shared" si="110"/>
        <v/>
      </c>
      <c r="Q397" s="246" t="str">
        <f t="shared" si="111"/>
        <v/>
      </c>
      <c r="R397" s="246" t="str">
        <f t="shared" si="112"/>
        <v/>
      </c>
      <c r="S397" s="108">
        <f t="shared" si="119"/>
        <v>0</v>
      </c>
      <c r="T397" s="28">
        <f t="shared" si="122"/>
        <v>0</v>
      </c>
      <c r="U397" s="247">
        <f t="shared" si="114"/>
        <v>0</v>
      </c>
      <c r="V397" s="36" t="e">
        <f t="shared" si="115"/>
        <v>#DIV/0!</v>
      </c>
      <c r="W397" s="36" t="e">
        <f t="shared" si="116"/>
        <v>#DIV/0!</v>
      </c>
      <c r="X397" s="63" t="e">
        <f t="shared" si="123"/>
        <v>#DIV/0!</v>
      </c>
    </row>
    <row r="398" spans="1:24">
      <c r="A398" s="26"/>
      <c r="B398" s="27"/>
      <c r="C398" s="27"/>
      <c r="D398" s="27"/>
      <c r="E398" s="27"/>
      <c r="F398" s="27"/>
      <c r="G398" s="27"/>
      <c r="H398" s="27"/>
      <c r="I398" s="27"/>
      <c r="J398" s="27"/>
      <c r="K398" s="246" t="str">
        <f t="shared" si="106"/>
        <v/>
      </c>
      <c r="L398" s="246" t="str">
        <f t="shared" si="118"/>
        <v/>
      </c>
      <c r="M398" s="246" t="str">
        <f t="shared" si="107"/>
        <v/>
      </c>
      <c r="N398" s="246" t="str">
        <f t="shared" si="108"/>
        <v/>
      </c>
      <c r="O398" s="246" t="str">
        <f t="shared" si="109"/>
        <v/>
      </c>
      <c r="P398" s="246" t="str">
        <f t="shared" si="110"/>
        <v/>
      </c>
      <c r="Q398" s="246" t="str">
        <f t="shared" si="111"/>
        <v/>
      </c>
      <c r="R398" s="246" t="str">
        <f t="shared" si="112"/>
        <v/>
      </c>
      <c r="S398" s="108">
        <f t="shared" si="119"/>
        <v>0</v>
      </c>
      <c r="T398" s="28">
        <f t="shared" si="122"/>
        <v>0</v>
      </c>
      <c r="U398" s="247">
        <f t="shared" si="114"/>
        <v>0</v>
      </c>
      <c r="V398" s="36" t="e">
        <f t="shared" si="115"/>
        <v>#DIV/0!</v>
      </c>
      <c r="W398" s="36" t="e">
        <f t="shared" si="116"/>
        <v>#DIV/0!</v>
      </c>
      <c r="X398" s="63" t="e">
        <f t="shared" si="123"/>
        <v>#DIV/0!</v>
      </c>
    </row>
    <row r="399" spans="1:24">
      <c r="A399" s="26"/>
      <c r="B399" s="27"/>
      <c r="C399" s="27"/>
      <c r="D399" s="27"/>
      <c r="E399" s="27"/>
      <c r="F399" s="27"/>
      <c r="G399" s="27"/>
      <c r="H399" s="27"/>
      <c r="I399" s="27"/>
      <c r="J399" s="27"/>
      <c r="K399" s="246" t="str">
        <f t="shared" ref="K399:K462" si="124">IF(C399="","",VLOOKUP(C399,成本单价,8,0))</f>
        <v/>
      </c>
      <c r="L399" s="246" t="str">
        <f t="shared" si="118"/>
        <v/>
      </c>
      <c r="M399" s="246" t="str">
        <f t="shared" ref="M399:M462" si="125">IF(E399="","",VLOOKUP(E399,成本单价,8,0))</f>
        <v/>
      </c>
      <c r="N399" s="246" t="str">
        <f t="shared" ref="N399:N462" si="126">IFERROR(F399*M399,"")</f>
        <v/>
      </c>
      <c r="O399" s="246" t="str">
        <f t="shared" ref="O399:O462" si="127">IF(G399="","",VLOOKUP(G399,成本单价,8,0))</f>
        <v/>
      </c>
      <c r="P399" s="246" t="str">
        <f t="shared" ref="P399:P462" si="128">IFERROR(H399*O399,"")</f>
        <v/>
      </c>
      <c r="Q399" s="246" t="str">
        <f t="shared" ref="Q399:Q427" si="129">IF(I399="","",VLOOKUP(I399,成本单价,8,0))</f>
        <v/>
      </c>
      <c r="R399" s="246" t="str">
        <f t="shared" ref="R399:R462" si="130">IFERROR(J399*Q399,"")</f>
        <v/>
      </c>
      <c r="S399" s="108">
        <f t="shared" si="119"/>
        <v>0</v>
      </c>
      <c r="T399" s="28">
        <f t="shared" si="122"/>
        <v>0</v>
      </c>
      <c r="U399" s="247">
        <f t="shared" ref="U399:U462" si="131">T399*(1+物料比)</f>
        <v>0</v>
      </c>
      <c r="V399" s="36" t="e">
        <f t="shared" ref="V399:V462" si="132">U399/B399</f>
        <v>#DIV/0!</v>
      </c>
      <c r="W399" s="36" t="e">
        <f t="shared" ref="W399:W462" si="133">D399/B399+F399/B399+H399/B399+J399/B399</f>
        <v>#DIV/0!</v>
      </c>
      <c r="X399" s="63" t="e">
        <f t="shared" si="123"/>
        <v>#DIV/0!</v>
      </c>
    </row>
    <row r="400" spans="1:24">
      <c r="A400" s="26"/>
      <c r="B400" s="27"/>
      <c r="C400" s="27"/>
      <c r="D400" s="27"/>
      <c r="E400" s="27"/>
      <c r="F400" s="27"/>
      <c r="G400" s="27"/>
      <c r="H400" s="27"/>
      <c r="I400" s="27"/>
      <c r="J400" s="27"/>
      <c r="K400" s="246" t="str">
        <f t="shared" si="124"/>
        <v/>
      </c>
      <c r="L400" s="246" t="str">
        <f t="shared" ref="L400:L463" si="134">IFERROR(D400*K400,"")</f>
        <v/>
      </c>
      <c r="M400" s="246" t="str">
        <f t="shared" si="125"/>
        <v/>
      </c>
      <c r="N400" s="246" t="str">
        <f t="shared" si="126"/>
        <v/>
      </c>
      <c r="O400" s="246" t="str">
        <f t="shared" si="127"/>
        <v/>
      </c>
      <c r="P400" s="246" t="str">
        <f t="shared" si="128"/>
        <v/>
      </c>
      <c r="Q400" s="246" t="str">
        <f t="shared" si="129"/>
        <v/>
      </c>
      <c r="R400" s="246" t="str">
        <f t="shared" si="130"/>
        <v/>
      </c>
      <c r="S400" s="108">
        <f t="shared" ref="S400:S415" si="135">B400*0.2</f>
        <v>0</v>
      </c>
      <c r="T400" s="28">
        <f t="shared" si="122"/>
        <v>0</v>
      </c>
      <c r="U400" s="247">
        <f t="shared" si="131"/>
        <v>0</v>
      </c>
      <c r="V400" s="36" t="e">
        <f t="shared" si="132"/>
        <v>#DIV/0!</v>
      </c>
      <c r="W400" s="36" t="e">
        <f t="shared" si="133"/>
        <v>#DIV/0!</v>
      </c>
      <c r="X400" s="63" t="e">
        <f t="shared" si="123"/>
        <v>#DIV/0!</v>
      </c>
    </row>
    <row r="401" spans="1:24">
      <c r="A401" s="26"/>
      <c r="B401" s="27"/>
      <c r="C401" s="27"/>
      <c r="D401" s="27"/>
      <c r="E401" s="27"/>
      <c r="F401" s="27"/>
      <c r="G401" s="27"/>
      <c r="H401" s="27"/>
      <c r="I401" s="27"/>
      <c r="J401" s="27"/>
      <c r="K401" s="246" t="str">
        <f t="shared" si="124"/>
        <v/>
      </c>
      <c r="L401" s="246" t="str">
        <f t="shared" si="134"/>
        <v/>
      </c>
      <c r="M401" s="246" t="str">
        <f t="shared" si="125"/>
        <v/>
      </c>
      <c r="N401" s="246" t="str">
        <f t="shared" si="126"/>
        <v/>
      </c>
      <c r="O401" s="246" t="str">
        <f t="shared" si="127"/>
        <v/>
      </c>
      <c r="P401" s="246" t="str">
        <f t="shared" si="128"/>
        <v/>
      </c>
      <c r="Q401" s="246" t="str">
        <f t="shared" si="129"/>
        <v/>
      </c>
      <c r="R401" s="246" t="str">
        <f t="shared" si="130"/>
        <v/>
      </c>
      <c r="S401" s="108">
        <f t="shared" si="135"/>
        <v>0</v>
      </c>
      <c r="T401" s="28">
        <f t="shared" si="122"/>
        <v>0</v>
      </c>
      <c r="U401" s="247">
        <f t="shared" si="131"/>
        <v>0</v>
      </c>
      <c r="V401" s="36" t="e">
        <f t="shared" si="132"/>
        <v>#DIV/0!</v>
      </c>
      <c r="W401" s="36" t="e">
        <f t="shared" si="133"/>
        <v>#DIV/0!</v>
      </c>
      <c r="X401" s="63" t="e">
        <f t="shared" si="123"/>
        <v>#DIV/0!</v>
      </c>
    </row>
    <row r="402" spans="1:24">
      <c r="A402" s="26"/>
      <c r="B402" s="27"/>
      <c r="C402" s="27"/>
      <c r="D402" s="27"/>
      <c r="E402" s="27"/>
      <c r="F402" s="27"/>
      <c r="G402" s="27"/>
      <c r="H402" s="27"/>
      <c r="I402" s="27"/>
      <c r="J402" s="27"/>
      <c r="K402" s="246" t="str">
        <f t="shared" si="124"/>
        <v/>
      </c>
      <c r="L402" s="246" t="str">
        <f t="shared" si="134"/>
        <v/>
      </c>
      <c r="M402" s="246" t="str">
        <f t="shared" si="125"/>
        <v/>
      </c>
      <c r="N402" s="246" t="str">
        <f t="shared" si="126"/>
        <v/>
      </c>
      <c r="O402" s="246" t="str">
        <f t="shared" si="127"/>
        <v/>
      </c>
      <c r="P402" s="246" t="str">
        <f t="shared" si="128"/>
        <v/>
      </c>
      <c r="Q402" s="246" t="str">
        <f t="shared" si="129"/>
        <v/>
      </c>
      <c r="R402" s="246" t="str">
        <f t="shared" si="130"/>
        <v/>
      </c>
      <c r="S402" s="108">
        <f t="shared" si="135"/>
        <v>0</v>
      </c>
      <c r="T402" s="28">
        <f t="shared" si="122"/>
        <v>0</v>
      </c>
      <c r="U402" s="247">
        <f t="shared" si="131"/>
        <v>0</v>
      </c>
      <c r="V402" s="36" t="e">
        <f t="shared" si="132"/>
        <v>#DIV/0!</v>
      </c>
      <c r="W402" s="36" t="e">
        <f t="shared" si="133"/>
        <v>#DIV/0!</v>
      </c>
      <c r="X402" s="63" t="e">
        <f t="shared" si="123"/>
        <v>#DIV/0!</v>
      </c>
    </row>
    <row r="403" spans="1:24">
      <c r="A403" s="26"/>
      <c r="B403" s="27"/>
      <c r="C403" s="27"/>
      <c r="D403" s="27"/>
      <c r="E403" s="27"/>
      <c r="F403" s="27"/>
      <c r="G403" s="27"/>
      <c r="H403" s="27"/>
      <c r="I403" s="27"/>
      <c r="J403" s="27"/>
      <c r="K403" s="246" t="str">
        <f t="shared" si="124"/>
        <v/>
      </c>
      <c r="L403" s="246" t="str">
        <f t="shared" si="134"/>
        <v/>
      </c>
      <c r="M403" s="246" t="str">
        <f t="shared" si="125"/>
        <v/>
      </c>
      <c r="N403" s="246" t="str">
        <f t="shared" si="126"/>
        <v/>
      </c>
      <c r="O403" s="246" t="str">
        <f t="shared" si="127"/>
        <v/>
      </c>
      <c r="P403" s="246" t="str">
        <f t="shared" si="128"/>
        <v/>
      </c>
      <c r="Q403" s="246" t="str">
        <f t="shared" si="129"/>
        <v/>
      </c>
      <c r="R403" s="246" t="str">
        <f t="shared" si="130"/>
        <v/>
      </c>
      <c r="S403" s="108">
        <f t="shared" si="135"/>
        <v>0</v>
      </c>
      <c r="T403" s="28">
        <f t="shared" si="122"/>
        <v>0</v>
      </c>
      <c r="U403" s="247">
        <f t="shared" si="131"/>
        <v>0</v>
      </c>
      <c r="V403" s="36" t="e">
        <f t="shared" si="132"/>
        <v>#DIV/0!</v>
      </c>
      <c r="W403" s="36" t="e">
        <f t="shared" si="133"/>
        <v>#DIV/0!</v>
      </c>
      <c r="X403" s="63" t="e">
        <f t="shared" si="123"/>
        <v>#DIV/0!</v>
      </c>
    </row>
    <row r="404" spans="1:24">
      <c r="A404" s="26"/>
      <c r="B404" s="27"/>
      <c r="C404" s="27"/>
      <c r="D404" s="27"/>
      <c r="E404" s="27"/>
      <c r="F404" s="27"/>
      <c r="G404" s="27"/>
      <c r="H404" s="27"/>
      <c r="I404" s="27"/>
      <c r="J404" s="27"/>
      <c r="K404" s="246" t="str">
        <f t="shared" si="124"/>
        <v/>
      </c>
      <c r="L404" s="246" t="str">
        <f t="shared" si="134"/>
        <v/>
      </c>
      <c r="M404" s="246" t="str">
        <f t="shared" si="125"/>
        <v/>
      </c>
      <c r="N404" s="246" t="str">
        <f t="shared" si="126"/>
        <v/>
      </c>
      <c r="O404" s="246" t="str">
        <f t="shared" si="127"/>
        <v/>
      </c>
      <c r="P404" s="246" t="str">
        <f t="shared" si="128"/>
        <v/>
      </c>
      <c r="Q404" s="246" t="str">
        <f t="shared" si="129"/>
        <v/>
      </c>
      <c r="R404" s="246" t="str">
        <f t="shared" si="130"/>
        <v/>
      </c>
      <c r="S404" s="108">
        <f t="shared" si="135"/>
        <v>0</v>
      </c>
      <c r="T404" s="28">
        <f t="shared" si="122"/>
        <v>0</v>
      </c>
      <c r="U404" s="247">
        <f t="shared" si="131"/>
        <v>0</v>
      </c>
      <c r="V404" s="36" t="e">
        <f t="shared" si="132"/>
        <v>#DIV/0!</v>
      </c>
      <c r="W404" s="36" t="e">
        <f t="shared" si="133"/>
        <v>#DIV/0!</v>
      </c>
      <c r="X404" s="63" t="e">
        <f t="shared" si="123"/>
        <v>#DIV/0!</v>
      </c>
    </row>
    <row r="405" spans="1:24">
      <c r="A405" s="26"/>
      <c r="B405" s="27"/>
      <c r="C405" s="27"/>
      <c r="D405" s="27"/>
      <c r="E405" s="27"/>
      <c r="F405" s="27"/>
      <c r="G405" s="27"/>
      <c r="H405" s="27"/>
      <c r="I405" s="27"/>
      <c r="J405" s="27"/>
      <c r="K405" s="246" t="str">
        <f t="shared" si="124"/>
        <v/>
      </c>
      <c r="L405" s="246" t="str">
        <f t="shared" si="134"/>
        <v/>
      </c>
      <c r="M405" s="246" t="str">
        <f t="shared" si="125"/>
        <v/>
      </c>
      <c r="N405" s="246" t="str">
        <f t="shared" si="126"/>
        <v/>
      </c>
      <c r="O405" s="246" t="str">
        <f t="shared" si="127"/>
        <v/>
      </c>
      <c r="P405" s="246" t="str">
        <f t="shared" si="128"/>
        <v/>
      </c>
      <c r="Q405" s="246" t="str">
        <f t="shared" si="129"/>
        <v/>
      </c>
      <c r="R405" s="246" t="str">
        <f t="shared" si="130"/>
        <v/>
      </c>
      <c r="S405" s="108">
        <f t="shared" si="135"/>
        <v>0</v>
      </c>
      <c r="T405" s="28">
        <f t="shared" si="122"/>
        <v>0</v>
      </c>
      <c r="U405" s="247">
        <f t="shared" si="131"/>
        <v>0</v>
      </c>
      <c r="V405" s="36" t="e">
        <f t="shared" si="132"/>
        <v>#DIV/0!</v>
      </c>
      <c r="W405" s="36" t="e">
        <f t="shared" si="133"/>
        <v>#DIV/0!</v>
      </c>
      <c r="X405" s="63" t="e">
        <f t="shared" si="123"/>
        <v>#DIV/0!</v>
      </c>
    </row>
    <row r="406" spans="1:24">
      <c r="A406" s="26"/>
      <c r="B406" s="27"/>
      <c r="C406" s="27"/>
      <c r="D406" s="27"/>
      <c r="E406" s="27"/>
      <c r="F406" s="27"/>
      <c r="G406" s="27"/>
      <c r="H406" s="27"/>
      <c r="I406" s="27"/>
      <c r="J406" s="27"/>
      <c r="K406" s="246" t="str">
        <f t="shared" si="124"/>
        <v/>
      </c>
      <c r="L406" s="246" t="str">
        <f t="shared" si="134"/>
        <v/>
      </c>
      <c r="M406" s="246" t="str">
        <f t="shared" si="125"/>
        <v/>
      </c>
      <c r="N406" s="246" t="str">
        <f t="shared" si="126"/>
        <v/>
      </c>
      <c r="O406" s="246" t="str">
        <f t="shared" si="127"/>
        <v/>
      </c>
      <c r="P406" s="246" t="str">
        <f t="shared" si="128"/>
        <v/>
      </c>
      <c r="Q406" s="246" t="str">
        <f t="shared" si="129"/>
        <v/>
      </c>
      <c r="R406" s="246" t="str">
        <f t="shared" si="130"/>
        <v/>
      </c>
      <c r="S406" s="108">
        <f t="shared" si="135"/>
        <v>0</v>
      </c>
      <c r="T406" s="28">
        <f t="shared" si="122"/>
        <v>0</v>
      </c>
      <c r="U406" s="247">
        <f t="shared" si="131"/>
        <v>0</v>
      </c>
      <c r="V406" s="36" t="e">
        <f t="shared" si="132"/>
        <v>#DIV/0!</v>
      </c>
      <c r="W406" s="36" t="e">
        <f t="shared" si="133"/>
        <v>#DIV/0!</v>
      </c>
      <c r="X406" s="63" t="e">
        <f t="shared" si="123"/>
        <v>#DIV/0!</v>
      </c>
    </row>
    <row r="407" spans="1:24">
      <c r="A407" s="26"/>
      <c r="B407" s="27"/>
      <c r="C407" s="27"/>
      <c r="D407" s="27"/>
      <c r="E407" s="27"/>
      <c r="F407" s="27"/>
      <c r="G407" s="27"/>
      <c r="H407" s="27"/>
      <c r="I407" s="27"/>
      <c r="J407" s="27"/>
      <c r="K407" s="246" t="str">
        <f t="shared" si="124"/>
        <v/>
      </c>
      <c r="L407" s="246" t="str">
        <f t="shared" si="134"/>
        <v/>
      </c>
      <c r="M407" s="246" t="str">
        <f t="shared" si="125"/>
        <v/>
      </c>
      <c r="N407" s="246" t="str">
        <f t="shared" si="126"/>
        <v/>
      </c>
      <c r="O407" s="246" t="str">
        <f t="shared" si="127"/>
        <v/>
      </c>
      <c r="P407" s="246" t="str">
        <f t="shared" si="128"/>
        <v/>
      </c>
      <c r="Q407" s="246" t="str">
        <f t="shared" si="129"/>
        <v/>
      </c>
      <c r="R407" s="246" t="str">
        <f t="shared" si="130"/>
        <v/>
      </c>
      <c r="S407" s="108">
        <f t="shared" si="135"/>
        <v>0</v>
      </c>
      <c r="T407" s="28">
        <f t="shared" si="122"/>
        <v>0</v>
      </c>
      <c r="U407" s="247">
        <f t="shared" si="131"/>
        <v>0</v>
      </c>
      <c r="V407" s="36" t="e">
        <f t="shared" si="132"/>
        <v>#DIV/0!</v>
      </c>
      <c r="W407" s="36" t="e">
        <f t="shared" si="133"/>
        <v>#DIV/0!</v>
      </c>
      <c r="X407" s="63" t="e">
        <f t="shared" si="123"/>
        <v>#DIV/0!</v>
      </c>
    </row>
    <row r="408" spans="1:24">
      <c r="A408" s="26"/>
      <c r="B408" s="27"/>
      <c r="C408" s="27"/>
      <c r="D408" s="27"/>
      <c r="E408" s="27"/>
      <c r="F408" s="27"/>
      <c r="G408" s="27"/>
      <c r="H408" s="27"/>
      <c r="I408" s="27"/>
      <c r="J408" s="27"/>
      <c r="K408" s="246" t="str">
        <f t="shared" si="124"/>
        <v/>
      </c>
      <c r="L408" s="246" t="str">
        <f t="shared" si="134"/>
        <v/>
      </c>
      <c r="M408" s="246" t="str">
        <f t="shared" si="125"/>
        <v/>
      </c>
      <c r="N408" s="246" t="str">
        <f t="shared" si="126"/>
        <v/>
      </c>
      <c r="O408" s="246" t="str">
        <f t="shared" si="127"/>
        <v/>
      </c>
      <c r="P408" s="246" t="str">
        <f t="shared" si="128"/>
        <v/>
      </c>
      <c r="Q408" s="246" t="str">
        <f t="shared" si="129"/>
        <v/>
      </c>
      <c r="R408" s="246" t="str">
        <f t="shared" si="130"/>
        <v/>
      </c>
      <c r="S408" s="108">
        <f t="shared" si="135"/>
        <v>0</v>
      </c>
      <c r="T408" s="28">
        <f t="shared" si="122"/>
        <v>0</v>
      </c>
      <c r="U408" s="247">
        <f t="shared" si="131"/>
        <v>0</v>
      </c>
      <c r="V408" s="36" t="e">
        <f t="shared" si="132"/>
        <v>#DIV/0!</v>
      </c>
      <c r="W408" s="36" t="e">
        <f t="shared" si="133"/>
        <v>#DIV/0!</v>
      </c>
      <c r="X408" s="63" t="e">
        <f t="shared" si="123"/>
        <v>#DIV/0!</v>
      </c>
    </row>
    <row r="409" spans="1:24">
      <c r="A409" s="26"/>
      <c r="B409" s="27"/>
      <c r="C409" s="27"/>
      <c r="D409" s="27"/>
      <c r="E409" s="27"/>
      <c r="F409" s="27"/>
      <c r="G409" s="27"/>
      <c r="H409" s="27"/>
      <c r="I409" s="27"/>
      <c r="J409" s="27"/>
      <c r="K409" s="246" t="str">
        <f t="shared" si="124"/>
        <v/>
      </c>
      <c r="L409" s="246" t="str">
        <f t="shared" si="134"/>
        <v/>
      </c>
      <c r="M409" s="246" t="str">
        <f t="shared" si="125"/>
        <v/>
      </c>
      <c r="N409" s="246" t="str">
        <f t="shared" si="126"/>
        <v/>
      </c>
      <c r="O409" s="246" t="str">
        <f t="shared" si="127"/>
        <v/>
      </c>
      <c r="P409" s="246" t="str">
        <f t="shared" si="128"/>
        <v/>
      </c>
      <c r="Q409" s="246" t="str">
        <f t="shared" si="129"/>
        <v/>
      </c>
      <c r="R409" s="246" t="str">
        <f t="shared" si="130"/>
        <v/>
      </c>
      <c r="S409" s="108">
        <f t="shared" si="135"/>
        <v>0</v>
      </c>
      <c r="T409" s="28">
        <f t="shared" si="122"/>
        <v>0</v>
      </c>
      <c r="U409" s="247">
        <f t="shared" si="131"/>
        <v>0</v>
      </c>
      <c r="V409" s="36" t="e">
        <f t="shared" si="132"/>
        <v>#DIV/0!</v>
      </c>
      <c r="W409" s="36" t="e">
        <f t="shared" si="133"/>
        <v>#DIV/0!</v>
      </c>
      <c r="X409" s="63" t="e">
        <f t="shared" si="123"/>
        <v>#DIV/0!</v>
      </c>
    </row>
    <row r="410" spans="1:24">
      <c r="A410" s="26"/>
      <c r="B410" s="27"/>
      <c r="C410" s="27"/>
      <c r="D410" s="27"/>
      <c r="E410" s="27"/>
      <c r="F410" s="27"/>
      <c r="G410" s="27"/>
      <c r="H410" s="27"/>
      <c r="I410" s="27"/>
      <c r="J410" s="27"/>
      <c r="K410" s="246" t="str">
        <f t="shared" si="124"/>
        <v/>
      </c>
      <c r="L410" s="246" t="str">
        <f t="shared" si="134"/>
        <v/>
      </c>
      <c r="M410" s="246" t="str">
        <f t="shared" si="125"/>
        <v/>
      </c>
      <c r="N410" s="246" t="str">
        <f t="shared" si="126"/>
        <v/>
      </c>
      <c r="O410" s="246" t="str">
        <f t="shared" si="127"/>
        <v/>
      </c>
      <c r="P410" s="246" t="str">
        <f t="shared" si="128"/>
        <v/>
      </c>
      <c r="Q410" s="246" t="str">
        <f t="shared" si="129"/>
        <v/>
      </c>
      <c r="R410" s="246" t="str">
        <f t="shared" si="130"/>
        <v/>
      </c>
      <c r="S410" s="108">
        <f t="shared" si="135"/>
        <v>0</v>
      </c>
      <c r="T410" s="28">
        <f t="shared" si="122"/>
        <v>0</v>
      </c>
      <c r="U410" s="247">
        <f t="shared" si="131"/>
        <v>0</v>
      </c>
      <c r="V410" s="36" t="e">
        <f t="shared" si="132"/>
        <v>#DIV/0!</v>
      </c>
      <c r="W410" s="36" t="e">
        <f t="shared" si="133"/>
        <v>#DIV/0!</v>
      </c>
      <c r="X410" s="63" t="e">
        <f t="shared" si="123"/>
        <v>#DIV/0!</v>
      </c>
    </row>
    <row r="411" spans="1:24">
      <c r="A411" s="26"/>
      <c r="B411" s="27"/>
      <c r="C411" s="27"/>
      <c r="D411" s="27"/>
      <c r="E411" s="27"/>
      <c r="F411" s="27"/>
      <c r="G411" s="27"/>
      <c r="H411" s="27"/>
      <c r="I411" s="27"/>
      <c r="J411" s="27"/>
      <c r="K411" s="246" t="str">
        <f t="shared" si="124"/>
        <v/>
      </c>
      <c r="L411" s="246" t="str">
        <f t="shared" si="134"/>
        <v/>
      </c>
      <c r="M411" s="246" t="str">
        <f t="shared" si="125"/>
        <v/>
      </c>
      <c r="N411" s="246" t="str">
        <f t="shared" si="126"/>
        <v/>
      </c>
      <c r="O411" s="246" t="str">
        <f t="shared" si="127"/>
        <v/>
      </c>
      <c r="P411" s="246" t="str">
        <f t="shared" si="128"/>
        <v/>
      </c>
      <c r="Q411" s="246" t="str">
        <f t="shared" si="129"/>
        <v/>
      </c>
      <c r="R411" s="246" t="str">
        <f t="shared" si="130"/>
        <v/>
      </c>
      <c r="S411" s="108">
        <f t="shared" si="135"/>
        <v>0</v>
      </c>
      <c r="T411" s="28">
        <f t="shared" si="122"/>
        <v>0</v>
      </c>
      <c r="U411" s="247">
        <f t="shared" si="131"/>
        <v>0</v>
      </c>
      <c r="V411" s="36" t="e">
        <f t="shared" si="132"/>
        <v>#DIV/0!</v>
      </c>
      <c r="W411" s="36" t="e">
        <f t="shared" si="133"/>
        <v>#DIV/0!</v>
      </c>
      <c r="X411" s="63" t="e">
        <f t="shared" si="123"/>
        <v>#DIV/0!</v>
      </c>
    </row>
    <row r="412" spans="1:24">
      <c r="A412" s="26"/>
      <c r="B412" s="27"/>
      <c r="C412" s="27"/>
      <c r="D412" s="27"/>
      <c r="E412" s="27"/>
      <c r="F412" s="27"/>
      <c r="G412" s="27"/>
      <c r="H412" s="27"/>
      <c r="I412" s="27"/>
      <c r="J412" s="27"/>
      <c r="K412" s="246" t="str">
        <f t="shared" si="124"/>
        <v/>
      </c>
      <c r="L412" s="246" t="str">
        <f t="shared" si="134"/>
        <v/>
      </c>
      <c r="M412" s="246" t="str">
        <f t="shared" si="125"/>
        <v/>
      </c>
      <c r="N412" s="246" t="str">
        <f t="shared" si="126"/>
        <v/>
      </c>
      <c r="O412" s="246" t="str">
        <f t="shared" si="127"/>
        <v/>
      </c>
      <c r="P412" s="246" t="str">
        <f t="shared" si="128"/>
        <v/>
      </c>
      <c r="Q412" s="246" t="str">
        <f t="shared" si="129"/>
        <v/>
      </c>
      <c r="R412" s="246" t="str">
        <f t="shared" si="130"/>
        <v/>
      </c>
      <c r="S412" s="108">
        <f t="shared" si="135"/>
        <v>0</v>
      </c>
      <c r="T412" s="28">
        <f t="shared" si="122"/>
        <v>0</v>
      </c>
      <c r="U412" s="247">
        <f t="shared" si="131"/>
        <v>0</v>
      </c>
      <c r="V412" s="36" t="e">
        <f t="shared" si="132"/>
        <v>#DIV/0!</v>
      </c>
      <c r="W412" s="36" t="e">
        <f t="shared" si="133"/>
        <v>#DIV/0!</v>
      </c>
      <c r="X412" s="63" t="e">
        <f t="shared" si="123"/>
        <v>#DIV/0!</v>
      </c>
    </row>
    <row r="413" spans="1:24">
      <c r="A413" s="26"/>
      <c r="B413" s="27"/>
      <c r="C413" s="27"/>
      <c r="D413" s="27"/>
      <c r="E413" s="27"/>
      <c r="F413" s="27"/>
      <c r="G413" s="27"/>
      <c r="H413" s="27"/>
      <c r="I413" s="27"/>
      <c r="J413" s="27"/>
      <c r="K413" s="246" t="str">
        <f t="shared" si="124"/>
        <v/>
      </c>
      <c r="L413" s="246" t="str">
        <f t="shared" si="134"/>
        <v/>
      </c>
      <c r="M413" s="246" t="str">
        <f t="shared" si="125"/>
        <v/>
      </c>
      <c r="N413" s="246" t="str">
        <f t="shared" si="126"/>
        <v/>
      </c>
      <c r="O413" s="246" t="str">
        <f t="shared" si="127"/>
        <v/>
      </c>
      <c r="P413" s="246" t="str">
        <f t="shared" si="128"/>
        <v/>
      </c>
      <c r="Q413" s="246" t="str">
        <f t="shared" si="129"/>
        <v/>
      </c>
      <c r="R413" s="246" t="str">
        <f t="shared" si="130"/>
        <v/>
      </c>
      <c r="S413" s="108">
        <f t="shared" si="135"/>
        <v>0</v>
      </c>
      <c r="T413" s="28">
        <f t="shared" si="122"/>
        <v>0</v>
      </c>
      <c r="U413" s="247">
        <f t="shared" si="131"/>
        <v>0</v>
      </c>
      <c r="V413" s="36" t="e">
        <f t="shared" si="132"/>
        <v>#DIV/0!</v>
      </c>
      <c r="W413" s="36" t="e">
        <f t="shared" si="133"/>
        <v>#DIV/0!</v>
      </c>
      <c r="X413" s="63" t="e">
        <f t="shared" si="123"/>
        <v>#DIV/0!</v>
      </c>
    </row>
    <row r="414" spans="1:24">
      <c r="A414" s="26"/>
      <c r="B414" s="27"/>
      <c r="C414" s="27"/>
      <c r="D414" s="27"/>
      <c r="E414" s="27"/>
      <c r="F414" s="27"/>
      <c r="G414" s="27"/>
      <c r="H414" s="27"/>
      <c r="I414" s="27"/>
      <c r="J414" s="27"/>
      <c r="K414" s="246" t="str">
        <f t="shared" si="124"/>
        <v/>
      </c>
      <c r="L414" s="246" t="str">
        <f t="shared" si="134"/>
        <v/>
      </c>
      <c r="M414" s="246" t="str">
        <f t="shared" si="125"/>
        <v/>
      </c>
      <c r="N414" s="246" t="str">
        <f t="shared" si="126"/>
        <v/>
      </c>
      <c r="O414" s="246" t="str">
        <f t="shared" si="127"/>
        <v/>
      </c>
      <c r="P414" s="246" t="str">
        <f t="shared" si="128"/>
        <v/>
      </c>
      <c r="Q414" s="246" t="str">
        <f t="shared" si="129"/>
        <v/>
      </c>
      <c r="R414" s="246" t="str">
        <f t="shared" si="130"/>
        <v/>
      </c>
      <c r="S414" s="108">
        <f t="shared" si="135"/>
        <v>0</v>
      </c>
      <c r="T414" s="28">
        <f t="shared" si="122"/>
        <v>0</v>
      </c>
      <c r="U414" s="247">
        <f t="shared" si="131"/>
        <v>0</v>
      </c>
      <c r="V414" s="36" t="e">
        <f t="shared" si="132"/>
        <v>#DIV/0!</v>
      </c>
      <c r="W414" s="36" t="e">
        <f t="shared" si="133"/>
        <v>#DIV/0!</v>
      </c>
      <c r="X414" s="63" t="e">
        <f t="shared" si="123"/>
        <v>#DIV/0!</v>
      </c>
    </row>
    <row r="415" spans="1:24">
      <c r="A415" s="26"/>
      <c r="B415" s="27"/>
      <c r="C415" s="27"/>
      <c r="D415" s="27"/>
      <c r="E415" s="27"/>
      <c r="F415" s="27"/>
      <c r="G415" s="27"/>
      <c r="H415" s="27"/>
      <c r="I415" s="27"/>
      <c r="J415" s="27"/>
      <c r="K415" s="246" t="str">
        <f t="shared" si="124"/>
        <v/>
      </c>
      <c r="L415" s="246" t="str">
        <f t="shared" si="134"/>
        <v/>
      </c>
      <c r="M415" s="246" t="str">
        <f t="shared" si="125"/>
        <v/>
      </c>
      <c r="N415" s="246" t="str">
        <f t="shared" si="126"/>
        <v/>
      </c>
      <c r="O415" s="246" t="str">
        <f t="shared" si="127"/>
        <v/>
      </c>
      <c r="P415" s="246" t="str">
        <f t="shared" si="128"/>
        <v/>
      </c>
      <c r="Q415" s="246" t="str">
        <f t="shared" si="129"/>
        <v/>
      </c>
      <c r="R415" s="246" t="str">
        <f t="shared" si="130"/>
        <v/>
      </c>
      <c r="S415" s="108">
        <f t="shared" si="135"/>
        <v>0</v>
      </c>
      <c r="T415" s="28">
        <f t="shared" si="122"/>
        <v>0</v>
      </c>
      <c r="U415" s="247">
        <f t="shared" si="131"/>
        <v>0</v>
      </c>
      <c r="V415" s="36" t="e">
        <f t="shared" si="132"/>
        <v>#DIV/0!</v>
      </c>
      <c r="W415" s="36" t="e">
        <f t="shared" si="133"/>
        <v>#DIV/0!</v>
      </c>
      <c r="X415" s="63" t="e">
        <f t="shared" si="123"/>
        <v>#DIV/0!</v>
      </c>
    </row>
    <row r="416" spans="1:24">
      <c r="A416" s="26"/>
      <c r="B416" s="27"/>
      <c r="C416" s="27"/>
      <c r="D416" s="27"/>
      <c r="E416" s="27"/>
      <c r="F416" s="27"/>
      <c r="G416" s="27"/>
      <c r="H416" s="27"/>
      <c r="I416" s="27"/>
      <c r="J416" s="27"/>
      <c r="K416" s="246" t="str">
        <f t="shared" si="124"/>
        <v/>
      </c>
      <c r="L416" s="246" t="str">
        <f t="shared" si="134"/>
        <v/>
      </c>
      <c r="M416" s="246" t="str">
        <f t="shared" si="125"/>
        <v/>
      </c>
      <c r="N416" s="246" t="str">
        <f t="shared" si="126"/>
        <v/>
      </c>
      <c r="O416" s="246" t="str">
        <f t="shared" si="127"/>
        <v/>
      </c>
      <c r="P416" s="246" t="str">
        <f t="shared" si="128"/>
        <v/>
      </c>
      <c r="Q416" s="246" t="str">
        <f t="shared" si="129"/>
        <v/>
      </c>
      <c r="R416" s="246" t="str">
        <f t="shared" si="130"/>
        <v/>
      </c>
      <c r="S416" s="108">
        <f t="shared" ref="S416:S458" si="136">B416*0.2</f>
        <v>0</v>
      </c>
      <c r="T416" s="28">
        <f t="shared" si="122"/>
        <v>0</v>
      </c>
      <c r="U416" s="247">
        <f t="shared" si="131"/>
        <v>0</v>
      </c>
      <c r="V416" s="36" t="e">
        <f t="shared" si="132"/>
        <v>#DIV/0!</v>
      </c>
      <c r="W416" s="36" t="e">
        <f t="shared" si="133"/>
        <v>#DIV/0!</v>
      </c>
      <c r="X416" s="63" t="e">
        <f t="shared" si="123"/>
        <v>#DIV/0!</v>
      </c>
    </row>
    <row r="417" spans="1:24">
      <c r="A417" s="26"/>
      <c r="B417" s="27"/>
      <c r="C417" s="27"/>
      <c r="D417" s="27"/>
      <c r="E417" s="27"/>
      <c r="F417" s="27"/>
      <c r="G417" s="27"/>
      <c r="H417" s="27"/>
      <c r="I417" s="27"/>
      <c r="J417" s="27"/>
      <c r="K417" s="246" t="str">
        <f t="shared" si="124"/>
        <v/>
      </c>
      <c r="L417" s="246" t="str">
        <f t="shared" si="134"/>
        <v/>
      </c>
      <c r="M417" s="246" t="str">
        <f t="shared" si="125"/>
        <v/>
      </c>
      <c r="N417" s="246" t="str">
        <f t="shared" si="126"/>
        <v/>
      </c>
      <c r="O417" s="246" t="str">
        <f t="shared" si="127"/>
        <v/>
      </c>
      <c r="P417" s="246" t="str">
        <f t="shared" si="128"/>
        <v/>
      </c>
      <c r="Q417" s="246" t="str">
        <f t="shared" si="129"/>
        <v/>
      </c>
      <c r="R417" s="246" t="str">
        <f t="shared" si="130"/>
        <v/>
      </c>
      <c r="S417" s="108">
        <f t="shared" si="136"/>
        <v>0</v>
      </c>
      <c r="T417" s="28">
        <f t="shared" si="122"/>
        <v>0</v>
      </c>
      <c r="U417" s="247">
        <f t="shared" si="131"/>
        <v>0</v>
      </c>
      <c r="V417" s="36" t="e">
        <f t="shared" si="132"/>
        <v>#DIV/0!</v>
      </c>
      <c r="W417" s="36" t="e">
        <f t="shared" si="133"/>
        <v>#DIV/0!</v>
      </c>
      <c r="X417" s="63" t="e">
        <f t="shared" si="123"/>
        <v>#DIV/0!</v>
      </c>
    </row>
    <row r="418" spans="1:24">
      <c r="A418" s="26"/>
      <c r="B418" s="27"/>
      <c r="C418" s="27"/>
      <c r="D418" s="27"/>
      <c r="E418" s="27"/>
      <c r="F418" s="27"/>
      <c r="G418" s="27"/>
      <c r="H418" s="27"/>
      <c r="I418" s="27"/>
      <c r="J418" s="27"/>
      <c r="K418" s="246" t="str">
        <f t="shared" si="124"/>
        <v/>
      </c>
      <c r="L418" s="246" t="str">
        <f t="shared" si="134"/>
        <v/>
      </c>
      <c r="M418" s="246" t="str">
        <f t="shared" si="125"/>
        <v/>
      </c>
      <c r="N418" s="246" t="str">
        <f t="shared" si="126"/>
        <v/>
      </c>
      <c r="O418" s="246" t="str">
        <f t="shared" si="127"/>
        <v/>
      </c>
      <c r="P418" s="246" t="str">
        <f t="shared" si="128"/>
        <v/>
      </c>
      <c r="Q418" s="246" t="str">
        <f t="shared" si="129"/>
        <v/>
      </c>
      <c r="R418" s="246" t="str">
        <f t="shared" si="130"/>
        <v/>
      </c>
      <c r="S418" s="108">
        <f t="shared" si="136"/>
        <v>0</v>
      </c>
      <c r="T418" s="28">
        <f t="shared" si="122"/>
        <v>0</v>
      </c>
      <c r="U418" s="247">
        <f t="shared" si="131"/>
        <v>0</v>
      </c>
      <c r="V418" s="36" t="e">
        <f t="shared" si="132"/>
        <v>#DIV/0!</v>
      </c>
      <c r="W418" s="36" t="e">
        <f t="shared" si="133"/>
        <v>#DIV/0!</v>
      </c>
      <c r="X418" s="63" t="e">
        <f t="shared" si="123"/>
        <v>#DIV/0!</v>
      </c>
    </row>
    <row r="419" spans="1:24">
      <c r="A419" s="26"/>
      <c r="B419" s="27"/>
      <c r="C419" s="27"/>
      <c r="D419" s="27"/>
      <c r="E419" s="27"/>
      <c r="F419" s="27"/>
      <c r="G419" s="27"/>
      <c r="H419" s="27"/>
      <c r="I419" s="27"/>
      <c r="J419" s="27"/>
      <c r="K419" s="246" t="str">
        <f t="shared" si="124"/>
        <v/>
      </c>
      <c r="L419" s="246" t="str">
        <f t="shared" si="134"/>
        <v/>
      </c>
      <c r="M419" s="246" t="str">
        <f t="shared" si="125"/>
        <v/>
      </c>
      <c r="N419" s="246" t="str">
        <f t="shared" si="126"/>
        <v/>
      </c>
      <c r="O419" s="246" t="str">
        <f t="shared" si="127"/>
        <v/>
      </c>
      <c r="P419" s="246" t="str">
        <f t="shared" si="128"/>
        <v/>
      </c>
      <c r="Q419" s="246" t="str">
        <f t="shared" si="129"/>
        <v/>
      </c>
      <c r="R419" s="246" t="str">
        <f t="shared" si="130"/>
        <v/>
      </c>
      <c r="S419" s="108">
        <f t="shared" si="136"/>
        <v>0</v>
      </c>
      <c r="T419" s="28">
        <f t="shared" si="122"/>
        <v>0</v>
      </c>
      <c r="U419" s="247">
        <f t="shared" si="131"/>
        <v>0</v>
      </c>
      <c r="V419" s="36" t="e">
        <f t="shared" si="132"/>
        <v>#DIV/0!</v>
      </c>
      <c r="W419" s="36" t="e">
        <f t="shared" si="133"/>
        <v>#DIV/0!</v>
      </c>
      <c r="X419" s="63" t="e">
        <f t="shared" si="123"/>
        <v>#DIV/0!</v>
      </c>
    </row>
    <row r="420" spans="1:24">
      <c r="A420" s="26"/>
      <c r="B420" s="27"/>
      <c r="C420" s="27"/>
      <c r="D420" s="27"/>
      <c r="E420" s="27"/>
      <c r="F420" s="27"/>
      <c r="G420" s="27"/>
      <c r="H420" s="27"/>
      <c r="I420" s="27"/>
      <c r="J420" s="27"/>
      <c r="K420" s="246" t="str">
        <f t="shared" si="124"/>
        <v/>
      </c>
      <c r="L420" s="246" t="str">
        <f t="shared" si="134"/>
        <v/>
      </c>
      <c r="M420" s="246" t="str">
        <f t="shared" si="125"/>
        <v/>
      </c>
      <c r="N420" s="246" t="str">
        <f t="shared" si="126"/>
        <v/>
      </c>
      <c r="O420" s="246" t="str">
        <f t="shared" si="127"/>
        <v/>
      </c>
      <c r="P420" s="246" t="str">
        <f t="shared" si="128"/>
        <v/>
      </c>
      <c r="Q420" s="246" t="str">
        <f t="shared" si="129"/>
        <v/>
      </c>
      <c r="R420" s="246" t="str">
        <f t="shared" si="130"/>
        <v/>
      </c>
      <c r="S420" s="108">
        <f t="shared" si="136"/>
        <v>0</v>
      </c>
      <c r="T420" s="28">
        <f t="shared" si="122"/>
        <v>0</v>
      </c>
      <c r="U420" s="247">
        <f t="shared" si="131"/>
        <v>0</v>
      </c>
      <c r="V420" s="36" t="e">
        <f t="shared" si="132"/>
        <v>#DIV/0!</v>
      </c>
      <c r="W420" s="36" t="e">
        <f t="shared" si="133"/>
        <v>#DIV/0!</v>
      </c>
      <c r="X420" s="63" t="e">
        <f t="shared" si="123"/>
        <v>#DIV/0!</v>
      </c>
    </row>
    <row r="421" spans="1:24">
      <c r="A421" s="26"/>
      <c r="B421" s="27"/>
      <c r="C421" s="27"/>
      <c r="D421" s="27"/>
      <c r="E421" s="27"/>
      <c r="F421" s="27"/>
      <c r="G421" s="27"/>
      <c r="H421" s="27"/>
      <c r="I421" s="27"/>
      <c r="J421" s="27"/>
      <c r="K421" s="246" t="str">
        <f t="shared" si="124"/>
        <v/>
      </c>
      <c r="L421" s="246" t="str">
        <f t="shared" si="134"/>
        <v/>
      </c>
      <c r="M421" s="246" t="str">
        <f t="shared" si="125"/>
        <v/>
      </c>
      <c r="N421" s="246" t="str">
        <f t="shared" si="126"/>
        <v/>
      </c>
      <c r="O421" s="246" t="str">
        <f t="shared" si="127"/>
        <v/>
      </c>
      <c r="P421" s="246" t="str">
        <f t="shared" si="128"/>
        <v/>
      </c>
      <c r="Q421" s="246" t="str">
        <f t="shared" si="129"/>
        <v/>
      </c>
      <c r="R421" s="246" t="str">
        <f t="shared" si="130"/>
        <v/>
      </c>
      <c r="S421" s="108">
        <f t="shared" si="136"/>
        <v>0</v>
      </c>
      <c r="T421" s="28">
        <f t="shared" si="122"/>
        <v>0</v>
      </c>
      <c r="U421" s="247">
        <f t="shared" si="131"/>
        <v>0</v>
      </c>
      <c r="V421" s="36" t="e">
        <f t="shared" si="132"/>
        <v>#DIV/0!</v>
      </c>
      <c r="W421" s="36" t="e">
        <f t="shared" si="133"/>
        <v>#DIV/0!</v>
      </c>
      <c r="X421" s="63" t="e">
        <f t="shared" si="123"/>
        <v>#DIV/0!</v>
      </c>
    </row>
    <row r="422" spans="1:24">
      <c r="A422" s="26"/>
      <c r="B422" s="27"/>
      <c r="C422" s="27"/>
      <c r="D422" s="27"/>
      <c r="E422" s="27"/>
      <c r="F422" s="27"/>
      <c r="G422" s="27"/>
      <c r="H422" s="27"/>
      <c r="I422" s="27"/>
      <c r="J422" s="27"/>
      <c r="K422" s="246" t="str">
        <f t="shared" si="124"/>
        <v/>
      </c>
      <c r="L422" s="246" t="str">
        <f t="shared" si="134"/>
        <v/>
      </c>
      <c r="M422" s="246" t="str">
        <f t="shared" si="125"/>
        <v/>
      </c>
      <c r="N422" s="246" t="str">
        <f t="shared" si="126"/>
        <v/>
      </c>
      <c r="O422" s="246" t="str">
        <f t="shared" si="127"/>
        <v/>
      </c>
      <c r="P422" s="246" t="str">
        <f t="shared" si="128"/>
        <v/>
      </c>
      <c r="Q422" s="246" t="str">
        <f t="shared" si="129"/>
        <v/>
      </c>
      <c r="R422" s="246" t="str">
        <f t="shared" si="130"/>
        <v/>
      </c>
      <c r="S422" s="108">
        <f t="shared" si="136"/>
        <v>0</v>
      </c>
      <c r="T422" s="28">
        <f t="shared" si="122"/>
        <v>0</v>
      </c>
      <c r="U422" s="247">
        <f t="shared" si="131"/>
        <v>0</v>
      </c>
      <c r="V422" s="36" t="e">
        <f t="shared" si="132"/>
        <v>#DIV/0!</v>
      </c>
      <c r="W422" s="36" t="e">
        <f t="shared" si="133"/>
        <v>#DIV/0!</v>
      </c>
      <c r="X422" s="63" t="e">
        <f t="shared" si="123"/>
        <v>#DIV/0!</v>
      </c>
    </row>
    <row r="423" spans="1:24">
      <c r="A423" s="26"/>
      <c r="B423" s="27"/>
      <c r="C423" s="27"/>
      <c r="D423" s="27"/>
      <c r="E423" s="27"/>
      <c r="F423" s="27"/>
      <c r="G423" s="27"/>
      <c r="H423" s="27"/>
      <c r="I423" s="27"/>
      <c r="J423" s="27"/>
      <c r="K423" s="246" t="str">
        <f t="shared" si="124"/>
        <v/>
      </c>
      <c r="L423" s="246" t="str">
        <f t="shared" si="134"/>
        <v/>
      </c>
      <c r="M423" s="246" t="str">
        <f t="shared" si="125"/>
        <v/>
      </c>
      <c r="N423" s="246" t="str">
        <f t="shared" si="126"/>
        <v/>
      </c>
      <c r="O423" s="246" t="str">
        <f t="shared" si="127"/>
        <v/>
      </c>
      <c r="P423" s="246" t="str">
        <f t="shared" si="128"/>
        <v/>
      </c>
      <c r="Q423" s="246" t="str">
        <f t="shared" si="129"/>
        <v/>
      </c>
      <c r="R423" s="246" t="str">
        <f t="shared" si="130"/>
        <v/>
      </c>
      <c r="S423" s="108">
        <f t="shared" si="136"/>
        <v>0</v>
      </c>
      <c r="T423" s="28">
        <f t="shared" si="122"/>
        <v>0</v>
      </c>
      <c r="U423" s="247">
        <f t="shared" si="131"/>
        <v>0</v>
      </c>
      <c r="V423" s="36" t="e">
        <f t="shared" si="132"/>
        <v>#DIV/0!</v>
      </c>
      <c r="W423" s="36" t="e">
        <f t="shared" si="133"/>
        <v>#DIV/0!</v>
      </c>
      <c r="X423" s="63" t="e">
        <f t="shared" si="123"/>
        <v>#DIV/0!</v>
      </c>
    </row>
    <row r="424" spans="1:24">
      <c r="A424" s="26"/>
      <c r="B424" s="27"/>
      <c r="C424" s="27"/>
      <c r="D424" s="27"/>
      <c r="E424" s="27"/>
      <c r="F424" s="27"/>
      <c r="G424" s="27"/>
      <c r="H424" s="27"/>
      <c r="I424" s="27"/>
      <c r="J424" s="27"/>
      <c r="K424" s="246" t="str">
        <f t="shared" si="124"/>
        <v/>
      </c>
      <c r="L424" s="246" t="str">
        <f t="shared" si="134"/>
        <v/>
      </c>
      <c r="M424" s="246" t="str">
        <f t="shared" si="125"/>
        <v/>
      </c>
      <c r="N424" s="246" t="str">
        <f t="shared" si="126"/>
        <v/>
      </c>
      <c r="O424" s="246" t="str">
        <f t="shared" si="127"/>
        <v/>
      </c>
      <c r="P424" s="246" t="str">
        <f t="shared" si="128"/>
        <v/>
      </c>
      <c r="Q424" s="246" t="str">
        <f t="shared" si="129"/>
        <v/>
      </c>
      <c r="R424" s="246" t="str">
        <f t="shared" si="130"/>
        <v/>
      </c>
      <c r="S424" s="108">
        <f t="shared" si="136"/>
        <v>0</v>
      </c>
      <c r="T424" s="28">
        <f t="shared" si="122"/>
        <v>0</v>
      </c>
      <c r="U424" s="247">
        <f t="shared" si="131"/>
        <v>0</v>
      </c>
      <c r="V424" s="36" t="e">
        <f t="shared" si="132"/>
        <v>#DIV/0!</v>
      </c>
      <c r="W424" s="36" t="e">
        <f t="shared" si="133"/>
        <v>#DIV/0!</v>
      </c>
      <c r="X424" s="63" t="e">
        <f t="shared" si="123"/>
        <v>#DIV/0!</v>
      </c>
    </row>
    <row r="425" spans="1:24">
      <c r="A425" s="26"/>
      <c r="B425" s="27"/>
      <c r="C425" s="27"/>
      <c r="D425" s="27"/>
      <c r="E425" s="27"/>
      <c r="F425" s="27"/>
      <c r="G425" s="27"/>
      <c r="H425" s="27"/>
      <c r="I425" s="27"/>
      <c r="J425" s="27"/>
      <c r="K425" s="246" t="str">
        <f t="shared" si="124"/>
        <v/>
      </c>
      <c r="L425" s="246" t="str">
        <f t="shared" si="134"/>
        <v/>
      </c>
      <c r="M425" s="246" t="str">
        <f t="shared" si="125"/>
        <v/>
      </c>
      <c r="N425" s="246" t="str">
        <f t="shared" si="126"/>
        <v/>
      </c>
      <c r="O425" s="246" t="str">
        <f t="shared" si="127"/>
        <v/>
      </c>
      <c r="P425" s="246" t="str">
        <f t="shared" si="128"/>
        <v/>
      </c>
      <c r="Q425" s="246" t="str">
        <f t="shared" si="129"/>
        <v/>
      </c>
      <c r="R425" s="246" t="str">
        <f t="shared" si="130"/>
        <v/>
      </c>
      <c r="S425" s="108">
        <f t="shared" si="136"/>
        <v>0</v>
      </c>
      <c r="T425" s="28">
        <f t="shared" si="122"/>
        <v>0</v>
      </c>
      <c r="U425" s="247">
        <f t="shared" si="131"/>
        <v>0</v>
      </c>
      <c r="V425" s="36" t="e">
        <f t="shared" si="132"/>
        <v>#DIV/0!</v>
      </c>
      <c r="W425" s="36" t="e">
        <f t="shared" si="133"/>
        <v>#DIV/0!</v>
      </c>
      <c r="X425" s="63" t="e">
        <f t="shared" si="123"/>
        <v>#DIV/0!</v>
      </c>
    </row>
    <row r="426" spans="1:24">
      <c r="A426" s="26"/>
      <c r="B426" s="27"/>
      <c r="C426" s="27"/>
      <c r="D426" s="27"/>
      <c r="E426" s="27"/>
      <c r="F426" s="27"/>
      <c r="G426" s="27"/>
      <c r="H426" s="27"/>
      <c r="I426" s="27"/>
      <c r="J426" s="27"/>
      <c r="K426" s="246" t="str">
        <f t="shared" si="124"/>
        <v/>
      </c>
      <c r="L426" s="246" t="str">
        <f t="shared" si="134"/>
        <v/>
      </c>
      <c r="M426" s="246" t="str">
        <f t="shared" si="125"/>
        <v/>
      </c>
      <c r="N426" s="246" t="str">
        <f t="shared" si="126"/>
        <v/>
      </c>
      <c r="O426" s="246" t="str">
        <f t="shared" si="127"/>
        <v/>
      </c>
      <c r="P426" s="246" t="str">
        <f t="shared" si="128"/>
        <v/>
      </c>
      <c r="Q426" s="246" t="str">
        <f t="shared" si="129"/>
        <v/>
      </c>
      <c r="R426" s="246" t="str">
        <f t="shared" si="130"/>
        <v/>
      </c>
      <c r="S426" s="108">
        <f t="shared" si="136"/>
        <v>0</v>
      </c>
      <c r="T426" s="28">
        <f t="shared" si="122"/>
        <v>0</v>
      </c>
      <c r="U426" s="247">
        <f t="shared" si="131"/>
        <v>0</v>
      </c>
      <c r="V426" s="36" t="e">
        <f t="shared" si="132"/>
        <v>#DIV/0!</v>
      </c>
      <c r="W426" s="36" t="e">
        <f t="shared" si="133"/>
        <v>#DIV/0!</v>
      </c>
      <c r="X426" s="63" t="e">
        <f t="shared" si="123"/>
        <v>#DIV/0!</v>
      </c>
    </row>
    <row r="427" spans="1:24">
      <c r="A427" s="26"/>
      <c r="B427" s="27"/>
      <c r="C427" s="27"/>
      <c r="D427" s="27"/>
      <c r="E427" s="27"/>
      <c r="F427" s="27"/>
      <c r="G427" s="27"/>
      <c r="H427" s="27"/>
      <c r="I427" s="27"/>
      <c r="J427" s="27"/>
      <c r="K427" s="246" t="str">
        <f t="shared" si="124"/>
        <v/>
      </c>
      <c r="L427" s="246" t="str">
        <f t="shared" si="134"/>
        <v/>
      </c>
      <c r="M427" s="246" t="str">
        <f t="shared" si="125"/>
        <v/>
      </c>
      <c r="N427" s="246" t="str">
        <f t="shared" si="126"/>
        <v/>
      </c>
      <c r="O427" s="246" t="str">
        <f t="shared" si="127"/>
        <v/>
      </c>
      <c r="P427" s="246" t="str">
        <f t="shared" si="128"/>
        <v/>
      </c>
      <c r="Q427" s="246" t="str">
        <f t="shared" si="129"/>
        <v/>
      </c>
      <c r="R427" s="246" t="str">
        <f t="shared" si="130"/>
        <v/>
      </c>
      <c r="S427" s="108">
        <f t="shared" si="136"/>
        <v>0</v>
      </c>
      <c r="T427" s="28">
        <f t="shared" si="122"/>
        <v>0</v>
      </c>
      <c r="U427" s="247">
        <f t="shared" si="131"/>
        <v>0</v>
      </c>
      <c r="V427" s="36" t="e">
        <f t="shared" si="132"/>
        <v>#DIV/0!</v>
      </c>
      <c r="W427" s="36" t="e">
        <f t="shared" si="133"/>
        <v>#DIV/0!</v>
      </c>
      <c r="X427" s="63" t="e">
        <f t="shared" si="123"/>
        <v>#DIV/0!</v>
      </c>
    </row>
    <row r="428" spans="1:24">
      <c r="A428" s="26"/>
      <c r="B428" s="27"/>
      <c r="C428" s="27"/>
      <c r="D428" s="27"/>
      <c r="E428" s="27"/>
      <c r="F428" s="27"/>
      <c r="G428" s="27"/>
      <c r="H428" s="27"/>
      <c r="I428" s="27"/>
      <c r="J428" s="27"/>
      <c r="K428" s="246" t="str">
        <f t="shared" si="124"/>
        <v/>
      </c>
      <c r="L428" s="246" t="str">
        <f t="shared" si="134"/>
        <v/>
      </c>
      <c r="M428" s="246" t="str">
        <f t="shared" si="125"/>
        <v/>
      </c>
      <c r="N428" s="246" t="str">
        <f t="shared" si="126"/>
        <v/>
      </c>
      <c r="O428" s="246" t="str">
        <f t="shared" si="127"/>
        <v/>
      </c>
      <c r="P428" s="246" t="str">
        <f t="shared" si="128"/>
        <v/>
      </c>
      <c r="Q428" s="23" t="str">
        <f t="shared" ref="Q428:Q457" si="137">IF(I428="","",VLOOKUP(I428,成本单价,8,0))</f>
        <v/>
      </c>
      <c r="R428" s="246" t="str">
        <f t="shared" si="130"/>
        <v/>
      </c>
      <c r="S428" s="108">
        <f t="shared" si="136"/>
        <v>0</v>
      </c>
      <c r="T428" s="28">
        <f t="shared" si="122"/>
        <v>0</v>
      </c>
      <c r="U428" s="247">
        <f t="shared" si="131"/>
        <v>0</v>
      </c>
      <c r="V428" s="36" t="e">
        <f t="shared" si="132"/>
        <v>#DIV/0!</v>
      </c>
      <c r="W428" s="36" t="e">
        <f t="shared" si="133"/>
        <v>#DIV/0!</v>
      </c>
      <c r="X428" s="63" t="e">
        <f t="shared" si="123"/>
        <v>#DIV/0!</v>
      </c>
    </row>
    <row r="429" spans="1:24">
      <c r="A429" s="26"/>
      <c r="B429" s="27"/>
      <c r="C429" s="27"/>
      <c r="D429" s="27"/>
      <c r="E429" s="27"/>
      <c r="F429" s="27"/>
      <c r="G429" s="27"/>
      <c r="H429" s="27"/>
      <c r="I429" s="27"/>
      <c r="J429" s="27"/>
      <c r="K429" s="246" t="str">
        <f t="shared" si="124"/>
        <v/>
      </c>
      <c r="L429" s="246" t="str">
        <f t="shared" si="134"/>
        <v/>
      </c>
      <c r="M429" s="246" t="str">
        <f t="shared" si="125"/>
        <v/>
      </c>
      <c r="N429" s="246" t="str">
        <f t="shared" si="126"/>
        <v/>
      </c>
      <c r="O429" s="246" t="str">
        <f t="shared" si="127"/>
        <v/>
      </c>
      <c r="P429" s="246" t="str">
        <f t="shared" si="128"/>
        <v/>
      </c>
      <c r="Q429" s="23" t="str">
        <f t="shared" si="137"/>
        <v/>
      </c>
      <c r="R429" s="246" t="str">
        <f t="shared" si="130"/>
        <v/>
      </c>
      <c r="S429" s="108">
        <f t="shared" si="136"/>
        <v>0</v>
      </c>
      <c r="T429" s="28">
        <f t="shared" si="122"/>
        <v>0</v>
      </c>
      <c r="U429" s="247">
        <f t="shared" si="131"/>
        <v>0</v>
      </c>
      <c r="V429" s="36" t="e">
        <f t="shared" si="132"/>
        <v>#DIV/0!</v>
      </c>
      <c r="W429" s="36" t="e">
        <f t="shared" si="133"/>
        <v>#DIV/0!</v>
      </c>
      <c r="X429" s="63" t="e">
        <f t="shared" si="123"/>
        <v>#DIV/0!</v>
      </c>
    </row>
    <row r="430" spans="1:24">
      <c r="A430" s="26"/>
      <c r="B430" s="27"/>
      <c r="C430" s="27"/>
      <c r="D430" s="27"/>
      <c r="E430" s="27"/>
      <c r="F430" s="27"/>
      <c r="G430" s="27"/>
      <c r="H430" s="27"/>
      <c r="I430" s="27"/>
      <c r="J430" s="27"/>
      <c r="K430" s="246" t="str">
        <f t="shared" si="124"/>
        <v/>
      </c>
      <c r="L430" s="246" t="str">
        <f t="shared" si="134"/>
        <v/>
      </c>
      <c r="M430" s="246" t="str">
        <f t="shared" si="125"/>
        <v/>
      </c>
      <c r="N430" s="246" t="str">
        <f t="shared" si="126"/>
        <v/>
      </c>
      <c r="O430" s="246" t="str">
        <f t="shared" si="127"/>
        <v/>
      </c>
      <c r="P430" s="246" t="str">
        <f t="shared" si="128"/>
        <v/>
      </c>
      <c r="Q430" s="23" t="str">
        <f t="shared" si="137"/>
        <v/>
      </c>
      <c r="R430" s="246" t="str">
        <f t="shared" si="130"/>
        <v/>
      </c>
      <c r="S430" s="108">
        <f t="shared" si="136"/>
        <v>0</v>
      </c>
      <c r="T430" s="28">
        <f t="shared" si="122"/>
        <v>0</v>
      </c>
      <c r="U430" s="247">
        <f t="shared" si="131"/>
        <v>0</v>
      </c>
      <c r="V430" s="36" t="e">
        <f t="shared" si="132"/>
        <v>#DIV/0!</v>
      </c>
      <c r="W430" s="36" t="e">
        <f t="shared" si="133"/>
        <v>#DIV/0!</v>
      </c>
      <c r="X430" s="63" t="e">
        <f t="shared" si="123"/>
        <v>#DIV/0!</v>
      </c>
    </row>
    <row r="431" spans="1:24">
      <c r="A431" s="26"/>
      <c r="B431" s="27"/>
      <c r="C431" s="27"/>
      <c r="D431" s="27"/>
      <c r="E431" s="27"/>
      <c r="F431" s="27"/>
      <c r="G431" s="27"/>
      <c r="H431" s="27"/>
      <c r="I431" s="27"/>
      <c r="J431" s="27"/>
      <c r="K431" s="246" t="str">
        <f t="shared" si="124"/>
        <v/>
      </c>
      <c r="L431" s="246" t="str">
        <f t="shared" si="134"/>
        <v/>
      </c>
      <c r="M431" s="246" t="str">
        <f t="shared" si="125"/>
        <v/>
      </c>
      <c r="N431" s="246" t="str">
        <f t="shared" si="126"/>
        <v/>
      </c>
      <c r="O431" s="246" t="str">
        <f t="shared" si="127"/>
        <v/>
      </c>
      <c r="P431" s="246" t="str">
        <f t="shared" si="128"/>
        <v/>
      </c>
      <c r="Q431" s="23" t="str">
        <f t="shared" si="137"/>
        <v/>
      </c>
      <c r="R431" s="246" t="str">
        <f t="shared" si="130"/>
        <v/>
      </c>
      <c r="S431" s="108">
        <f t="shared" si="136"/>
        <v>0</v>
      </c>
      <c r="T431" s="28">
        <f t="shared" si="122"/>
        <v>0</v>
      </c>
      <c r="U431" s="247">
        <f t="shared" si="131"/>
        <v>0</v>
      </c>
      <c r="V431" s="36" t="e">
        <f t="shared" si="132"/>
        <v>#DIV/0!</v>
      </c>
      <c r="W431" s="36" t="e">
        <f t="shared" si="133"/>
        <v>#DIV/0!</v>
      </c>
      <c r="X431" s="63" t="e">
        <f t="shared" si="123"/>
        <v>#DIV/0!</v>
      </c>
    </row>
    <row r="432" spans="1:24">
      <c r="A432" s="26"/>
      <c r="B432" s="27"/>
      <c r="C432" s="27"/>
      <c r="D432" s="27"/>
      <c r="E432" s="27"/>
      <c r="F432" s="27"/>
      <c r="G432" s="27"/>
      <c r="H432" s="27"/>
      <c r="I432" s="27"/>
      <c r="J432" s="27"/>
      <c r="K432" s="246" t="str">
        <f t="shared" si="124"/>
        <v/>
      </c>
      <c r="L432" s="246" t="str">
        <f t="shared" si="134"/>
        <v/>
      </c>
      <c r="M432" s="246" t="str">
        <f t="shared" si="125"/>
        <v/>
      </c>
      <c r="N432" s="246" t="str">
        <f t="shared" si="126"/>
        <v/>
      </c>
      <c r="O432" s="246" t="str">
        <f t="shared" si="127"/>
        <v/>
      </c>
      <c r="P432" s="246" t="str">
        <f t="shared" si="128"/>
        <v/>
      </c>
      <c r="Q432" s="23" t="str">
        <f t="shared" si="137"/>
        <v/>
      </c>
      <c r="R432" s="246" t="str">
        <f t="shared" si="130"/>
        <v/>
      </c>
      <c r="S432" s="108">
        <f t="shared" si="136"/>
        <v>0</v>
      </c>
      <c r="T432" s="28">
        <f t="shared" si="122"/>
        <v>0</v>
      </c>
      <c r="U432" s="247">
        <f t="shared" si="131"/>
        <v>0</v>
      </c>
      <c r="V432" s="36" t="e">
        <f t="shared" si="132"/>
        <v>#DIV/0!</v>
      </c>
      <c r="W432" s="36" t="e">
        <f t="shared" si="133"/>
        <v>#DIV/0!</v>
      </c>
      <c r="X432" s="63" t="e">
        <f t="shared" si="123"/>
        <v>#DIV/0!</v>
      </c>
    </row>
    <row r="433" spans="1:24">
      <c r="A433" s="26"/>
      <c r="B433" s="27"/>
      <c r="C433" s="27"/>
      <c r="D433" s="27"/>
      <c r="E433" s="27"/>
      <c r="F433" s="27"/>
      <c r="G433" s="27"/>
      <c r="H433" s="27"/>
      <c r="I433" s="27"/>
      <c r="J433" s="27"/>
      <c r="K433" s="246" t="str">
        <f t="shared" si="124"/>
        <v/>
      </c>
      <c r="L433" s="246" t="str">
        <f t="shared" si="134"/>
        <v/>
      </c>
      <c r="M433" s="246" t="str">
        <f t="shared" si="125"/>
        <v/>
      </c>
      <c r="N433" s="246" t="str">
        <f t="shared" si="126"/>
        <v/>
      </c>
      <c r="O433" s="246" t="str">
        <f t="shared" si="127"/>
        <v/>
      </c>
      <c r="P433" s="246" t="str">
        <f t="shared" si="128"/>
        <v/>
      </c>
      <c r="Q433" s="23" t="str">
        <f t="shared" si="137"/>
        <v/>
      </c>
      <c r="R433" s="246" t="str">
        <f t="shared" si="130"/>
        <v/>
      </c>
      <c r="S433" s="108">
        <f t="shared" si="136"/>
        <v>0</v>
      </c>
      <c r="T433" s="28">
        <f t="shared" si="122"/>
        <v>0</v>
      </c>
      <c r="U433" s="247">
        <f t="shared" si="131"/>
        <v>0</v>
      </c>
      <c r="V433" s="36" t="e">
        <f t="shared" si="132"/>
        <v>#DIV/0!</v>
      </c>
      <c r="W433" s="36" t="e">
        <f t="shared" si="133"/>
        <v>#DIV/0!</v>
      </c>
      <c r="X433" s="63" t="e">
        <f t="shared" si="123"/>
        <v>#DIV/0!</v>
      </c>
    </row>
    <row r="434" spans="1:24">
      <c r="A434" s="26"/>
      <c r="B434" s="27"/>
      <c r="C434" s="27"/>
      <c r="D434" s="27"/>
      <c r="E434" s="27"/>
      <c r="F434" s="27"/>
      <c r="G434" s="27"/>
      <c r="H434" s="27"/>
      <c r="I434" s="27"/>
      <c r="J434" s="27"/>
      <c r="K434" s="246" t="str">
        <f t="shared" si="124"/>
        <v/>
      </c>
      <c r="L434" s="246" t="str">
        <f t="shared" si="134"/>
        <v/>
      </c>
      <c r="M434" s="246" t="str">
        <f t="shared" si="125"/>
        <v/>
      </c>
      <c r="N434" s="246" t="str">
        <f t="shared" si="126"/>
        <v/>
      </c>
      <c r="O434" s="246" t="str">
        <f t="shared" si="127"/>
        <v/>
      </c>
      <c r="P434" s="246" t="str">
        <f t="shared" si="128"/>
        <v/>
      </c>
      <c r="Q434" s="23" t="str">
        <f t="shared" si="137"/>
        <v/>
      </c>
      <c r="R434" s="246" t="str">
        <f t="shared" si="130"/>
        <v/>
      </c>
      <c r="S434" s="108">
        <f t="shared" si="136"/>
        <v>0</v>
      </c>
      <c r="T434" s="28">
        <f t="shared" si="122"/>
        <v>0</v>
      </c>
      <c r="U434" s="247">
        <f t="shared" si="131"/>
        <v>0</v>
      </c>
      <c r="V434" s="36" t="e">
        <f t="shared" si="132"/>
        <v>#DIV/0!</v>
      </c>
      <c r="W434" s="36" t="e">
        <f t="shared" si="133"/>
        <v>#DIV/0!</v>
      </c>
      <c r="X434" s="63" t="e">
        <f t="shared" si="123"/>
        <v>#DIV/0!</v>
      </c>
    </row>
    <row r="435" spans="1:24">
      <c r="A435" s="26"/>
      <c r="B435" s="27"/>
      <c r="C435" s="27"/>
      <c r="D435" s="27"/>
      <c r="E435" s="27"/>
      <c r="F435" s="27"/>
      <c r="G435" s="27"/>
      <c r="H435" s="27"/>
      <c r="I435" s="27"/>
      <c r="J435" s="27"/>
      <c r="K435" s="246" t="str">
        <f t="shared" si="124"/>
        <v/>
      </c>
      <c r="L435" s="246" t="str">
        <f t="shared" si="134"/>
        <v/>
      </c>
      <c r="M435" s="246" t="str">
        <f t="shared" si="125"/>
        <v/>
      </c>
      <c r="N435" s="246" t="str">
        <f t="shared" si="126"/>
        <v/>
      </c>
      <c r="O435" s="246" t="str">
        <f t="shared" si="127"/>
        <v/>
      </c>
      <c r="P435" s="246" t="str">
        <f t="shared" si="128"/>
        <v/>
      </c>
      <c r="Q435" s="23" t="str">
        <f t="shared" si="137"/>
        <v/>
      </c>
      <c r="R435" s="246" t="str">
        <f t="shared" si="130"/>
        <v/>
      </c>
      <c r="S435" s="108">
        <f t="shared" si="136"/>
        <v>0</v>
      </c>
      <c r="T435" s="28">
        <f t="shared" si="122"/>
        <v>0</v>
      </c>
      <c r="U435" s="247">
        <f t="shared" si="131"/>
        <v>0</v>
      </c>
      <c r="V435" s="36" t="e">
        <f t="shared" si="132"/>
        <v>#DIV/0!</v>
      </c>
      <c r="W435" s="36" t="e">
        <f t="shared" si="133"/>
        <v>#DIV/0!</v>
      </c>
      <c r="X435" s="63" t="e">
        <f t="shared" si="123"/>
        <v>#DIV/0!</v>
      </c>
    </row>
    <row r="436" spans="1:24">
      <c r="A436" s="26"/>
      <c r="B436" s="27"/>
      <c r="C436" s="27"/>
      <c r="D436" s="27"/>
      <c r="E436" s="27"/>
      <c r="F436" s="27"/>
      <c r="G436" s="27"/>
      <c r="H436" s="27"/>
      <c r="I436" s="27"/>
      <c r="J436" s="27"/>
      <c r="K436" s="246" t="str">
        <f t="shared" si="124"/>
        <v/>
      </c>
      <c r="L436" s="246" t="str">
        <f t="shared" si="134"/>
        <v/>
      </c>
      <c r="M436" s="246" t="str">
        <f t="shared" si="125"/>
        <v/>
      </c>
      <c r="N436" s="246" t="str">
        <f t="shared" si="126"/>
        <v/>
      </c>
      <c r="O436" s="246" t="str">
        <f t="shared" si="127"/>
        <v/>
      </c>
      <c r="P436" s="246" t="str">
        <f t="shared" si="128"/>
        <v/>
      </c>
      <c r="Q436" s="23" t="str">
        <f t="shared" si="137"/>
        <v/>
      </c>
      <c r="R436" s="246" t="str">
        <f t="shared" si="130"/>
        <v/>
      </c>
      <c r="S436" s="108">
        <f t="shared" si="136"/>
        <v>0</v>
      </c>
      <c r="T436" s="28">
        <f t="shared" si="122"/>
        <v>0</v>
      </c>
      <c r="U436" s="247">
        <f t="shared" si="131"/>
        <v>0</v>
      </c>
      <c r="V436" s="36" t="e">
        <f t="shared" si="132"/>
        <v>#DIV/0!</v>
      </c>
      <c r="W436" s="36" t="e">
        <f t="shared" si="133"/>
        <v>#DIV/0!</v>
      </c>
      <c r="X436" s="63" t="e">
        <f t="shared" si="123"/>
        <v>#DIV/0!</v>
      </c>
    </row>
    <row r="437" spans="1:24">
      <c r="A437" s="26"/>
      <c r="B437" s="27"/>
      <c r="C437" s="27"/>
      <c r="D437" s="27"/>
      <c r="E437" s="27"/>
      <c r="F437" s="27"/>
      <c r="G437" s="27"/>
      <c r="H437" s="27"/>
      <c r="I437" s="27"/>
      <c r="J437" s="27"/>
      <c r="K437" s="246" t="str">
        <f t="shared" si="124"/>
        <v/>
      </c>
      <c r="L437" s="246" t="str">
        <f t="shared" si="134"/>
        <v/>
      </c>
      <c r="M437" s="246" t="str">
        <f t="shared" si="125"/>
        <v/>
      </c>
      <c r="N437" s="246" t="str">
        <f t="shared" si="126"/>
        <v/>
      </c>
      <c r="O437" s="246" t="str">
        <f t="shared" si="127"/>
        <v/>
      </c>
      <c r="P437" s="246" t="str">
        <f t="shared" si="128"/>
        <v/>
      </c>
      <c r="Q437" s="23" t="str">
        <f t="shared" si="137"/>
        <v/>
      </c>
      <c r="R437" s="246" t="str">
        <f t="shared" si="130"/>
        <v/>
      </c>
      <c r="S437" s="108">
        <f t="shared" si="136"/>
        <v>0</v>
      </c>
      <c r="T437" s="28">
        <f t="shared" si="122"/>
        <v>0</v>
      </c>
      <c r="U437" s="247">
        <f t="shared" si="131"/>
        <v>0</v>
      </c>
      <c r="V437" s="36" t="e">
        <f t="shared" si="132"/>
        <v>#DIV/0!</v>
      </c>
      <c r="W437" s="36" t="e">
        <f t="shared" si="133"/>
        <v>#DIV/0!</v>
      </c>
      <c r="X437" s="63" t="e">
        <f t="shared" si="123"/>
        <v>#DIV/0!</v>
      </c>
    </row>
    <row r="438" spans="1:24">
      <c r="A438" s="26"/>
      <c r="B438" s="27"/>
      <c r="C438" s="27"/>
      <c r="D438" s="27"/>
      <c r="E438" s="27"/>
      <c r="F438" s="27"/>
      <c r="G438" s="27"/>
      <c r="H438" s="27"/>
      <c r="I438" s="27"/>
      <c r="J438" s="27"/>
      <c r="K438" s="246" t="str">
        <f t="shared" si="124"/>
        <v/>
      </c>
      <c r="L438" s="246" t="str">
        <f t="shared" si="134"/>
        <v/>
      </c>
      <c r="M438" s="246" t="str">
        <f t="shared" si="125"/>
        <v/>
      </c>
      <c r="N438" s="246" t="str">
        <f t="shared" si="126"/>
        <v/>
      </c>
      <c r="O438" s="246" t="str">
        <f t="shared" si="127"/>
        <v/>
      </c>
      <c r="P438" s="246" t="str">
        <f t="shared" si="128"/>
        <v/>
      </c>
      <c r="Q438" s="23" t="str">
        <f t="shared" si="137"/>
        <v/>
      </c>
      <c r="R438" s="246" t="str">
        <f t="shared" si="130"/>
        <v/>
      </c>
      <c r="S438" s="108">
        <f t="shared" si="136"/>
        <v>0</v>
      </c>
      <c r="T438" s="28">
        <f t="shared" si="122"/>
        <v>0</v>
      </c>
      <c r="U438" s="247">
        <f t="shared" si="131"/>
        <v>0</v>
      </c>
      <c r="V438" s="36" t="e">
        <f t="shared" si="132"/>
        <v>#DIV/0!</v>
      </c>
      <c r="W438" s="36" t="e">
        <f t="shared" si="133"/>
        <v>#DIV/0!</v>
      </c>
      <c r="X438" s="63" t="e">
        <f t="shared" si="123"/>
        <v>#DIV/0!</v>
      </c>
    </row>
    <row r="439" spans="1:24">
      <c r="A439" s="26"/>
      <c r="B439" s="27"/>
      <c r="C439" s="27"/>
      <c r="D439" s="27"/>
      <c r="E439" s="27"/>
      <c r="F439" s="27"/>
      <c r="G439" s="27"/>
      <c r="H439" s="27"/>
      <c r="I439" s="27"/>
      <c r="J439" s="27"/>
      <c r="K439" s="246" t="str">
        <f t="shared" si="124"/>
        <v/>
      </c>
      <c r="L439" s="246" t="str">
        <f t="shared" si="134"/>
        <v/>
      </c>
      <c r="M439" s="246" t="str">
        <f t="shared" si="125"/>
        <v/>
      </c>
      <c r="N439" s="246" t="str">
        <f t="shared" si="126"/>
        <v/>
      </c>
      <c r="O439" s="246" t="str">
        <f t="shared" si="127"/>
        <v/>
      </c>
      <c r="P439" s="246" t="str">
        <f t="shared" si="128"/>
        <v/>
      </c>
      <c r="Q439" s="23" t="str">
        <f t="shared" si="137"/>
        <v/>
      </c>
      <c r="R439" s="246" t="str">
        <f t="shared" si="130"/>
        <v/>
      </c>
      <c r="S439" s="108">
        <f t="shared" si="136"/>
        <v>0</v>
      </c>
      <c r="T439" s="28">
        <f t="shared" si="122"/>
        <v>0</v>
      </c>
      <c r="U439" s="247">
        <f t="shared" si="131"/>
        <v>0</v>
      </c>
      <c r="V439" s="36" t="e">
        <f t="shared" si="132"/>
        <v>#DIV/0!</v>
      </c>
      <c r="W439" s="36" t="e">
        <f t="shared" si="133"/>
        <v>#DIV/0!</v>
      </c>
      <c r="X439" s="63" t="e">
        <f t="shared" si="123"/>
        <v>#DIV/0!</v>
      </c>
    </row>
    <row r="440" spans="1:24">
      <c r="A440" s="26"/>
      <c r="B440" s="27"/>
      <c r="C440" s="27"/>
      <c r="D440" s="27"/>
      <c r="E440" s="27"/>
      <c r="F440" s="27"/>
      <c r="G440" s="27"/>
      <c r="H440" s="27"/>
      <c r="I440" s="27"/>
      <c r="J440" s="27"/>
      <c r="K440" s="246" t="str">
        <f t="shared" si="124"/>
        <v/>
      </c>
      <c r="L440" s="246" t="str">
        <f t="shared" si="134"/>
        <v/>
      </c>
      <c r="M440" s="246" t="str">
        <f t="shared" si="125"/>
        <v/>
      </c>
      <c r="N440" s="246" t="str">
        <f t="shared" si="126"/>
        <v/>
      </c>
      <c r="O440" s="246" t="str">
        <f t="shared" si="127"/>
        <v/>
      </c>
      <c r="P440" s="246" t="str">
        <f t="shared" si="128"/>
        <v/>
      </c>
      <c r="Q440" s="23" t="str">
        <f t="shared" si="137"/>
        <v/>
      </c>
      <c r="R440" s="246" t="str">
        <f t="shared" si="130"/>
        <v/>
      </c>
      <c r="S440" s="108">
        <f t="shared" si="136"/>
        <v>0</v>
      </c>
      <c r="T440" s="28">
        <f t="shared" si="122"/>
        <v>0</v>
      </c>
      <c r="U440" s="247">
        <f t="shared" si="131"/>
        <v>0</v>
      </c>
      <c r="V440" s="36" t="e">
        <f t="shared" si="132"/>
        <v>#DIV/0!</v>
      </c>
      <c r="W440" s="36" t="e">
        <f t="shared" si="133"/>
        <v>#DIV/0!</v>
      </c>
      <c r="X440" s="63" t="e">
        <f t="shared" si="123"/>
        <v>#DIV/0!</v>
      </c>
    </row>
    <row r="441" spans="1:24">
      <c r="A441" s="26"/>
      <c r="B441" s="27"/>
      <c r="C441" s="27"/>
      <c r="D441" s="27"/>
      <c r="E441" s="27"/>
      <c r="F441" s="27"/>
      <c r="G441" s="27"/>
      <c r="H441" s="27"/>
      <c r="I441" s="27"/>
      <c r="J441" s="27"/>
      <c r="K441" s="246" t="str">
        <f t="shared" si="124"/>
        <v/>
      </c>
      <c r="L441" s="246" t="str">
        <f t="shared" si="134"/>
        <v/>
      </c>
      <c r="M441" s="246" t="str">
        <f t="shared" si="125"/>
        <v/>
      </c>
      <c r="N441" s="246" t="str">
        <f t="shared" si="126"/>
        <v/>
      </c>
      <c r="O441" s="246" t="str">
        <f t="shared" si="127"/>
        <v/>
      </c>
      <c r="P441" s="246" t="str">
        <f t="shared" si="128"/>
        <v/>
      </c>
      <c r="Q441" s="23" t="str">
        <f t="shared" si="137"/>
        <v/>
      </c>
      <c r="R441" s="246" t="str">
        <f t="shared" si="130"/>
        <v/>
      </c>
      <c r="S441" s="108">
        <f t="shared" si="136"/>
        <v>0</v>
      </c>
      <c r="T441" s="28">
        <f t="shared" si="122"/>
        <v>0</v>
      </c>
      <c r="U441" s="247">
        <f t="shared" si="131"/>
        <v>0</v>
      </c>
      <c r="V441" s="36" t="e">
        <f t="shared" si="132"/>
        <v>#DIV/0!</v>
      </c>
      <c r="W441" s="36" t="e">
        <f t="shared" si="133"/>
        <v>#DIV/0!</v>
      </c>
      <c r="X441" s="63" t="e">
        <f t="shared" si="123"/>
        <v>#DIV/0!</v>
      </c>
    </row>
    <row r="442" spans="1:24">
      <c r="A442" s="26"/>
      <c r="B442" s="27"/>
      <c r="C442" s="27"/>
      <c r="D442" s="27"/>
      <c r="E442" s="27"/>
      <c r="F442" s="27"/>
      <c r="G442" s="27"/>
      <c r="H442" s="27"/>
      <c r="I442" s="27"/>
      <c r="J442" s="27"/>
      <c r="K442" s="246" t="str">
        <f t="shared" si="124"/>
        <v/>
      </c>
      <c r="L442" s="246" t="str">
        <f t="shared" si="134"/>
        <v/>
      </c>
      <c r="M442" s="246" t="str">
        <f t="shared" si="125"/>
        <v/>
      </c>
      <c r="N442" s="246" t="str">
        <f t="shared" si="126"/>
        <v/>
      </c>
      <c r="O442" s="246" t="str">
        <f t="shared" si="127"/>
        <v/>
      </c>
      <c r="P442" s="246" t="str">
        <f t="shared" si="128"/>
        <v/>
      </c>
      <c r="Q442" s="23" t="str">
        <f t="shared" si="137"/>
        <v/>
      </c>
      <c r="R442" s="246" t="str">
        <f t="shared" si="130"/>
        <v/>
      </c>
      <c r="S442" s="108">
        <f t="shared" si="136"/>
        <v>0</v>
      </c>
      <c r="T442" s="28">
        <f t="shared" si="122"/>
        <v>0</v>
      </c>
      <c r="U442" s="247">
        <f t="shared" si="131"/>
        <v>0</v>
      </c>
      <c r="V442" s="36" t="e">
        <f t="shared" si="132"/>
        <v>#DIV/0!</v>
      </c>
      <c r="W442" s="36" t="e">
        <f t="shared" si="133"/>
        <v>#DIV/0!</v>
      </c>
      <c r="X442" s="63" t="e">
        <f t="shared" si="123"/>
        <v>#DIV/0!</v>
      </c>
    </row>
    <row r="443" spans="1:24">
      <c r="A443" s="26"/>
      <c r="B443" s="27"/>
      <c r="C443" s="27"/>
      <c r="D443" s="27"/>
      <c r="E443" s="27"/>
      <c r="F443" s="27"/>
      <c r="G443" s="27"/>
      <c r="H443" s="27"/>
      <c r="I443" s="27"/>
      <c r="J443" s="27"/>
      <c r="K443" s="246" t="str">
        <f t="shared" si="124"/>
        <v/>
      </c>
      <c r="L443" s="246" t="str">
        <f t="shared" si="134"/>
        <v/>
      </c>
      <c r="M443" s="246" t="str">
        <f t="shared" si="125"/>
        <v/>
      </c>
      <c r="N443" s="246" t="str">
        <f t="shared" si="126"/>
        <v/>
      </c>
      <c r="O443" s="246" t="str">
        <f t="shared" si="127"/>
        <v/>
      </c>
      <c r="P443" s="246" t="str">
        <f t="shared" si="128"/>
        <v/>
      </c>
      <c r="Q443" s="23" t="str">
        <f t="shared" si="137"/>
        <v/>
      </c>
      <c r="R443" s="246" t="str">
        <f t="shared" si="130"/>
        <v/>
      </c>
      <c r="S443" s="108">
        <f t="shared" si="136"/>
        <v>0</v>
      </c>
      <c r="T443" s="28">
        <f t="shared" si="122"/>
        <v>0</v>
      </c>
      <c r="U443" s="247">
        <f t="shared" si="131"/>
        <v>0</v>
      </c>
      <c r="V443" s="36" t="e">
        <f t="shared" si="132"/>
        <v>#DIV/0!</v>
      </c>
      <c r="W443" s="36" t="e">
        <f t="shared" si="133"/>
        <v>#DIV/0!</v>
      </c>
      <c r="X443" s="63" t="e">
        <f t="shared" si="123"/>
        <v>#DIV/0!</v>
      </c>
    </row>
    <row r="444" spans="1:24">
      <c r="A444" s="26"/>
      <c r="B444" s="27"/>
      <c r="C444" s="27"/>
      <c r="D444" s="27"/>
      <c r="E444" s="27"/>
      <c r="F444" s="27"/>
      <c r="G444" s="27"/>
      <c r="H444" s="27"/>
      <c r="I444" s="27"/>
      <c r="J444" s="27"/>
      <c r="K444" s="246" t="str">
        <f t="shared" si="124"/>
        <v/>
      </c>
      <c r="L444" s="246" t="str">
        <f t="shared" si="134"/>
        <v/>
      </c>
      <c r="M444" s="246" t="str">
        <f t="shared" si="125"/>
        <v/>
      </c>
      <c r="N444" s="246" t="str">
        <f t="shared" si="126"/>
        <v/>
      </c>
      <c r="O444" s="246" t="str">
        <f t="shared" si="127"/>
        <v/>
      </c>
      <c r="P444" s="246" t="str">
        <f t="shared" si="128"/>
        <v/>
      </c>
      <c r="Q444" s="23" t="str">
        <f t="shared" si="137"/>
        <v/>
      </c>
      <c r="R444" s="246" t="str">
        <f t="shared" si="130"/>
        <v/>
      </c>
      <c r="S444" s="108">
        <f t="shared" si="136"/>
        <v>0</v>
      </c>
      <c r="T444" s="28">
        <f t="shared" si="122"/>
        <v>0</v>
      </c>
      <c r="U444" s="247">
        <f t="shared" si="131"/>
        <v>0</v>
      </c>
      <c r="V444" s="36" t="e">
        <f t="shared" si="132"/>
        <v>#DIV/0!</v>
      </c>
      <c r="W444" s="36" t="e">
        <f t="shared" si="133"/>
        <v>#DIV/0!</v>
      </c>
      <c r="X444" s="63" t="e">
        <f t="shared" si="123"/>
        <v>#DIV/0!</v>
      </c>
    </row>
    <row r="445" spans="1:24">
      <c r="A445" s="26"/>
      <c r="B445" s="27"/>
      <c r="C445" s="27"/>
      <c r="D445" s="27"/>
      <c r="E445" s="27"/>
      <c r="F445" s="27"/>
      <c r="G445" s="27"/>
      <c r="H445" s="27"/>
      <c r="I445" s="27"/>
      <c r="J445" s="27"/>
      <c r="K445" s="246" t="str">
        <f t="shared" si="124"/>
        <v/>
      </c>
      <c r="L445" s="246" t="str">
        <f t="shared" si="134"/>
        <v/>
      </c>
      <c r="M445" s="246" t="str">
        <f t="shared" si="125"/>
        <v/>
      </c>
      <c r="N445" s="246" t="str">
        <f t="shared" si="126"/>
        <v/>
      </c>
      <c r="O445" s="246" t="str">
        <f t="shared" si="127"/>
        <v/>
      </c>
      <c r="P445" s="246" t="str">
        <f t="shared" si="128"/>
        <v/>
      </c>
      <c r="Q445" s="23" t="str">
        <f t="shared" si="137"/>
        <v/>
      </c>
      <c r="R445" s="246" t="str">
        <f t="shared" si="130"/>
        <v/>
      </c>
      <c r="S445" s="108">
        <f t="shared" si="136"/>
        <v>0</v>
      </c>
      <c r="T445" s="28">
        <f t="shared" si="122"/>
        <v>0</v>
      </c>
      <c r="U445" s="247">
        <f t="shared" si="131"/>
        <v>0</v>
      </c>
      <c r="V445" s="36" t="e">
        <f t="shared" si="132"/>
        <v>#DIV/0!</v>
      </c>
      <c r="W445" s="36" t="e">
        <f t="shared" si="133"/>
        <v>#DIV/0!</v>
      </c>
      <c r="X445" s="63" t="e">
        <f t="shared" si="123"/>
        <v>#DIV/0!</v>
      </c>
    </row>
    <row r="446" spans="1:24">
      <c r="A446" s="26"/>
      <c r="B446" s="27"/>
      <c r="C446" s="27"/>
      <c r="D446" s="27"/>
      <c r="E446" s="27"/>
      <c r="F446" s="27"/>
      <c r="G446" s="27"/>
      <c r="H446" s="27"/>
      <c r="I446" s="27"/>
      <c r="J446" s="27"/>
      <c r="K446" s="246" t="str">
        <f t="shared" si="124"/>
        <v/>
      </c>
      <c r="L446" s="246" t="str">
        <f t="shared" si="134"/>
        <v/>
      </c>
      <c r="M446" s="246" t="str">
        <f t="shared" si="125"/>
        <v/>
      </c>
      <c r="N446" s="246" t="str">
        <f t="shared" si="126"/>
        <v/>
      </c>
      <c r="O446" s="246" t="str">
        <f t="shared" si="127"/>
        <v/>
      </c>
      <c r="P446" s="246" t="str">
        <f t="shared" si="128"/>
        <v/>
      </c>
      <c r="Q446" s="23" t="str">
        <f t="shared" si="137"/>
        <v/>
      </c>
      <c r="R446" s="246" t="str">
        <f t="shared" si="130"/>
        <v/>
      </c>
      <c r="S446" s="108">
        <f t="shared" si="136"/>
        <v>0</v>
      </c>
      <c r="T446" s="28">
        <f t="shared" si="122"/>
        <v>0</v>
      </c>
      <c r="U446" s="247">
        <f t="shared" si="131"/>
        <v>0</v>
      </c>
      <c r="V446" s="36" t="e">
        <f t="shared" si="132"/>
        <v>#DIV/0!</v>
      </c>
      <c r="W446" s="36" t="e">
        <f t="shared" si="133"/>
        <v>#DIV/0!</v>
      </c>
      <c r="X446" s="63" t="e">
        <f t="shared" si="123"/>
        <v>#DIV/0!</v>
      </c>
    </row>
    <row r="447" spans="1:24">
      <c r="A447" s="26"/>
      <c r="B447" s="27"/>
      <c r="C447" s="27"/>
      <c r="D447" s="27"/>
      <c r="E447" s="27"/>
      <c r="F447" s="27"/>
      <c r="G447" s="27"/>
      <c r="H447" s="27"/>
      <c r="I447" s="27"/>
      <c r="J447" s="27"/>
      <c r="K447" s="246" t="str">
        <f t="shared" si="124"/>
        <v/>
      </c>
      <c r="L447" s="246" t="str">
        <f t="shared" si="134"/>
        <v/>
      </c>
      <c r="M447" s="246" t="str">
        <f t="shared" si="125"/>
        <v/>
      </c>
      <c r="N447" s="246" t="str">
        <f t="shared" si="126"/>
        <v/>
      </c>
      <c r="O447" s="246" t="str">
        <f t="shared" si="127"/>
        <v/>
      </c>
      <c r="P447" s="246" t="str">
        <f t="shared" si="128"/>
        <v/>
      </c>
      <c r="Q447" s="23" t="str">
        <f t="shared" si="137"/>
        <v/>
      </c>
      <c r="R447" s="246" t="str">
        <f t="shared" si="130"/>
        <v/>
      </c>
      <c r="S447" s="108">
        <f t="shared" si="136"/>
        <v>0</v>
      </c>
      <c r="T447" s="28">
        <f t="shared" si="122"/>
        <v>0</v>
      </c>
      <c r="U447" s="247">
        <f t="shared" si="131"/>
        <v>0</v>
      </c>
      <c r="V447" s="36" t="e">
        <f t="shared" si="132"/>
        <v>#DIV/0!</v>
      </c>
      <c r="W447" s="36" t="e">
        <f t="shared" si="133"/>
        <v>#DIV/0!</v>
      </c>
      <c r="X447" s="63" t="e">
        <f t="shared" si="123"/>
        <v>#DIV/0!</v>
      </c>
    </row>
    <row r="448" spans="1:24">
      <c r="A448" s="26"/>
      <c r="B448" s="27"/>
      <c r="C448" s="27"/>
      <c r="D448" s="27"/>
      <c r="E448" s="27"/>
      <c r="F448" s="27"/>
      <c r="G448" s="27"/>
      <c r="H448" s="27"/>
      <c r="I448" s="27"/>
      <c r="J448" s="27"/>
      <c r="K448" s="246" t="str">
        <f t="shared" si="124"/>
        <v/>
      </c>
      <c r="L448" s="246" t="str">
        <f t="shared" si="134"/>
        <v/>
      </c>
      <c r="M448" s="246" t="str">
        <f t="shared" si="125"/>
        <v/>
      </c>
      <c r="N448" s="246" t="str">
        <f t="shared" si="126"/>
        <v/>
      </c>
      <c r="O448" s="246" t="str">
        <f t="shared" si="127"/>
        <v/>
      </c>
      <c r="P448" s="246" t="str">
        <f t="shared" si="128"/>
        <v/>
      </c>
      <c r="Q448" s="23" t="str">
        <f t="shared" si="137"/>
        <v/>
      </c>
      <c r="R448" s="246" t="str">
        <f t="shared" si="130"/>
        <v/>
      </c>
      <c r="S448" s="108">
        <f t="shared" si="136"/>
        <v>0</v>
      </c>
      <c r="T448" s="28">
        <f t="shared" si="122"/>
        <v>0</v>
      </c>
      <c r="U448" s="247">
        <f t="shared" si="131"/>
        <v>0</v>
      </c>
      <c r="V448" s="36" t="e">
        <f t="shared" si="132"/>
        <v>#DIV/0!</v>
      </c>
      <c r="W448" s="36" t="e">
        <f t="shared" si="133"/>
        <v>#DIV/0!</v>
      </c>
      <c r="X448" s="63" t="e">
        <f t="shared" si="123"/>
        <v>#DIV/0!</v>
      </c>
    </row>
    <row r="449" spans="1:24">
      <c r="A449" s="26"/>
      <c r="B449" s="27"/>
      <c r="C449" s="27"/>
      <c r="D449" s="27"/>
      <c r="E449" s="27"/>
      <c r="F449" s="27"/>
      <c r="G449" s="27"/>
      <c r="H449" s="27"/>
      <c r="I449" s="27"/>
      <c r="J449" s="27"/>
      <c r="K449" s="246" t="str">
        <f t="shared" si="124"/>
        <v/>
      </c>
      <c r="L449" s="246" t="str">
        <f t="shared" si="134"/>
        <v/>
      </c>
      <c r="M449" s="246" t="str">
        <f t="shared" si="125"/>
        <v/>
      </c>
      <c r="N449" s="246" t="str">
        <f t="shared" si="126"/>
        <v/>
      </c>
      <c r="O449" s="246" t="str">
        <f t="shared" si="127"/>
        <v/>
      </c>
      <c r="P449" s="246" t="str">
        <f t="shared" si="128"/>
        <v/>
      </c>
      <c r="Q449" s="23" t="str">
        <f t="shared" si="137"/>
        <v/>
      </c>
      <c r="R449" s="246" t="str">
        <f t="shared" si="130"/>
        <v/>
      </c>
      <c r="S449" s="108">
        <f t="shared" si="136"/>
        <v>0</v>
      </c>
      <c r="T449" s="28">
        <f t="shared" si="122"/>
        <v>0</v>
      </c>
      <c r="U449" s="247">
        <f t="shared" si="131"/>
        <v>0</v>
      </c>
      <c r="V449" s="36" t="e">
        <f t="shared" si="132"/>
        <v>#DIV/0!</v>
      </c>
      <c r="W449" s="36" t="e">
        <f t="shared" si="133"/>
        <v>#DIV/0!</v>
      </c>
      <c r="X449" s="63" t="e">
        <f t="shared" si="123"/>
        <v>#DIV/0!</v>
      </c>
    </row>
    <row r="450" spans="1:24">
      <c r="A450" s="26"/>
      <c r="B450" s="27"/>
      <c r="C450" s="27"/>
      <c r="D450" s="27"/>
      <c r="E450" s="27"/>
      <c r="F450" s="27"/>
      <c r="G450" s="27"/>
      <c r="H450" s="27"/>
      <c r="I450" s="27"/>
      <c r="J450" s="27"/>
      <c r="K450" s="246" t="str">
        <f t="shared" si="124"/>
        <v/>
      </c>
      <c r="L450" s="246" t="str">
        <f t="shared" si="134"/>
        <v/>
      </c>
      <c r="M450" s="246" t="str">
        <f t="shared" si="125"/>
        <v/>
      </c>
      <c r="N450" s="246" t="str">
        <f t="shared" si="126"/>
        <v/>
      </c>
      <c r="O450" s="246" t="str">
        <f t="shared" si="127"/>
        <v/>
      </c>
      <c r="P450" s="246" t="str">
        <f t="shared" si="128"/>
        <v/>
      </c>
      <c r="Q450" s="23" t="str">
        <f t="shared" si="137"/>
        <v/>
      </c>
      <c r="R450" s="246" t="str">
        <f t="shared" si="130"/>
        <v/>
      </c>
      <c r="S450" s="108">
        <f t="shared" si="136"/>
        <v>0</v>
      </c>
      <c r="T450" s="28">
        <f t="shared" si="122"/>
        <v>0</v>
      </c>
      <c r="U450" s="247">
        <f t="shared" si="131"/>
        <v>0</v>
      </c>
      <c r="V450" s="36" t="e">
        <f t="shared" si="132"/>
        <v>#DIV/0!</v>
      </c>
      <c r="W450" s="36" t="e">
        <f t="shared" si="133"/>
        <v>#DIV/0!</v>
      </c>
      <c r="X450" s="63" t="e">
        <f t="shared" si="123"/>
        <v>#DIV/0!</v>
      </c>
    </row>
    <row r="451" spans="1:24">
      <c r="A451" s="26"/>
      <c r="B451" s="27"/>
      <c r="C451" s="27"/>
      <c r="D451" s="27"/>
      <c r="E451" s="27"/>
      <c r="F451" s="27"/>
      <c r="G451" s="27"/>
      <c r="H451" s="27"/>
      <c r="I451" s="27"/>
      <c r="J451" s="27"/>
      <c r="K451" s="246" t="str">
        <f t="shared" si="124"/>
        <v/>
      </c>
      <c r="L451" s="246" t="str">
        <f t="shared" si="134"/>
        <v/>
      </c>
      <c r="M451" s="246" t="str">
        <f t="shared" si="125"/>
        <v/>
      </c>
      <c r="N451" s="246" t="str">
        <f t="shared" si="126"/>
        <v/>
      </c>
      <c r="O451" s="246" t="str">
        <f t="shared" si="127"/>
        <v/>
      </c>
      <c r="P451" s="246" t="str">
        <f t="shared" si="128"/>
        <v/>
      </c>
      <c r="Q451" s="23" t="str">
        <f t="shared" si="137"/>
        <v/>
      </c>
      <c r="R451" s="246" t="str">
        <f t="shared" si="130"/>
        <v/>
      </c>
      <c r="S451" s="108">
        <f t="shared" si="136"/>
        <v>0</v>
      </c>
      <c r="T451" s="28">
        <f t="shared" si="122"/>
        <v>0</v>
      </c>
      <c r="U451" s="247">
        <f t="shared" si="131"/>
        <v>0</v>
      </c>
      <c r="V451" s="36" t="e">
        <f t="shared" si="132"/>
        <v>#DIV/0!</v>
      </c>
      <c r="W451" s="36" t="e">
        <f t="shared" si="133"/>
        <v>#DIV/0!</v>
      </c>
      <c r="X451" s="63" t="e">
        <f t="shared" si="123"/>
        <v>#DIV/0!</v>
      </c>
    </row>
    <row r="452" spans="1:24">
      <c r="A452" s="26"/>
      <c r="B452" s="27"/>
      <c r="C452" s="27"/>
      <c r="D452" s="27"/>
      <c r="E452" s="27"/>
      <c r="F452" s="27"/>
      <c r="G452" s="27"/>
      <c r="H452" s="27"/>
      <c r="I452" s="27"/>
      <c r="J452" s="27"/>
      <c r="K452" s="246" t="str">
        <f t="shared" si="124"/>
        <v/>
      </c>
      <c r="L452" s="246" t="str">
        <f t="shared" si="134"/>
        <v/>
      </c>
      <c r="M452" s="246" t="str">
        <f t="shared" si="125"/>
        <v/>
      </c>
      <c r="N452" s="246" t="str">
        <f t="shared" si="126"/>
        <v/>
      </c>
      <c r="O452" s="246" t="str">
        <f t="shared" si="127"/>
        <v/>
      </c>
      <c r="P452" s="246" t="str">
        <f t="shared" si="128"/>
        <v/>
      </c>
      <c r="Q452" s="23" t="str">
        <f t="shared" si="137"/>
        <v/>
      </c>
      <c r="R452" s="246" t="str">
        <f t="shared" si="130"/>
        <v/>
      </c>
      <c r="S452" s="108">
        <f t="shared" si="136"/>
        <v>0</v>
      </c>
      <c r="T452" s="28">
        <f t="shared" si="122"/>
        <v>0</v>
      </c>
      <c r="U452" s="247">
        <f t="shared" si="131"/>
        <v>0</v>
      </c>
      <c r="V452" s="36" t="e">
        <f t="shared" si="132"/>
        <v>#DIV/0!</v>
      </c>
      <c r="W452" s="36" t="e">
        <f t="shared" si="133"/>
        <v>#DIV/0!</v>
      </c>
      <c r="X452" s="63" t="e">
        <f t="shared" si="123"/>
        <v>#DIV/0!</v>
      </c>
    </row>
    <row r="453" spans="1:24">
      <c r="A453" s="26"/>
      <c r="B453" s="27"/>
      <c r="C453" s="27"/>
      <c r="D453" s="27"/>
      <c r="E453" s="27"/>
      <c r="F453" s="27"/>
      <c r="G453" s="27"/>
      <c r="H453" s="27"/>
      <c r="I453" s="27"/>
      <c r="J453" s="27"/>
      <c r="K453" s="246" t="str">
        <f t="shared" si="124"/>
        <v/>
      </c>
      <c r="L453" s="246" t="str">
        <f t="shared" si="134"/>
        <v/>
      </c>
      <c r="M453" s="246" t="str">
        <f t="shared" si="125"/>
        <v/>
      </c>
      <c r="N453" s="246" t="str">
        <f t="shared" si="126"/>
        <v/>
      </c>
      <c r="O453" s="246" t="str">
        <f t="shared" si="127"/>
        <v/>
      </c>
      <c r="P453" s="246" t="str">
        <f t="shared" si="128"/>
        <v/>
      </c>
      <c r="Q453" s="23" t="str">
        <f t="shared" si="137"/>
        <v/>
      </c>
      <c r="R453" s="246" t="str">
        <f t="shared" si="130"/>
        <v/>
      </c>
      <c r="S453" s="108">
        <f t="shared" si="136"/>
        <v>0</v>
      </c>
      <c r="T453" s="28">
        <f t="shared" si="122"/>
        <v>0</v>
      </c>
      <c r="U453" s="247">
        <f t="shared" si="131"/>
        <v>0</v>
      </c>
      <c r="V453" s="36" t="e">
        <f t="shared" si="132"/>
        <v>#DIV/0!</v>
      </c>
      <c r="W453" s="36" t="e">
        <f t="shared" si="133"/>
        <v>#DIV/0!</v>
      </c>
      <c r="X453" s="63" t="e">
        <f t="shared" si="123"/>
        <v>#DIV/0!</v>
      </c>
    </row>
    <row r="454" spans="1:24">
      <c r="A454" s="26"/>
      <c r="B454" s="27"/>
      <c r="C454" s="27"/>
      <c r="D454" s="27"/>
      <c r="E454" s="27"/>
      <c r="F454" s="27"/>
      <c r="G454" s="27"/>
      <c r="H454" s="27"/>
      <c r="I454" s="27"/>
      <c r="J454" s="27"/>
      <c r="K454" s="246" t="str">
        <f t="shared" si="124"/>
        <v/>
      </c>
      <c r="L454" s="246" t="str">
        <f t="shared" si="134"/>
        <v/>
      </c>
      <c r="M454" s="246" t="str">
        <f t="shared" si="125"/>
        <v/>
      </c>
      <c r="N454" s="246" t="str">
        <f t="shared" si="126"/>
        <v/>
      </c>
      <c r="O454" s="246" t="str">
        <f t="shared" si="127"/>
        <v/>
      </c>
      <c r="P454" s="246" t="str">
        <f t="shared" si="128"/>
        <v/>
      </c>
      <c r="Q454" s="23" t="str">
        <f t="shared" si="137"/>
        <v/>
      </c>
      <c r="R454" s="246" t="str">
        <f t="shared" si="130"/>
        <v/>
      </c>
      <c r="S454" s="108">
        <f t="shared" si="136"/>
        <v>0</v>
      </c>
      <c r="T454" s="28">
        <f t="shared" si="122"/>
        <v>0</v>
      </c>
      <c r="U454" s="247">
        <f t="shared" si="131"/>
        <v>0</v>
      </c>
      <c r="V454" s="36" t="e">
        <f t="shared" si="132"/>
        <v>#DIV/0!</v>
      </c>
      <c r="W454" s="36" t="e">
        <f t="shared" si="133"/>
        <v>#DIV/0!</v>
      </c>
      <c r="X454" s="63" t="e">
        <f t="shared" si="123"/>
        <v>#DIV/0!</v>
      </c>
    </row>
    <row r="455" spans="1:24">
      <c r="A455" s="26"/>
      <c r="B455" s="27"/>
      <c r="C455" s="27"/>
      <c r="D455" s="27"/>
      <c r="E455" s="27"/>
      <c r="F455" s="27"/>
      <c r="G455" s="27"/>
      <c r="H455" s="27"/>
      <c r="I455" s="27"/>
      <c r="J455" s="27"/>
      <c r="K455" s="246" t="str">
        <f t="shared" si="124"/>
        <v/>
      </c>
      <c r="L455" s="246" t="str">
        <f t="shared" si="134"/>
        <v/>
      </c>
      <c r="M455" s="246" t="str">
        <f t="shared" si="125"/>
        <v/>
      </c>
      <c r="N455" s="246" t="str">
        <f t="shared" si="126"/>
        <v/>
      </c>
      <c r="O455" s="246" t="str">
        <f t="shared" si="127"/>
        <v/>
      </c>
      <c r="P455" s="246" t="str">
        <f t="shared" si="128"/>
        <v/>
      </c>
      <c r="Q455" s="23" t="str">
        <f t="shared" si="137"/>
        <v/>
      </c>
      <c r="R455" s="246" t="str">
        <f t="shared" si="130"/>
        <v/>
      </c>
      <c r="S455" s="108">
        <f t="shared" si="136"/>
        <v>0</v>
      </c>
      <c r="T455" s="28">
        <f t="shared" si="122"/>
        <v>0</v>
      </c>
      <c r="U455" s="247">
        <f t="shared" si="131"/>
        <v>0</v>
      </c>
      <c r="V455" s="36" t="e">
        <f t="shared" si="132"/>
        <v>#DIV/0!</v>
      </c>
      <c r="W455" s="36" t="e">
        <f t="shared" si="133"/>
        <v>#DIV/0!</v>
      </c>
      <c r="X455" s="63" t="e">
        <f t="shared" si="123"/>
        <v>#DIV/0!</v>
      </c>
    </row>
    <row r="456" spans="1:24">
      <c r="A456" s="26"/>
      <c r="B456" s="27"/>
      <c r="C456" s="27"/>
      <c r="D456" s="27"/>
      <c r="E456" s="27"/>
      <c r="F456" s="27"/>
      <c r="G456" s="27"/>
      <c r="H456" s="27"/>
      <c r="I456" s="27"/>
      <c r="J456" s="27"/>
      <c r="K456" s="246" t="str">
        <f t="shared" si="124"/>
        <v/>
      </c>
      <c r="L456" s="246" t="str">
        <f t="shared" si="134"/>
        <v/>
      </c>
      <c r="M456" s="246" t="str">
        <f t="shared" si="125"/>
        <v/>
      </c>
      <c r="N456" s="246" t="str">
        <f t="shared" si="126"/>
        <v/>
      </c>
      <c r="O456" s="246" t="str">
        <f t="shared" si="127"/>
        <v/>
      </c>
      <c r="P456" s="246" t="str">
        <f t="shared" si="128"/>
        <v/>
      </c>
      <c r="Q456" s="23" t="str">
        <f t="shared" si="137"/>
        <v/>
      </c>
      <c r="R456" s="246" t="str">
        <f t="shared" si="130"/>
        <v/>
      </c>
      <c r="S456" s="108">
        <f t="shared" si="136"/>
        <v>0</v>
      </c>
      <c r="T456" s="28">
        <f t="shared" si="122"/>
        <v>0</v>
      </c>
      <c r="U456" s="247">
        <f t="shared" si="131"/>
        <v>0</v>
      </c>
      <c r="V456" s="36" t="e">
        <f t="shared" si="132"/>
        <v>#DIV/0!</v>
      </c>
      <c r="W456" s="36" t="e">
        <f t="shared" si="133"/>
        <v>#DIV/0!</v>
      </c>
      <c r="X456" s="63" t="e">
        <f t="shared" si="123"/>
        <v>#DIV/0!</v>
      </c>
    </row>
    <row r="457" spans="1:24">
      <c r="A457" s="26"/>
      <c r="B457" s="27"/>
      <c r="C457" s="27"/>
      <c r="D457" s="27"/>
      <c r="E457" s="27"/>
      <c r="F457" s="27"/>
      <c r="G457" s="27"/>
      <c r="H457" s="27"/>
      <c r="I457" s="27"/>
      <c r="J457" s="27"/>
      <c r="K457" s="246" t="str">
        <f t="shared" si="124"/>
        <v/>
      </c>
      <c r="L457" s="246" t="str">
        <f t="shared" si="134"/>
        <v/>
      </c>
      <c r="M457" s="246" t="str">
        <f t="shared" si="125"/>
        <v/>
      </c>
      <c r="N457" s="246" t="str">
        <f t="shared" si="126"/>
        <v/>
      </c>
      <c r="O457" s="246" t="str">
        <f t="shared" si="127"/>
        <v/>
      </c>
      <c r="P457" s="246" t="str">
        <f t="shared" si="128"/>
        <v/>
      </c>
      <c r="Q457" s="23" t="str">
        <f t="shared" si="137"/>
        <v/>
      </c>
      <c r="R457" s="246" t="str">
        <f t="shared" si="130"/>
        <v/>
      </c>
      <c r="S457" s="108">
        <f t="shared" si="136"/>
        <v>0</v>
      </c>
      <c r="T457" s="28">
        <f t="shared" si="122"/>
        <v>0</v>
      </c>
      <c r="U457" s="247">
        <f t="shared" si="131"/>
        <v>0</v>
      </c>
      <c r="V457" s="36" t="e">
        <f t="shared" si="132"/>
        <v>#DIV/0!</v>
      </c>
      <c r="W457" s="36" t="e">
        <f t="shared" si="133"/>
        <v>#DIV/0!</v>
      </c>
      <c r="X457" s="63" t="e">
        <f t="shared" si="123"/>
        <v>#DIV/0!</v>
      </c>
    </row>
    <row r="458" spans="1:24">
      <c r="A458" s="26"/>
      <c r="B458" s="27"/>
      <c r="C458" s="27"/>
      <c r="D458" s="27"/>
      <c r="E458" s="27"/>
      <c r="F458" s="27"/>
      <c r="G458" s="27"/>
      <c r="H458" s="27"/>
      <c r="I458" s="27"/>
      <c r="J458" s="27"/>
      <c r="K458" s="246" t="str">
        <f t="shared" si="124"/>
        <v/>
      </c>
      <c r="L458" s="246" t="str">
        <f t="shared" si="134"/>
        <v/>
      </c>
      <c r="M458" s="246" t="str">
        <f t="shared" si="125"/>
        <v/>
      </c>
      <c r="N458" s="246" t="str">
        <f t="shared" si="126"/>
        <v/>
      </c>
      <c r="O458" s="246" t="str">
        <f t="shared" si="127"/>
        <v/>
      </c>
      <c r="P458" s="246" t="str">
        <f t="shared" si="128"/>
        <v/>
      </c>
      <c r="Q458" s="23" t="str">
        <f t="shared" ref="Q458:Q521" si="138">IF(I458="","",VLOOKUP(I458,成本单价,8,0))</f>
        <v/>
      </c>
      <c r="R458" s="246" t="str">
        <f t="shared" si="130"/>
        <v/>
      </c>
      <c r="S458" s="108">
        <f t="shared" si="136"/>
        <v>0</v>
      </c>
      <c r="T458" s="28">
        <f t="shared" si="122"/>
        <v>0</v>
      </c>
      <c r="U458" s="247">
        <f t="shared" si="131"/>
        <v>0</v>
      </c>
      <c r="V458" s="36" t="e">
        <f t="shared" si="132"/>
        <v>#DIV/0!</v>
      </c>
      <c r="W458" s="36" t="e">
        <f t="shared" si="133"/>
        <v>#DIV/0!</v>
      </c>
      <c r="X458" s="63" t="e">
        <f t="shared" si="123"/>
        <v>#DIV/0!</v>
      </c>
    </row>
    <row r="459" spans="1:24">
      <c r="A459" s="26"/>
      <c r="B459" s="27"/>
      <c r="C459" s="27"/>
      <c r="D459" s="27"/>
      <c r="E459" s="27"/>
      <c r="F459" s="27"/>
      <c r="G459" s="27"/>
      <c r="H459" s="27"/>
      <c r="I459" s="27"/>
      <c r="J459" s="27"/>
      <c r="K459" s="246" t="str">
        <f t="shared" si="124"/>
        <v/>
      </c>
      <c r="L459" s="246" t="str">
        <f t="shared" si="134"/>
        <v/>
      </c>
      <c r="M459" s="246" t="str">
        <f t="shared" si="125"/>
        <v/>
      </c>
      <c r="N459" s="246" t="str">
        <f t="shared" si="126"/>
        <v/>
      </c>
      <c r="O459" s="246" t="str">
        <f t="shared" si="127"/>
        <v/>
      </c>
      <c r="P459" s="246" t="str">
        <f t="shared" si="128"/>
        <v/>
      </c>
      <c r="Q459" s="23" t="str">
        <f t="shared" si="138"/>
        <v/>
      </c>
      <c r="R459" s="246" t="str">
        <f t="shared" si="130"/>
        <v/>
      </c>
      <c r="S459" s="108">
        <f t="shared" ref="S459:S522" si="139">B459*0.2</f>
        <v>0</v>
      </c>
      <c r="T459" s="28">
        <f t="shared" ref="T459:T522" si="140">IFERROR(SUM(L459,N459,P459,R459,S459),"")</f>
        <v>0</v>
      </c>
      <c r="U459" s="247">
        <f t="shared" si="131"/>
        <v>0</v>
      </c>
      <c r="V459" s="36" t="e">
        <f t="shared" si="132"/>
        <v>#DIV/0!</v>
      </c>
      <c r="W459" s="36" t="e">
        <f t="shared" si="133"/>
        <v>#DIV/0!</v>
      </c>
      <c r="X459" s="63" t="e">
        <f t="shared" ref="X459:X522" si="141">ROUND(V459*(1+大灶毛利),1)</f>
        <v>#DIV/0!</v>
      </c>
    </row>
    <row r="460" spans="1:24">
      <c r="A460" s="26"/>
      <c r="B460" s="27"/>
      <c r="C460" s="27"/>
      <c r="D460" s="27"/>
      <c r="E460" s="27"/>
      <c r="F460" s="27"/>
      <c r="G460" s="27"/>
      <c r="H460" s="27"/>
      <c r="I460" s="27"/>
      <c r="J460" s="27"/>
      <c r="K460" s="246" t="str">
        <f t="shared" si="124"/>
        <v/>
      </c>
      <c r="L460" s="246" t="str">
        <f t="shared" si="134"/>
        <v/>
      </c>
      <c r="M460" s="246" t="str">
        <f t="shared" si="125"/>
        <v/>
      </c>
      <c r="N460" s="246" t="str">
        <f t="shared" si="126"/>
        <v/>
      </c>
      <c r="O460" s="246" t="str">
        <f t="shared" si="127"/>
        <v/>
      </c>
      <c r="P460" s="246" t="str">
        <f t="shared" si="128"/>
        <v/>
      </c>
      <c r="Q460" s="23" t="str">
        <f t="shared" si="138"/>
        <v/>
      </c>
      <c r="R460" s="246" t="str">
        <f t="shared" si="130"/>
        <v/>
      </c>
      <c r="S460" s="108">
        <f t="shared" si="139"/>
        <v>0</v>
      </c>
      <c r="T460" s="28">
        <f t="shared" si="140"/>
        <v>0</v>
      </c>
      <c r="U460" s="247">
        <f t="shared" si="131"/>
        <v>0</v>
      </c>
      <c r="V460" s="36" t="e">
        <f t="shared" si="132"/>
        <v>#DIV/0!</v>
      </c>
      <c r="W460" s="36" t="e">
        <f t="shared" si="133"/>
        <v>#DIV/0!</v>
      </c>
      <c r="X460" s="63" t="e">
        <f t="shared" si="141"/>
        <v>#DIV/0!</v>
      </c>
    </row>
    <row r="461" spans="1:24">
      <c r="A461" s="26"/>
      <c r="B461" s="27"/>
      <c r="C461" s="27"/>
      <c r="D461" s="27"/>
      <c r="E461" s="27"/>
      <c r="F461" s="27"/>
      <c r="G461" s="27"/>
      <c r="H461" s="27"/>
      <c r="I461" s="27"/>
      <c r="J461" s="27"/>
      <c r="K461" s="246" t="str">
        <f t="shared" si="124"/>
        <v/>
      </c>
      <c r="L461" s="246" t="str">
        <f t="shared" si="134"/>
        <v/>
      </c>
      <c r="M461" s="246" t="str">
        <f t="shared" si="125"/>
        <v/>
      </c>
      <c r="N461" s="246" t="str">
        <f t="shared" si="126"/>
        <v/>
      </c>
      <c r="O461" s="246" t="str">
        <f t="shared" si="127"/>
        <v/>
      </c>
      <c r="P461" s="246" t="str">
        <f t="shared" si="128"/>
        <v/>
      </c>
      <c r="Q461" s="23" t="str">
        <f t="shared" si="138"/>
        <v/>
      </c>
      <c r="R461" s="246" t="str">
        <f t="shared" si="130"/>
        <v/>
      </c>
      <c r="S461" s="108">
        <f t="shared" si="139"/>
        <v>0</v>
      </c>
      <c r="T461" s="28">
        <f t="shared" si="140"/>
        <v>0</v>
      </c>
      <c r="U461" s="247">
        <f t="shared" si="131"/>
        <v>0</v>
      </c>
      <c r="V461" s="36" t="e">
        <f t="shared" si="132"/>
        <v>#DIV/0!</v>
      </c>
      <c r="W461" s="36" t="e">
        <f t="shared" si="133"/>
        <v>#DIV/0!</v>
      </c>
      <c r="X461" s="63" t="e">
        <f t="shared" si="141"/>
        <v>#DIV/0!</v>
      </c>
    </row>
    <row r="462" spans="1:24">
      <c r="A462" s="26"/>
      <c r="B462" s="27"/>
      <c r="C462" s="27"/>
      <c r="D462" s="27"/>
      <c r="E462" s="27"/>
      <c r="F462" s="27"/>
      <c r="G462" s="27"/>
      <c r="H462" s="27"/>
      <c r="I462" s="27"/>
      <c r="J462" s="27"/>
      <c r="K462" s="246" t="str">
        <f t="shared" si="124"/>
        <v/>
      </c>
      <c r="L462" s="246" t="str">
        <f t="shared" si="134"/>
        <v/>
      </c>
      <c r="M462" s="246" t="str">
        <f t="shared" si="125"/>
        <v/>
      </c>
      <c r="N462" s="246" t="str">
        <f t="shared" si="126"/>
        <v/>
      </c>
      <c r="O462" s="246" t="str">
        <f t="shared" si="127"/>
        <v/>
      </c>
      <c r="P462" s="246" t="str">
        <f t="shared" si="128"/>
        <v/>
      </c>
      <c r="Q462" s="23" t="str">
        <f t="shared" si="138"/>
        <v/>
      </c>
      <c r="R462" s="246" t="str">
        <f t="shared" si="130"/>
        <v/>
      </c>
      <c r="S462" s="108">
        <f t="shared" si="139"/>
        <v>0</v>
      </c>
      <c r="T462" s="28">
        <f t="shared" si="140"/>
        <v>0</v>
      </c>
      <c r="U462" s="247">
        <f t="shared" si="131"/>
        <v>0</v>
      </c>
      <c r="V462" s="36" t="e">
        <f t="shared" si="132"/>
        <v>#DIV/0!</v>
      </c>
      <c r="W462" s="36" t="e">
        <f t="shared" si="133"/>
        <v>#DIV/0!</v>
      </c>
      <c r="X462" s="63" t="e">
        <f t="shared" si="141"/>
        <v>#DIV/0!</v>
      </c>
    </row>
    <row r="463" spans="1:24">
      <c r="A463" s="26"/>
      <c r="B463" s="27"/>
      <c r="C463" s="27"/>
      <c r="D463" s="27"/>
      <c r="E463" s="27"/>
      <c r="F463" s="27"/>
      <c r="G463" s="27"/>
      <c r="H463" s="27"/>
      <c r="I463" s="27"/>
      <c r="J463" s="27"/>
      <c r="K463" s="246" t="str">
        <f t="shared" ref="K463:K526" si="142">IF(C463="","",VLOOKUP(C463,成本单价,8,0))</f>
        <v/>
      </c>
      <c r="L463" s="246" t="str">
        <f t="shared" si="134"/>
        <v/>
      </c>
      <c r="M463" s="246" t="str">
        <f t="shared" ref="M463:M499" si="143">IF(E463="","",VLOOKUP(E463,成本单价,8,0))</f>
        <v/>
      </c>
      <c r="N463" s="246" t="str">
        <f t="shared" ref="N463:N526" si="144">IFERROR(F463*M463,"")</f>
        <v/>
      </c>
      <c r="O463" s="246" t="str">
        <f t="shared" ref="O463:O526" si="145">IF(G463="","",VLOOKUP(G463,成本单价,8,0))</f>
        <v/>
      </c>
      <c r="P463" s="246" t="str">
        <f t="shared" ref="P463:P526" si="146">IFERROR(H463*O463,"")</f>
        <v/>
      </c>
      <c r="Q463" s="23" t="str">
        <f t="shared" si="138"/>
        <v/>
      </c>
      <c r="R463" s="246" t="str">
        <f t="shared" ref="R463:R526" si="147">IFERROR(J463*Q463,"")</f>
        <v/>
      </c>
      <c r="S463" s="108">
        <f t="shared" si="139"/>
        <v>0</v>
      </c>
      <c r="T463" s="28">
        <f t="shared" si="140"/>
        <v>0</v>
      </c>
      <c r="U463" s="247">
        <f t="shared" ref="U463:U526" si="148">T463*(1+物料比)</f>
        <v>0</v>
      </c>
      <c r="V463" s="36" t="e">
        <f t="shared" ref="V463:V513" si="149">U463/B463</f>
        <v>#DIV/0!</v>
      </c>
      <c r="W463" s="36" t="e">
        <f t="shared" ref="W463:W489" si="150">D463/B463+F463/B463+H463/B463+J463/B463</f>
        <v>#DIV/0!</v>
      </c>
      <c r="X463" s="63" t="e">
        <f t="shared" si="141"/>
        <v>#DIV/0!</v>
      </c>
    </row>
    <row r="464" spans="1:24">
      <c r="A464" s="26"/>
      <c r="B464" s="27"/>
      <c r="C464" s="27"/>
      <c r="D464" s="27"/>
      <c r="E464" s="27"/>
      <c r="F464" s="27"/>
      <c r="G464" s="27"/>
      <c r="H464" s="27"/>
      <c r="I464" s="27"/>
      <c r="J464" s="27"/>
      <c r="K464" s="246" t="str">
        <f t="shared" si="142"/>
        <v/>
      </c>
      <c r="L464" s="246" t="str">
        <f t="shared" ref="L464:L527" si="151">IFERROR(D464*K464,"")</f>
        <v/>
      </c>
      <c r="M464" s="246" t="str">
        <f t="shared" si="143"/>
        <v/>
      </c>
      <c r="N464" s="246" t="str">
        <f t="shared" si="144"/>
        <v/>
      </c>
      <c r="O464" s="246" t="str">
        <f t="shared" si="145"/>
        <v/>
      </c>
      <c r="P464" s="246" t="str">
        <f t="shared" si="146"/>
        <v/>
      </c>
      <c r="Q464" s="23" t="str">
        <f t="shared" si="138"/>
        <v/>
      </c>
      <c r="R464" s="246" t="str">
        <f t="shared" si="147"/>
        <v/>
      </c>
      <c r="S464" s="108">
        <f t="shared" si="139"/>
        <v>0</v>
      </c>
      <c r="T464" s="28">
        <f t="shared" si="140"/>
        <v>0</v>
      </c>
      <c r="U464" s="247">
        <f t="shared" si="148"/>
        <v>0</v>
      </c>
      <c r="V464" s="36" t="e">
        <f t="shared" si="149"/>
        <v>#DIV/0!</v>
      </c>
      <c r="W464" s="36" t="e">
        <f t="shared" si="150"/>
        <v>#DIV/0!</v>
      </c>
      <c r="X464" s="63" t="e">
        <f t="shared" si="141"/>
        <v>#DIV/0!</v>
      </c>
    </row>
    <row r="465" spans="1:24">
      <c r="A465" s="26"/>
      <c r="B465" s="27"/>
      <c r="C465" s="27"/>
      <c r="D465" s="27"/>
      <c r="E465" s="27"/>
      <c r="F465" s="27"/>
      <c r="G465" s="27"/>
      <c r="H465" s="27"/>
      <c r="I465" s="27"/>
      <c r="J465" s="27"/>
      <c r="K465" s="246" t="str">
        <f t="shared" si="142"/>
        <v/>
      </c>
      <c r="L465" s="246" t="str">
        <f t="shared" si="151"/>
        <v/>
      </c>
      <c r="M465" s="246" t="str">
        <f t="shared" si="143"/>
        <v/>
      </c>
      <c r="N465" s="246" t="str">
        <f t="shared" si="144"/>
        <v/>
      </c>
      <c r="O465" s="246" t="str">
        <f t="shared" si="145"/>
        <v/>
      </c>
      <c r="P465" s="246" t="str">
        <f t="shared" si="146"/>
        <v/>
      </c>
      <c r="Q465" s="23" t="str">
        <f t="shared" si="138"/>
        <v/>
      </c>
      <c r="R465" s="246" t="str">
        <f t="shared" si="147"/>
        <v/>
      </c>
      <c r="S465" s="108">
        <f t="shared" si="139"/>
        <v>0</v>
      </c>
      <c r="T465" s="28">
        <f t="shared" si="140"/>
        <v>0</v>
      </c>
      <c r="U465" s="247">
        <f t="shared" si="148"/>
        <v>0</v>
      </c>
      <c r="V465" s="36" t="e">
        <f t="shared" si="149"/>
        <v>#DIV/0!</v>
      </c>
      <c r="W465" s="36" t="e">
        <f t="shared" si="150"/>
        <v>#DIV/0!</v>
      </c>
      <c r="X465" s="63" t="e">
        <f t="shared" si="141"/>
        <v>#DIV/0!</v>
      </c>
    </row>
    <row r="466" spans="1:24">
      <c r="A466" s="26"/>
      <c r="B466" s="27"/>
      <c r="C466" s="27"/>
      <c r="D466" s="27"/>
      <c r="E466" s="27"/>
      <c r="F466" s="27"/>
      <c r="G466" s="27"/>
      <c r="H466" s="27"/>
      <c r="I466" s="27"/>
      <c r="J466" s="27"/>
      <c r="K466" s="246" t="str">
        <f t="shared" si="142"/>
        <v/>
      </c>
      <c r="L466" s="246" t="str">
        <f t="shared" si="151"/>
        <v/>
      </c>
      <c r="M466" s="246" t="str">
        <f t="shared" si="143"/>
        <v/>
      </c>
      <c r="N466" s="246" t="str">
        <f t="shared" si="144"/>
        <v/>
      </c>
      <c r="O466" s="246" t="str">
        <f t="shared" si="145"/>
        <v/>
      </c>
      <c r="P466" s="246" t="str">
        <f t="shared" si="146"/>
        <v/>
      </c>
      <c r="Q466" s="23" t="str">
        <f t="shared" si="138"/>
        <v/>
      </c>
      <c r="R466" s="246" t="str">
        <f t="shared" si="147"/>
        <v/>
      </c>
      <c r="S466" s="108">
        <f t="shared" si="139"/>
        <v>0</v>
      </c>
      <c r="T466" s="28">
        <f t="shared" si="140"/>
        <v>0</v>
      </c>
      <c r="U466" s="247">
        <f t="shared" si="148"/>
        <v>0</v>
      </c>
      <c r="V466" s="36" t="e">
        <f t="shared" si="149"/>
        <v>#DIV/0!</v>
      </c>
      <c r="W466" s="36" t="e">
        <f t="shared" si="150"/>
        <v>#DIV/0!</v>
      </c>
      <c r="X466" s="63" t="e">
        <f t="shared" si="141"/>
        <v>#DIV/0!</v>
      </c>
    </row>
    <row r="467" spans="1:24">
      <c r="A467" s="26"/>
      <c r="B467" s="27"/>
      <c r="C467" s="27"/>
      <c r="D467" s="27"/>
      <c r="E467" s="27"/>
      <c r="F467" s="27"/>
      <c r="G467" s="27"/>
      <c r="H467" s="27"/>
      <c r="I467" s="27"/>
      <c r="J467" s="27"/>
      <c r="K467" s="246" t="str">
        <f t="shared" si="142"/>
        <v/>
      </c>
      <c r="L467" s="246" t="str">
        <f t="shared" si="151"/>
        <v/>
      </c>
      <c r="M467" s="246" t="str">
        <f t="shared" si="143"/>
        <v/>
      </c>
      <c r="N467" s="246" t="str">
        <f t="shared" si="144"/>
        <v/>
      </c>
      <c r="O467" s="246" t="str">
        <f t="shared" si="145"/>
        <v/>
      </c>
      <c r="P467" s="246" t="str">
        <f t="shared" si="146"/>
        <v/>
      </c>
      <c r="Q467" s="23" t="str">
        <f t="shared" si="138"/>
        <v/>
      </c>
      <c r="R467" s="246" t="str">
        <f t="shared" si="147"/>
        <v/>
      </c>
      <c r="S467" s="108">
        <f t="shared" si="139"/>
        <v>0</v>
      </c>
      <c r="T467" s="28">
        <f t="shared" si="140"/>
        <v>0</v>
      </c>
      <c r="U467" s="247">
        <f t="shared" si="148"/>
        <v>0</v>
      </c>
      <c r="V467" s="36" t="e">
        <f t="shared" si="149"/>
        <v>#DIV/0!</v>
      </c>
      <c r="W467" s="36" t="e">
        <f t="shared" si="150"/>
        <v>#DIV/0!</v>
      </c>
      <c r="X467" s="63" t="e">
        <f t="shared" si="141"/>
        <v>#DIV/0!</v>
      </c>
    </row>
    <row r="468" spans="1:24">
      <c r="A468" s="26"/>
      <c r="B468" s="27"/>
      <c r="C468" s="27"/>
      <c r="D468" s="27"/>
      <c r="E468" s="27"/>
      <c r="F468" s="27"/>
      <c r="G468" s="27"/>
      <c r="H468" s="27"/>
      <c r="I468" s="27"/>
      <c r="J468" s="27"/>
      <c r="K468" s="246" t="str">
        <f t="shared" si="142"/>
        <v/>
      </c>
      <c r="L468" s="246" t="str">
        <f t="shared" si="151"/>
        <v/>
      </c>
      <c r="M468" s="246" t="str">
        <f t="shared" si="143"/>
        <v/>
      </c>
      <c r="N468" s="246" t="str">
        <f t="shared" si="144"/>
        <v/>
      </c>
      <c r="O468" s="246" t="str">
        <f t="shared" si="145"/>
        <v/>
      </c>
      <c r="P468" s="246" t="str">
        <f t="shared" si="146"/>
        <v/>
      </c>
      <c r="Q468" s="23" t="str">
        <f t="shared" si="138"/>
        <v/>
      </c>
      <c r="R468" s="246" t="str">
        <f t="shared" si="147"/>
        <v/>
      </c>
      <c r="S468" s="108">
        <f t="shared" si="139"/>
        <v>0</v>
      </c>
      <c r="T468" s="28">
        <f t="shared" si="140"/>
        <v>0</v>
      </c>
      <c r="U468" s="247">
        <f t="shared" si="148"/>
        <v>0</v>
      </c>
      <c r="V468" s="36" t="e">
        <f t="shared" si="149"/>
        <v>#DIV/0!</v>
      </c>
      <c r="W468" s="36" t="e">
        <f t="shared" si="150"/>
        <v>#DIV/0!</v>
      </c>
      <c r="X468" s="63" t="e">
        <f t="shared" si="141"/>
        <v>#DIV/0!</v>
      </c>
    </row>
    <row r="469" spans="1:24">
      <c r="A469" s="26"/>
      <c r="B469" s="27"/>
      <c r="C469" s="27"/>
      <c r="D469" s="27"/>
      <c r="E469" s="27"/>
      <c r="F469" s="27"/>
      <c r="G469" s="27"/>
      <c r="H469" s="27"/>
      <c r="I469" s="27"/>
      <c r="J469" s="27"/>
      <c r="K469" s="246" t="str">
        <f t="shared" si="142"/>
        <v/>
      </c>
      <c r="L469" s="246" t="str">
        <f t="shared" si="151"/>
        <v/>
      </c>
      <c r="M469" s="246" t="str">
        <f t="shared" si="143"/>
        <v/>
      </c>
      <c r="N469" s="246" t="str">
        <f t="shared" si="144"/>
        <v/>
      </c>
      <c r="O469" s="246" t="str">
        <f t="shared" si="145"/>
        <v/>
      </c>
      <c r="P469" s="246" t="str">
        <f t="shared" si="146"/>
        <v/>
      </c>
      <c r="Q469" s="23" t="str">
        <f t="shared" si="138"/>
        <v/>
      </c>
      <c r="R469" s="246" t="str">
        <f t="shared" si="147"/>
        <v/>
      </c>
      <c r="S469" s="108">
        <f t="shared" si="139"/>
        <v>0</v>
      </c>
      <c r="T469" s="28">
        <f t="shared" si="140"/>
        <v>0</v>
      </c>
      <c r="U469" s="247">
        <f t="shared" si="148"/>
        <v>0</v>
      </c>
      <c r="V469" s="36" t="e">
        <f t="shared" si="149"/>
        <v>#DIV/0!</v>
      </c>
      <c r="W469" s="36" t="e">
        <f t="shared" si="150"/>
        <v>#DIV/0!</v>
      </c>
      <c r="X469" s="63" t="e">
        <f t="shared" si="141"/>
        <v>#DIV/0!</v>
      </c>
    </row>
    <row r="470" spans="1:24">
      <c r="A470" s="26"/>
      <c r="B470" s="27"/>
      <c r="C470" s="27"/>
      <c r="D470" s="27"/>
      <c r="E470" s="27"/>
      <c r="F470" s="27"/>
      <c r="G470" s="27"/>
      <c r="H470" s="27"/>
      <c r="I470" s="27"/>
      <c r="J470" s="27"/>
      <c r="K470" s="246" t="str">
        <f t="shared" si="142"/>
        <v/>
      </c>
      <c r="L470" s="246" t="str">
        <f t="shared" si="151"/>
        <v/>
      </c>
      <c r="M470" s="246" t="str">
        <f t="shared" si="143"/>
        <v/>
      </c>
      <c r="N470" s="246" t="str">
        <f t="shared" si="144"/>
        <v/>
      </c>
      <c r="O470" s="246" t="str">
        <f t="shared" si="145"/>
        <v/>
      </c>
      <c r="P470" s="246" t="str">
        <f t="shared" si="146"/>
        <v/>
      </c>
      <c r="Q470" s="23" t="str">
        <f t="shared" si="138"/>
        <v/>
      </c>
      <c r="R470" s="246" t="str">
        <f t="shared" si="147"/>
        <v/>
      </c>
      <c r="S470" s="108">
        <f t="shared" si="139"/>
        <v>0</v>
      </c>
      <c r="T470" s="28">
        <f t="shared" si="140"/>
        <v>0</v>
      </c>
      <c r="U470" s="247">
        <f t="shared" si="148"/>
        <v>0</v>
      </c>
      <c r="V470" s="36" t="e">
        <f t="shared" si="149"/>
        <v>#DIV/0!</v>
      </c>
      <c r="W470" s="36" t="e">
        <f t="shared" si="150"/>
        <v>#DIV/0!</v>
      </c>
      <c r="X470" s="63" t="e">
        <f t="shared" si="141"/>
        <v>#DIV/0!</v>
      </c>
    </row>
    <row r="471" spans="1:24">
      <c r="A471" s="26"/>
      <c r="B471" s="27"/>
      <c r="C471" s="27"/>
      <c r="D471" s="27"/>
      <c r="E471" s="27"/>
      <c r="F471" s="27"/>
      <c r="G471" s="27"/>
      <c r="H471" s="27"/>
      <c r="I471" s="27"/>
      <c r="J471" s="27"/>
      <c r="K471" s="246" t="str">
        <f t="shared" si="142"/>
        <v/>
      </c>
      <c r="L471" s="246" t="str">
        <f t="shared" si="151"/>
        <v/>
      </c>
      <c r="M471" s="246" t="str">
        <f t="shared" si="143"/>
        <v/>
      </c>
      <c r="N471" s="246" t="str">
        <f t="shared" si="144"/>
        <v/>
      </c>
      <c r="O471" s="246" t="str">
        <f t="shared" si="145"/>
        <v/>
      </c>
      <c r="P471" s="246" t="str">
        <f t="shared" si="146"/>
        <v/>
      </c>
      <c r="Q471" s="23" t="str">
        <f t="shared" si="138"/>
        <v/>
      </c>
      <c r="R471" s="246" t="str">
        <f t="shared" si="147"/>
        <v/>
      </c>
      <c r="S471" s="108">
        <f t="shared" si="139"/>
        <v>0</v>
      </c>
      <c r="T471" s="28">
        <f t="shared" si="140"/>
        <v>0</v>
      </c>
      <c r="U471" s="247">
        <f t="shared" si="148"/>
        <v>0</v>
      </c>
      <c r="V471" s="36" t="e">
        <f t="shared" si="149"/>
        <v>#DIV/0!</v>
      </c>
      <c r="W471" s="36" t="e">
        <f t="shared" si="150"/>
        <v>#DIV/0!</v>
      </c>
      <c r="X471" s="63" t="e">
        <f t="shared" si="141"/>
        <v>#DIV/0!</v>
      </c>
    </row>
    <row r="472" spans="1:24">
      <c r="A472" s="26"/>
      <c r="B472" s="27"/>
      <c r="C472" s="27"/>
      <c r="D472" s="27"/>
      <c r="E472" s="27"/>
      <c r="F472" s="27"/>
      <c r="G472" s="27"/>
      <c r="H472" s="27"/>
      <c r="I472" s="27"/>
      <c r="J472" s="27"/>
      <c r="K472" s="246" t="str">
        <f t="shared" si="142"/>
        <v/>
      </c>
      <c r="L472" s="246" t="str">
        <f t="shared" si="151"/>
        <v/>
      </c>
      <c r="M472" s="246" t="str">
        <f t="shared" si="143"/>
        <v/>
      </c>
      <c r="N472" s="246" t="str">
        <f t="shared" si="144"/>
        <v/>
      </c>
      <c r="O472" s="246" t="str">
        <f t="shared" si="145"/>
        <v/>
      </c>
      <c r="P472" s="246" t="str">
        <f t="shared" si="146"/>
        <v/>
      </c>
      <c r="Q472" s="23" t="str">
        <f t="shared" si="138"/>
        <v/>
      </c>
      <c r="R472" s="246" t="str">
        <f t="shared" si="147"/>
        <v/>
      </c>
      <c r="S472" s="108">
        <f t="shared" si="139"/>
        <v>0</v>
      </c>
      <c r="T472" s="28">
        <f t="shared" si="140"/>
        <v>0</v>
      </c>
      <c r="U472" s="247">
        <f t="shared" si="148"/>
        <v>0</v>
      </c>
      <c r="V472" s="36" t="e">
        <f t="shared" si="149"/>
        <v>#DIV/0!</v>
      </c>
      <c r="W472" s="36" t="e">
        <f t="shared" si="150"/>
        <v>#DIV/0!</v>
      </c>
      <c r="X472" s="63" t="e">
        <f t="shared" si="141"/>
        <v>#DIV/0!</v>
      </c>
    </row>
    <row r="473" spans="1:24">
      <c r="A473" s="26"/>
      <c r="B473" s="27"/>
      <c r="C473" s="27"/>
      <c r="D473" s="27"/>
      <c r="E473" s="27"/>
      <c r="F473" s="27"/>
      <c r="G473" s="27"/>
      <c r="H473" s="27"/>
      <c r="I473" s="27"/>
      <c r="J473" s="27"/>
      <c r="K473" s="246" t="str">
        <f t="shared" si="142"/>
        <v/>
      </c>
      <c r="L473" s="246" t="str">
        <f t="shared" si="151"/>
        <v/>
      </c>
      <c r="M473" s="246" t="str">
        <f t="shared" si="143"/>
        <v/>
      </c>
      <c r="N473" s="246" t="str">
        <f t="shared" si="144"/>
        <v/>
      </c>
      <c r="O473" s="246" t="str">
        <f t="shared" si="145"/>
        <v/>
      </c>
      <c r="P473" s="246" t="str">
        <f t="shared" si="146"/>
        <v/>
      </c>
      <c r="Q473" s="23" t="str">
        <f t="shared" si="138"/>
        <v/>
      </c>
      <c r="R473" s="246" t="str">
        <f t="shared" si="147"/>
        <v/>
      </c>
      <c r="S473" s="108">
        <f t="shared" si="139"/>
        <v>0</v>
      </c>
      <c r="T473" s="28">
        <f t="shared" si="140"/>
        <v>0</v>
      </c>
      <c r="U473" s="247">
        <f t="shared" si="148"/>
        <v>0</v>
      </c>
      <c r="V473" s="36" t="e">
        <f t="shared" si="149"/>
        <v>#DIV/0!</v>
      </c>
      <c r="W473" s="36" t="e">
        <f t="shared" si="150"/>
        <v>#DIV/0!</v>
      </c>
      <c r="X473" s="63" t="e">
        <f t="shared" si="141"/>
        <v>#DIV/0!</v>
      </c>
    </row>
    <row r="474" spans="1:24">
      <c r="A474" s="26"/>
      <c r="B474" s="27"/>
      <c r="C474" s="27"/>
      <c r="D474" s="27"/>
      <c r="E474" s="27"/>
      <c r="F474" s="27"/>
      <c r="G474" s="27"/>
      <c r="H474" s="27"/>
      <c r="I474" s="27"/>
      <c r="J474" s="27"/>
      <c r="K474" s="246" t="str">
        <f t="shared" si="142"/>
        <v/>
      </c>
      <c r="L474" s="246" t="str">
        <f t="shared" si="151"/>
        <v/>
      </c>
      <c r="M474" s="246" t="str">
        <f t="shared" si="143"/>
        <v/>
      </c>
      <c r="N474" s="246" t="str">
        <f t="shared" si="144"/>
        <v/>
      </c>
      <c r="O474" s="246" t="str">
        <f t="shared" si="145"/>
        <v/>
      </c>
      <c r="P474" s="246" t="str">
        <f t="shared" si="146"/>
        <v/>
      </c>
      <c r="Q474" s="23" t="str">
        <f t="shared" si="138"/>
        <v/>
      </c>
      <c r="R474" s="246" t="str">
        <f t="shared" si="147"/>
        <v/>
      </c>
      <c r="S474" s="108">
        <f t="shared" si="139"/>
        <v>0</v>
      </c>
      <c r="T474" s="28">
        <f t="shared" si="140"/>
        <v>0</v>
      </c>
      <c r="U474" s="247">
        <f t="shared" si="148"/>
        <v>0</v>
      </c>
      <c r="V474" s="36" t="e">
        <f t="shared" si="149"/>
        <v>#DIV/0!</v>
      </c>
      <c r="W474" s="36" t="e">
        <f t="shared" si="150"/>
        <v>#DIV/0!</v>
      </c>
      <c r="X474" s="63" t="e">
        <f t="shared" si="141"/>
        <v>#DIV/0!</v>
      </c>
    </row>
    <row r="475" spans="1:24">
      <c r="A475" s="26"/>
      <c r="B475" s="27"/>
      <c r="C475" s="27"/>
      <c r="D475" s="27"/>
      <c r="E475" s="27"/>
      <c r="F475" s="27"/>
      <c r="G475" s="27"/>
      <c r="H475" s="27"/>
      <c r="I475" s="27"/>
      <c r="J475" s="27"/>
      <c r="K475" s="246" t="str">
        <f t="shared" si="142"/>
        <v/>
      </c>
      <c r="L475" s="246" t="str">
        <f t="shared" si="151"/>
        <v/>
      </c>
      <c r="M475" s="246" t="str">
        <f t="shared" si="143"/>
        <v/>
      </c>
      <c r="N475" s="246" t="str">
        <f t="shared" si="144"/>
        <v/>
      </c>
      <c r="O475" s="246" t="str">
        <f t="shared" si="145"/>
        <v/>
      </c>
      <c r="P475" s="246" t="str">
        <f t="shared" si="146"/>
        <v/>
      </c>
      <c r="Q475" s="23" t="str">
        <f t="shared" si="138"/>
        <v/>
      </c>
      <c r="R475" s="246" t="str">
        <f t="shared" si="147"/>
        <v/>
      </c>
      <c r="S475" s="108">
        <f t="shared" si="139"/>
        <v>0</v>
      </c>
      <c r="T475" s="28">
        <f t="shared" si="140"/>
        <v>0</v>
      </c>
      <c r="U475" s="247">
        <f t="shared" si="148"/>
        <v>0</v>
      </c>
      <c r="V475" s="36" t="e">
        <f t="shared" si="149"/>
        <v>#DIV/0!</v>
      </c>
      <c r="W475" s="36" t="e">
        <f t="shared" si="150"/>
        <v>#DIV/0!</v>
      </c>
      <c r="X475" s="63" t="e">
        <f t="shared" si="141"/>
        <v>#DIV/0!</v>
      </c>
    </row>
    <row r="476" spans="1:24">
      <c r="A476" s="26"/>
      <c r="B476" s="27"/>
      <c r="C476" s="27"/>
      <c r="D476" s="27"/>
      <c r="E476" s="27"/>
      <c r="F476" s="27"/>
      <c r="G476" s="27"/>
      <c r="H476" s="27"/>
      <c r="I476" s="27"/>
      <c r="J476" s="27"/>
      <c r="K476" s="246" t="str">
        <f t="shared" si="142"/>
        <v/>
      </c>
      <c r="L476" s="246" t="str">
        <f t="shared" si="151"/>
        <v/>
      </c>
      <c r="M476" s="246" t="str">
        <f t="shared" si="143"/>
        <v/>
      </c>
      <c r="N476" s="246" t="str">
        <f t="shared" si="144"/>
        <v/>
      </c>
      <c r="O476" s="246" t="str">
        <f t="shared" si="145"/>
        <v/>
      </c>
      <c r="P476" s="246" t="str">
        <f t="shared" si="146"/>
        <v/>
      </c>
      <c r="Q476" s="23" t="str">
        <f t="shared" si="138"/>
        <v/>
      </c>
      <c r="R476" s="246" t="str">
        <f t="shared" si="147"/>
        <v/>
      </c>
      <c r="S476" s="108">
        <f t="shared" si="139"/>
        <v>0</v>
      </c>
      <c r="T476" s="28">
        <f t="shared" si="140"/>
        <v>0</v>
      </c>
      <c r="U476" s="247">
        <f t="shared" si="148"/>
        <v>0</v>
      </c>
      <c r="V476" s="36" t="e">
        <f t="shared" si="149"/>
        <v>#DIV/0!</v>
      </c>
      <c r="W476" s="36" t="e">
        <f t="shared" si="150"/>
        <v>#DIV/0!</v>
      </c>
      <c r="X476" s="63" t="e">
        <f t="shared" si="141"/>
        <v>#DIV/0!</v>
      </c>
    </row>
    <row r="477" spans="1:24">
      <c r="A477" s="26"/>
      <c r="B477" s="27"/>
      <c r="C477" s="27"/>
      <c r="D477" s="27"/>
      <c r="E477" s="27"/>
      <c r="F477" s="27"/>
      <c r="G477" s="27"/>
      <c r="H477" s="27"/>
      <c r="I477" s="27"/>
      <c r="J477" s="27"/>
      <c r="K477" s="246" t="str">
        <f t="shared" si="142"/>
        <v/>
      </c>
      <c r="L477" s="246" t="str">
        <f t="shared" si="151"/>
        <v/>
      </c>
      <c r="M477" s="246" t="str">
        <f t="shared" si="143"/>
        <v/>
      </c>
      <c r="N477" s="246" t="str">
        <f t="shared" si="144"/>
        <v/>
      </c>
      <c r="O477" s="246" t="str">
        <f t="shared" si="145"/>
        <v/>
      </c>
      <c r="P477" s="246" t="str">
        <f t="shared" si="146"/>
        <v/>
      </c>
      <c r="Q477" s="23" t="str">
        <f t="shared" si="138"/>
        <v/>
      </c>
      <c r="R477" s="246" t="str">
        <f t="shared" si="147"/>
        <v/>
      </c>
      <c r="S477" s="108">
        <f t="shared" si="139"/>
        <v>0</v>
      </c>
      <c r="T477" s="28">
        <f t="shared" si="140"/>
        <v>0</v>
      </c>
      <c r="U477" s="247">
        <f t="shared" si="148"/>
        <v>0</v>
      </c>
      <c r="V477" s="36" t="e">
        <f t="shared" si="149"/>
        <v>#DIV/0!</v>
      </c>
      <c r="W477" s="36" t="e">
        <f t="shared" si="150"/>
        <v>#DIV/0!</v>
      </c>
      <c r="X477" s="63" t="e">
        <f t="shared" si="141"/>
        <v>#DIV/0!</v>
      </c>
    </row>
    <row r="478" spans="1:24">
      <c r="A478" s="26"/>
      <c r="B478" s="27"/>
      <c r="C478" s="27"/>
      <c r="D478" s="27"/>
      <c r="E478" s="27"/>
      <c r="F478" s="27"/>
      <c r="G478" s="27"/>
      <c r="H478" s="27"/>
      <c r="I478" s="27"/>
      <c r="J478" s="27"/>
      <c r="K478" s="246" t="str">
        <f t="shared" si="142"/>
        <v/>
      </c>
      <c r="L478" s="246" t="str">
        <f t="shared" si="151"/>
        <v/>
      </c>
      <c r="M478" s="246" t="str">
        <f t="shared" si="143"/>
        <v/>
      </c>
      <c r="N478" s="246" t="str">
        <f t="shared" si="144"/>
        <v/>
      </c>
      <c r="O478" s="246" t="str">
        <f t="shared" si="145"/>
        <v/>
      </c>
      <c r="P478" s="246" t="str">
        <f t="shared" si="146"/>
        <v/>
      </c>
      <c r="Q478" s="23" t="str">
        <f t="shared" si="138"/>
        <v/>
      </c>
      <c r="R478" s="246" t="str">
        <f t="shared" si="147"/>
        <v/>
      </c>
      <c r="S478" s="108">
        <f t="shared" si="139"/>
        <v>0</v>
      </c>
      <c r="T478" s="28">
        <f t="shared" si="140"/>
        <v>0</v>
      </c>
      <c r="U478" s="247">
        <f t="shared" si="148"/>
        <v>0</v>
      </c>
      <c r="V478" s="36" t="e">
        <f t="shared" si="149"/>
        <v>#DIV/0!</v>
      </c>
      <c r="W478" s="36" t="e">
        <f t="shared" si="150"/>
        <v>#DIV/0!</v>
      </c>
      <c r="X478" s="63" t="e">
        <f t="shared" si="141"/>
        <v>#DIV/0!</v>
      </c>
    </row>
    <row r="479" spans="1:24">
      <c r="A479" s="26"/>
      <c r="B479" s="27"/>
      <c r="C479" s="27"/>
      <c r="D479" s="27"/>
      <c r="E479" s="27"/>
      <c r="F479" s="27"/>
      <c r="G479" s="27"/>
      <c r="H479" s="27"/>
      <c r="I479" s="27"/>
      <c r="J479" s="27"/>
      <c r="K479" s="246" t="str">
        <f t="shared" si="142"/>
        <v/>
      </c>
      <c r="L479" s="246" t="str">
        <f t="shared" si="151"/>
        <v/>
      </c>
      <c r="M479" s="246" t="str">
        <f t="shared" si="143"/>
        <v/>
      </c>
      <c r="N479" s="246" t="str">
        <f t="shared" si="144"/>
        <v/>
      </c>
      <c r="O479" s="246" t="str">
        <f t="shared" si="145"/>
        <v/>
      </c>
      <c r="P479" s="246" t="str">
        <f t="shared" si="146"/>
        <v/>
      </c>
      <c r="Q479" s="23" t="str">
        <f t="shared" si="138"/>
        <v/>
      </c>
      <c r="R479" s="246" t="str">
        <f t="shared" si="147"/>
        <v/>
      </c>
      <c r="S479" s="108">
        <f t="shared" si="139"/>
        <v>0</v>
      </c>
      <c r="T479" s="28">
        <f t="shared" si="140"/>
        <v>0</v>
      </c>
      <c r="U479" s="247">
        <f t="shared" si="148"/>
        <v>0</v>
      </c>
      <c r="V479" s="36" t="e">
        <f t="shared" si="149"/>
        <v>#DIV/0!</v>
      </c>
      <c r="W479" s="36" t="e">
        <f t="shared" si="150"/>
        <v>#DIV/0!</v>
      </c>
      <c r="X479" s="63" t="e">
        <f t="shared" si="141"/>
        <v>#DIV/0!</v>
      </c>
    </row>
    <row r="480" spans="1:24">
      <c r="A480" s="26"/>
      <c r="B480" s="27"/>
      <c r="C480" s="27"/>
      <c r="D480" s="27"/>
      <c r="E480" s="27"/>
      <c r="F480" s="27"/>
      <c r="G480" s="27"/>
      <c r="H480" s="27"/>
      <c r="I480" s="27"/>
      <c r="J480" s="27"/>
      <c r="K480" s="246" t="str">
        <f t="shared" si="142"/>
        <v/>
      </c>
      <c r="L480" s="246" t="str">
        <f t="shared" si="151"/>
        <v/>
      </c>
      <c r="M480" s="246" t="str">
        <f t="shared" si="143"/>
        <v/>
      </c>
      <c r="N480" s="246" t="str">
        <f t="shared" si="144"/>
        <v/>
      </c>
      <c r="O480" s="246" t="str">
        <f t="shared" si="145"/>
        <v/>
      </c>
      <c r="P480" s="246" t="str">
        <f t="shared" si="146"/>
        <v/>
      </c>
      <c r="Q480" s="23" t="str">
        <f t="shared" si="138"/>
        <v/>
      </c>
      <c r="R480" s="246" t="str">
        <f t="shared" si="147"/>
        <v/>
      </c>
      <c r="S480" s="108">
        <f t="shared" si="139"/>
        <v>0</v>
      </c>
      <c r="T480" s="28">
        <f t="shared" si="140"/>
        <v>0</v>
      </c>
      <c r="U480" s="247">
        <f t="shared" si="148"/>
        <v>0</v>
      </c>
      <c r="V480" s="36" t="e">
        <f t="shared" si="149"/>
        <v>#DIV/0!</v>
      </c>
      <c r="W480" s="36" t="e">
        <f t="shared" si="150"/>
        <v>#DIV/0!</v>
      </c>
      <c r="X480" s="63" t="e">
        <f t="shared" si="141"/>
        <v>#DIV/0!</v>
      </c>
    </row>
    <row r="481" spans="1:24">
      <c r="A481" s="26"/>
      <c r="B481" s="27"/>
      <c r="C481" s="27"/>
      <c r="D481" s="27"/>
      <c r="E481" s="27"/>
      <c r="F481" s="27"/>
      <c r="G481" s="27"/>
      <c r="H481" s="27"/>
      <c r="I481" s="27"/>
      <c r="J481" s="27"/>
      <c r="K481" s="246" t="str">
        <f t="shared" si="142"/>
        <v/>
      </c>
      <c r="L481" s="246" t="str">
        <f t="shared" si="151"/>
        <v/>
      </c>
      <c r="M481" s="246" t="str">
        <f t="shared" si="143"/>
        <v/>
      </c>
      <c r="N481" s="246" t="str">
        <f t="shared" si="144"/>
        <v/>
      </c>
      <c r="O481" s="246" t="str">
        <f t="shared" si="145"/>
        <v/>
      </c>
      <c r="P481" s="246" t="str">
        <f t="shared" si="146"/>
        <v/>
      </c>
      <c r="Q481" s="23" t="str">
        <f t="shared" si="138"/>
        <v/>
      </c>
      <c r="R481" s="246" t="str">
        <f t="shared" si="147"/>
        <v/>
      </c>
      <c r="S481" s="108">
        <f t="shared" si="139"/>
        <v>0</v>
      </c>
      <c r="T481" s="28">
        <f t="shared" si="140"/>
        <v>0</v>
      </c>
      <c r="U481" s="247">
        <f t="shared" si="148"/>
        <v>0</v>
      </c>
      <c r="V481" s="36" t="e">
        <f t="shared" si="149"/>
        <v>#DIV/0!</v>
      </c>
      <c r="W481" s="36" t="e">
        <f t="shared" si="150"/>
        <v>#DIV/0!</v>
      </c>
      <c r="X481" s="63" t="e">
        <f t="shared" si="141"/>
        <v>#DIV/0!</v>
      </c>
    </row>
    <row r="482" spans="1:24">
      <c r="A482" s="26"/>
      <c r="B482" s="27"/>
      <c r="C482" s="27"/>
      <c r="D482" s="27"/>
      <c r="E482" s="27"/>
      <c r="F482" s="27"/>
      <c r="G482" s="27"/>
      <c r="H482" s="27"/>
      <c r="I482" s="27"/>
      <c r="J482" s="27"/>
      <c r="K482" s="246" t="str">
        <f t="shared" si="142"/>
        <v/>
      </c>
      <c r="L482" s="246" t="str">
        <f t="shared" si="151"/>
        <v/>
      </c>
      <c r="M482" s="246" t="str">
        <f t="shared" si="143"/>
        <v/>
      </c>
      <c r="N482" s="246" t="str">
        <f t="shared" si="144"/>
        <v/>
      </c>
      <c r="O482" s="246" t="str">
        <f t="shared" si="145"/>
        <v/>
      </c>
      <c r="P482" s="246" t="str">
        <f t="shared" si="146"/>
        <v/>
      </c>
      <c r="Q482" s="23" t="str">
        <f t="shared" si="138"/>
        <v/>
      </c>
      <c r="R482" s="246" t="str">
        <f t="shared" si="147"/>
        <v/>
      </c>
      <c r="S482" s="108">
        <f t="shared" si="139"/>
        <v>0</v>
      </c>
      <c r="T482" s="28">
        <f t="shared" si="140"/>
        <v>0</v>
      </c>
      <c r="U482" s="247">
        <f t="shared" si="148"/>
        <v>0</v>
      </c>
      <c r="V482" s="36" t="e">
        <f t="shared" si="149"/>
        <v>#DIV/0!</v>
      </c>
      <c r="W482" s="36" t="e">
        <f t="shared" si="150"/>
        <v>#DIV/0!</v>
      </c>
      <c r="X482" s="63" t="e">
        <f t="shared" si="141"/>
        <v>#DIV/0!</v>
      </c>
    </row>
    <row r="483" spans="1:24">
      <c r="A483" s="26"/>
      <c r="B483" s="27"/>
      <c r="C483" s="27"/>
      <c r="D483" s="27"/>
      <c r="E483" s="27"/>
      <c r="F483" s="27"/>
      <c r="G483" s="27"/>
      <c r="H483" s="27"/>
      <c r="I483" s="27"/>
      <c r="J483" s="27"/>
      <c r="K483" s="246" t="str">
        <f t="shared" si="142"/>
        <v/>
      </c>
      <c r="L483" s="246" t="str">
        <f t="shared" si="151"/>
        <v/>
      </c>
      <c r="M483" s="246" t="str">
        <f t="shared" si="143"/>
        <v/>
      </c>
      <c r="N483" s="246" t="str">
        <f t="shared" si="144"/>
        <v/>
      </c>
      <c r="O483" s="246" t="str">
        <f t="shared" si="145"/>
        <v/>
      </c>
      <c r="P483" s="246" t="str">
        <f t="shared" si="146"/>
        <v/>
      </c>
      <c r="Q483" s="23" t="str">
        <f t="shared" si="138"/>
        <v/>
      </c>
      <c r="R483" s="246" t="str">
        <f t="shared" si="147"/>
        <v/>
      </c>
      <c r="S483" s="108">
        <f t="shared" si="139"/>
        <v>0</v>
      </c>
      <c r="T483" s="28">
        <f t="shared" si="140"/>
        <v>0</v>
      </c>
      <c r="U483" s="247">
        <f t="shared" si="148"/>
        <v>0</v>
      </c>
      <c r="V483" s="36" t="e">
        <f t="shared" si="149"/>
        <v>#DIV/0!</v>
      </c>
      <c r="W483" s="36" t="e">
        <f t="shared" si="150"/>
        <v>#DIV/0!</v>
      </c>
      <c r="X483" s="63" t="e">
        <f t="shared" si="141"/>
        <v>#DIV/0!</v>
      </c>
    </row>
    <row r="484" spans="1:24">
      <c r="A484" s="26"/>
      <c r="B484" s="27"/>
      <c r="C484" s="27"/>
      <c r="D484" s="27"/>
      <c r="E484" s="27"/>
      <c r="F484" s="27"/>
      <c r="G484" s="27"/>
      <c r="H484" s="27"/>
      <c r="I484" s="27"/>
      <c r="J484" s="27"/>
      <c r="K484" s="246" t="str">
        <f t="shared" si="142"/>
        <v/>
      </c>
      <c r="L484" s="246" t="str">
        <f t="shared" si="151"/>
        <v/>
      </c>
      <c r="M484" s="246" t="str">
        <f t="shared" si="143"/>
        <v/>
      </c>
      <c r="N484" s="246" t="str">
        <f t="shared" si="144"/>
        <v/>
      </c>
      <c r="O484" s="246" t="str">
        <f t="shared" si="145"/>
        <v/>
      </c>
      <c r="P484" s="246" t="str">
        <f t="shared" si="146"/>
        <v/>
      </c>
      <c r="Q484" s="23" t="str">
        <f t="shared" si="138"/>
        <v/>
      </c>
      <c r="R484" s="246" t="str">
        <f t="shared" si="147"/>
        <v/>
      </c>
      <c r="S484" s="108">
        <f t="shared" si="139"/>
        <v>0</v>
      </c>
      <c r="T484" s="28">
        <f t="shared" si="140"/>
        <v>0</v>
      </c>
      <c r="U484" s="247">
        <f t="shared" si="148"/>
        <v>0</v>
      </c>
      <c r="V484" s="36" t="e">
        <f t="shared" si="149"/>
        <v>#DIV/0!</v>
      </c>
      <c r="W484" s="36" t="e">
        <f t="shared" si="150"/>
        <v>#DIV/0!</v>
      </c>
      <c r="X484" s="63" t="e">
        <f t="shared" si="141"/>
        <v>#DIV/0!</v>
      </c>
    </row>
    <row r="485" spans="1:24">
      <c r="A485" s="26"/>
      <c r="B485" s="27"/>
      <c r="C485" s="27"/>
      <c r="D485" s="27"/>
      <c r="E485" s="27"/>
      <c r="F485" s="27"/>
      <c r="G485" s="27"/>
      <c r="H485" s="27"/>
      <c r="I485" s="27"/>
      <c r="J485" s="27"/>
      <c r="K485" s="246" t="str">
        <f t="shared" si="142"/>
        <v/>
      </c>
      <c r="L485" s="246" t="str">
        <f t="shared" si="151"/>
        <v/>
      </c>
      <c r="M485" s="246" t="str">
        <f t="shared" si="143"/>
        <v/>
      </c>
      <c r="N485" s="246" t="str">
        <f t="shared" si="144"/>
        <v/>
      </c>
      <c r="O485" s="246" t="str">
        <f t="shared" si="145"/>
        <v/>
      </c>
      <c r="P485" s="246" t="str">
        <f t="shared" si="146"/>
        <v/>
      </c>
      <c r="Q485" s="23" t="str">
        <f t="shared" si="138"/>
        <v/>
      </c>
      <c r="R485" s="246" t="str">
        <f t="shared" si="147"/>
        <v/>
      </c>
      <c r="S485" s="108">
        <f t="shared" si="139"/>
        <v>0</v>
      </c>
      <c r="T485" s="28">
        <f t="shared" si="140"/>
        <v>0</v>
      </c>
      <c r="U485" s="247">
        <f t="shared" si="148"/>
        <v>0</v>
      </c>
      <c r="V485" s="36" t="e">
        <f t="shared" si="149"/>
        <v>#DIV/0!</v>
      </c>
      <c r="W485" s="36" t="e">
        <f t="shared" si="150"/>
        <v>#DIV/0!</v>
      </c>
      <c r="X485" s="63" t="e">
        <f t="shared" si="141"/>
        <v>#DIV/0!</v>
      </c>
    </row>
    <row r="486" spans="1:24">
      <c r="A486" s="26"/>
      <c r="B486" s="27"/>
      <c r="C486" s="27"/>
      <c r="D486" s="27"/>
      <c r="E486" s="27"/>
      <c r="F486" s="27"/>
      <c r="G486" s="27"/>
      <c r="H486" s="27"/>
      <c r="I486" s="27"/>
      <c r="J486" s="27"/>
      <c r="K486" s="246" t="str">
        <f t="shared" si="142"/>
        <v/>
      </c>
      <c r="L486" s="246" t="str">
        <f t="shared" si="151"/>
        <v/>
      </c>
      <c r="M486" s="246" t="str">
        <f t="shared" si="143"/>
        <v/>
      </c>
      <c r="N486" s="246" t="str">
        <f t="shared" si="144"/>
        <v/>
      </c>
      <c r="O486" s="246" t="str">
        <f t="shared" si="145"/>
        <v/>
      </c>
      <c r="P486" s="246" t="str">
        <f t="shared" si="146"/>
        <v/>
      </c>
      <c r="Q486" s="23" t="str">
        <f t="shared" si="138"/>
        <v/>
      </c>
      <c r="R486" s="246" t="str">
        <f t="shared" si="147"/>
        <v/>
      </c>
      <c r="S486" s="108">
        <f t="shared" si="139"/>
        <v>0</v>
      </c>
      <c r="T486" s="28">
        <f t="shared" si="140"/>
        <v>0</v>
      </c>
      <c r="U486" s="247">
        <f t="shared" si="148"/>
        <v>0</v>
      </c>
      <c r="V486" s="36" t="e">
        <f t="shared" si="149"/>
        <v>#DIV/0!</v>
      </c>
      <c r="W486" s="36" t="e">
        <f t="shared" si="150"/>
        <v>#DIV/0!</v>
      </c>
      <c r="X486" s="63" t="e">
        <f t="shared" si="141"/>
        <v>#DIV/0!</v>
      </c>
    </row>
    <row r="487" spans="1:24">
      <c r="A487" s="26"/>
      <c r="B487" s="27"/>
      <c r="C487" s="27"/>
      <c r="D487" s="27"/>
      <c r="E487" s="27"/>
      <c r="F487" s="27"/>
      <c r="G487" s="27"/>
      <c r="H487" s="27"/>
      <c r="I487" s="27"/>
      <c r="J487" s="27"/>
      <c r="K487" s="246" t="str">
        <f t="shared" si="142"/>
        <v/>
      </c>
      <c r="L487" s="246" t="str">
        <f t="shared" si="151"/>
        <v/>
      </c>
      <c r="M487" s="246" t="str">
        <f t="shared" si="143"/>
        <v/>
      </c>
      <c r="N487" s="246" t="str">
        <f t="shared" si="144"/>
        <v/>
      </c>
      <c r="O487" s="246" t="str">
        <f t="shared" si="145"/>
        <v/>
      </c>
      <c r="P487" s="246" t="str">
        <f t="shared" si="146"/>
        <v/>
      </c>
      <c r="Q487" s="23" t="str">
        <f t="shared" si="138"/>
        <v/>
      </c>
      <c r="R487" s="246" t="str">
        <f t="shared" si="147"/>
        <v/>
      </c>
      <c r="S487" s="108">
        <f t="shared" si="139"/>
        <v>0</v>
      </c>
      <c r="T487" s="28">
        <f t="shared" si="140"/>
        <v>0</v>
      </c>
      <c r="U487" s="247">
        <f t="shared" si="148"/>
        <v>0</v>
      </c>
      <c r="V487" s="36" t="e">
        <f t="shared" si="149"/>
        <v>#DIV/0!</v>
      </c>
      <c r="W487" s="36" t="e">
        <f t="shared" si="150"/>
        <v>#DIV/0!</v>
      </c>
      <c r="X487" s="63" t="e">
        <f t="shared" si="141"/>
        <v>#DIV/0!</v>
      </c>
    </row>
    <row r="488" spans="1:24">
      <c r="A488" s="26"/>
      <c r="B488" s="27"/>
      <c r="C488" s="27"/>
      <c r="D488" s="27"/>
      <c r="E488" s="27"/>
      <c r="F488" s="27"/>
      <c r="G488" s="27"/>
      <c r="H488" s="27"/>
      <c r="I488" s="27"/>
      <c r="J488" s="27"/>
      <c r="K488" s="246" t="str">
        <f t="shared" si="142"/>
        <v/>
      </c>
      <c r="L488" s="246" t="str">
        <f t="shared" si="151"/>
        <v/>
      </c>
      <c r="M488" s="246" t="str">
        <f t="shared" si="143"/>
        <v/>
      </c>
      <c r="N488" s="246" t="str">
        <f t="shared" si="144"/>
        <v/>
      </c>
      <c r="O488" s="246" t="str">
        <f t="shared" si="145"/>
        <v/>
      </c>
      <c r="P488" s="246" t="str">
        <f t="shared" si="146"/>
        <v/>
      </c>
      <c r="Q488" s="23" t="str">
        <f t="shared" si="138"/>
        <v/>
      </c>
      <c r="R488" s="246" t="str">
        <f t="shared" si="147"/>
        <v/>
      </c>
      <c r="S488" s="108">
        <f t="shared" si="139"/>
        <v>0</v>
      </c>
      <c r="T488" s="28">
        <f t="shared" si="140"/>
        <v>0</v>
      </c>
      <c r="U488" s="247">
        <f t="shared" si="148"/>
        <v>0</v>
      </c>
      <c r="V488" s="36" t="e">
        <f t="shared" si="149"/>
        <v>#DIV/0!</v>
      </c>
      <c r="W488" s="36" t="e">
        <f t="shared" si="150"/>
        <v>#DIV/0!</v>
      </c>
      <c r="X488" s="63" t="e">
        <f t="shared" si="141"/>
        <v>#DIV/0!</v>
      </c>
    </row>
    <row r="489" spans="1:24">
      <c r="A489" s="26"/>
      <c r="B489" s="27"/>
      <c r="C489" s="27"/>
      <c r="D489" s="27"/>
      <c r="E489" s="27"/>
      <c r="F489" s="27"/>
      <c r="G489" s="27"/>
      <c r="H489" s="27"/>
      <c r="I489" s="27"/>
      <c r="J489" s="27"/>
      <c r="K489" s="246" t="str">
        <f t="shared" si="142"/>
        <v/>
      </c>
      <c r="L489" s="246" t="str">
        <f t="shared" si="151"/>
        <v/>
      </c>
      <c r="M489" s="246" t="str">
        <f t="shared" si="143"/>
        <v/>
      </c>
      <c r="N489" s="246" t="str">
        <f t="shared" si="144"/>
        <v/>
      </c>
      <c r="O489" s="246" t="str">
        <f t="shared" si="145"/>
        <v/>
      </c>
      <c r="P489" s="246" t="str">
        <f t="shared" si="146"/>
        <v/>
      </c>
      <c r="Q489" s="23" t="str">
        <f t="shared" si="138"/>
        <v/>
      </c>
      <c r="R489" s="246" t="str">
        <f t="shared" si="147"/>
        <v/>
      </c>
      <c r="S489" s="108">
        <f t="shared" si="139"/>
        <v>0</v>
      </c>
      <c r="T489" s="28">
        <f t="shared" si="140"/>
        <v>0</v>
      </c>
      <c r="U489" s="247">
        <f t="shared" si="148"/>
        <v>0</v>
      </c>
      <c r="V489" s="36" t="e">
        <f t="shared" si="149"/>
        <v>#DIV/0!</v>
      </c>
      <c r="W489" s="36" t="e">
        <f t="shared" si="150"/>
        <v>#DIV/0!</v>
      </c>
      <c r="X489" s="63" t="e">
        <f t="shared" si="141"/>
        <v>#DIV/0!</v>
      </c>
    </row>
    <row r="490" spans="1:24">
      <c r="A490" s="26"/>
      <c r="B490" s="27"/>
      <c r="C490" s="27"/>
      <c r="D490" s="27"/>
      <c r="E490" s="27"/>
      <c r="F490" s="27"/>
      <c r="G490" s="27"/>
      <c r="H490" s="27"/>
      <c r="I490" s="27"/>
      <c r="J490" s="27"/>
      <c r="K490" s="246" t="str">
        <f t="shared" si="142"/>
        <v/>
      </c>
      <c r="L490" s="246" t="str">
        <f t="shared" si="151"/>
        <v/>
      </c>
      <c r="M490" s="246" t="str">
        <f t="shared" si="143"/>
        <v/>
      </c>
      <c r="N490" s="246" t="str">
        <f t="shared" si="144"/>
        <v/>
      </c>
      <c r="O490" s="246" t="str">
        <f t="shared" si="145"/>
        <v/>
      </c>
      <c r="P490" s="246" t="str">
        <f t="shared" si="146"/>
        <v/>
      </c>
      <c r="Q490" s="23" t="str">
        <f t="shared" si="138"/>
        <v/>
      </c>
      <c r="R490" s="246" t="str">
        <f t="shared" si="147"/>
        <v/>
      </c>
      <c r="S490" s="108">
        <f t="shared" si="139"/>
        <v>0</v>
      </c>
      <c r="T490" s="28">
        <f t="shared" si="140"/>
        <v>0</v>
      </c>
      <c r="U490" s="247">
        <f t="shared" si="148"/>
        <v>0</v>
      </c>
      <c r="V490" s="36" t="e">
        <f t="shared" si="149"/>
        <v>#DIV/0!</v>
      </c>
      <c r="W490" s="36" t="e">
        <f t="shared" ref="W490:W521" si="152">D490/B490+F490/B490+H490/B490+J490/B490</f>
        <v>#DIV/0!</v>
      </c>
      <c r="X490" s="63" t="e">
        <f t="shared" si="141"/>
        <v>#DIV/0!</v>
      </c>
    </row>
    <row r="491" spans="1:24">
      <c r="A491" s="26"/>
      <c r="B491" s="27"/>
      <c r="C491" s="27"/>
      <c r="D491" s="27"/>
      <c r="E491" s="27"/>
      <c r="F491" s="27"/>
      <c r="G491" s="27"/>
      <c r="H491" s="27"/>
      <c r="I491" s="27"/>
      <c r="J491" s="27"/>
      <c r="K491" s="246" t="str">
        <f t="shared" si="142"/>
        <v/>
      </c>
      <c r="L491" s="246" t="str">
        <f t="shared" si="151"/>
        <v/>
      </c>
      <c r="M491" s="246" t="str">
        <f t="shared" si="143"/>
        <v/>
      </c>
      <c r="N491" s="246" t="str">
        <f t="shared" si="144"/>
        <v/>
      </c>
      <c r="O491" s="246" t="str">
        <f t="shared" si="145"/>
        <v/>
      </c>
      <c r="P491" s="246" t="str">
        <f t="shared" si="146"/>
        <v/>
      </c>
      <c r="Q491" s="23" t="str">
        <f t="shared" si="138"/>
        <v/>
      </c>
      <c r="R491" s="246" t="str">
        <f t="shared" si="147"/>
        <v/>
      </c>
      <c r="S491" s="108">
        <f t="shared" si="139"/>
        <v>0</v>
      </c>
      <c r="T491" s="28">
        <f t="shared" si="140"/>
        <v>0</v>
      </c>
      <c r="U491" s="247">
        <f t="shared" si="148"/>
        <v>0</v>
      </c>
      <c r="V491" s="36" t="e">
        <f t="shared" si="149"/>
        <v>#DIV/0!</v>
      </c>
      <c r="W491" s="36" t="e">
        <f t="shared" si="152"/>
        <v>#DIV/0!</v>
      </c>
      <c r="X491" s="63" t="e">
        <f t="shared" si="141"/>
        <v>#DIV/0!</v>
      </c>
    </row>
    <row r="492" spans="1:24">
      <c r="A492" s="26"/>
      <c r="B492" s="27"/>
      <c r="C492" s="27"/>
      <c r="D492" s="27"/>
      <c r="E492" s="27"/>
      <c r="F492" s="27"/>
      <c r="G492" s="27"/>
      <c r="H492" s="27"/>
      <c r="I492" s="27"/>
      <c r="J492" s="27"/>
      <c r="K492" s="246" t="str">
        <f t="shared" si="142"/>
        <v/>
      </c>
      <c r="L492" s="246" t="str">
        <f t="shared" si="151"/>
        <v/>
      </c>
      <c r="M492" s="246" t="str">
        <f t="shared" si="143"/>
        <v/>
      </c>
      <c r="N492" s="246" t="str">
        <f t="shared" si="144"/>
        <v/>
      </c>
      <c r="O492" s="246" t="str">
        <f t="shared" si="145"/>
        <v/>
      </c>
      <c r="P492" s="246" t="str">
        <f t="shared" si="146"/>
        <v/>
      </c>
      <c r="Q492" s="23" t="str">
        <f t="shared" si="138"/>
        <v/>
      </c>
      <c r="R492" s="246" t="str">
        <f t="shared" si="147"/>
        <v/>
      </c>
      <c r="S492" s="108">
        <f t="shared" si="139"/>
        <v>0</v>
      </c>
      <c r="T492" s="28">
        <f t="shared" si="140"/>
        <v>0</v>
      </c>
      <c r="U492" s="247">
        <f t="shared" si="148"/>
        <v>0</v>
      </c>
      <c r="V492" s="36" t="e">
        <f t="shared" si="149"/>
        <v>#DIV/0!</v>
      </c>
      <c r="W492" s="36" t="e">
        <f t="shared" si="152"/>
        <v>#DIV/0!</v>
      </c>
      <c r="X492" s="63" t="e">
        <f t="shared" si="141"/>
        <v>#DIV/0!</v>
      </c>
    </row>
    <row r="493" spans="1:24">
      <c r="A493" s="26"/>
      <c r="B493" s="27"/>
      <c r="C493" s="27"/>
      <c r="D493" s="27"/>
      <c r="E493" s="27"/>
      <c r="F493" s="27"/>
      <c r="G493" s="27"/>
      <c r="H493" s="27"/>
      <c r="I493" s="27"/>
      <c r="J493" s="27"/>
      <c r="K493" s="246" t="str">
        <f t="shared" si="142"/>
        <v/>
      </c>
      <c r="L493" s="246" t="str">
        <f t="shared" si="151"/>
        <v/>
      </c>
      <c r="M493" s="246" t="str">
        <f t="shared" si="143"/>
        <v/>
      </c>
      <c r="N493" s="246" t="str">
        <f t="shared" si="144"/>
        <v/>
      </c>
      <c r="O493" s="246" t="str">
        <f t="shared" si="145"/>
        <v/>
      </c>
      <c r="P493" s="246" t="str">
        <f t="shared" si="146"/>
        <v/>
      </c>
      <c r="Q493" s="23" t="str">
        <f t="shared" si="138"/>
        <v/>
      </c>
      <c r="R493" s="246" t="str">
        <f t="shared" si="147"/>
        <v/>
      </c>
      <c r="S493" s="108">
        <f t="shared" si="139"/>
        <v>0</v>
      </c>
      <c r="T493" s="28">
        <f t="shared" si="140"/>
        <v>0</v>
      </c>
      <c r="U493" s="247">
        <f t="shared" si="148"/>
        <v>0</v>
      </c>
      <c r="V493" s="36" t="e">
        <f t="shared" si="149"/>
        <v>#DIV/0!</v>
      </c>
      <c r="W493" s="36" t="e">
        <f t="shared" si="152"/>
        <v>#DIV/0!</v>
      </c>
      <c r="X493" s="63" t="e">
        <f t="shared" si="141"/>
        <v>#DIV/0!</v>
      </c>
    </row>
    <row r="494" spans="1:24">
      <c r="A494" s="26"/>
      <c r="B494" s="27"/>
      <c r="C494" s="27"/>
      <c r="D494" s="27"/>
      <c r="E494" s="27"/>
      <c r="F494" s="27"/>
      <c r="G494" s="27"/>
      <c r="H494" s="27"/>
      <c r="I494" s="27"/>
      <c r="J494" s="27"/>
      <c r="K494" s="246" t="str">
        <f t="shared" si="142"/>
        <v/>
      </c>
      <c r="L494" s="246" t="str">
        <f t="shared" si="151"/>
        <v/>
      </c>
      <c r="M494" s="246" t="str">
        <f t="shared" si="143"/>
        <v/>
      </c>
      <c r="N494" s="246" t="str">
        <f t="shared" si="144"/>
        <v/>
      </c>
      <c r="O494" s="246" t="str">
        <f t="shared" si="145"/>
        <v/>
      </c>
      <c r="P494" s="246" t="str">
        <f t="shared" si="146"/>
        <v/>
      </c>
      <c r="Q494" s="23" t="str">
        <f t="shared" si="138"/>
        <v/>
      </c>
      <c r="R494" s="246" t="str">
        <f t="shared" si="147"/>
        <v/>
      </c>
      <c r="S494" s="108">
        <f t="shared" si="139"/>
        <v>0</v>
      </c>
      <c r="T494" s="28">
        <f t="shared" si="140"/>
        <v>0</v>
      </c>
      <c r="U494" s="247">
        <f t="shared" si="148"/>
        <v>0</v>
      </c>
      <c r="V494" s="36" t="e">
        <f t="shared" si="149"/>
        <v>#DIV/0!</v>
      </c>
      <c r="W494" s="36" t="e">
        <f t="shared" si="152"/>
        <v>#DIV/0!</v>
      </c>
      <c r="X494" s="63" t="e">
        <f t="shared" si="141"/>
        <v>#DIV/0!</v>
      </c>
    </row>
    <row r="495" spans="1:24">
      <c r="A495" s="26"/>
      <c r="B495" s="27"/>
      <c r="C495" s="27"/>
      <c r="D495" s="27"/>
      <c r="E495" s="27"/>
      <c r="F495" s="27"/>
      <c r="G495" s="27"/>
      <c r="H495" s="27"/>
      <c r="I495" s="27"/>
      <c r="J495" s="27"/>
      <c r="K495" s="246" t="str">
        <f t="shared" si="142"/>
        <v/>
      </c>
      <c r="L495" s="246" t="str">
        <f t="shared" si="151"/>
        <v/>
      </c>
      <c r="M495" s="246" t="str">
        <f t="shared" si="143"/>
        <v/>
      </c>
      <c r="N495" s="246" t="str">
        <f t="shared" si="144"/>
        <v/>
      </c>
      <c r="O495" s="246" t="str">
        <f t="shared" si="145"/>
        <v/>
      </c>
      <c r="P495" s="246" t="str">
        <f t="shared" si="146"/>
        <v/>
      </c>
      <c r="Q495" s="23" t="str">
        <f t="shared" si="138"/>
        <v/>
      </c>
      <c r="R495" s="246" t="str">
        <f t="shared" si="147"/>
        <v/>
      </c>
      <c r="S495" s="108">
        <f t="shared" si="139"/>
        <v>0</v>
      </c>
      <c r="T495" s="28">
        <f t="shared" si="140"/>
        <v>0</v>
      </c>
      <c r="U495" s="247">
        <f t="shared" si="148"/>
        <v>0</v>
      </c>
      <c r="V495" s="36" t="e">
        <f t="shared" si="149"/>
        <v>#DIV/0!</v>
      </c>
      <c r="W495" s="36" t="e">
        <f t="shared" si="152"/>
        <v>#DIV/0!</v>
      </c>
      <c r="X495" s="63" t="e">
        <f t="shared" si="141"/>
        <v>#DIV/0!</v>
      </c>
    </row>
    <row r="496" spans="1:24">
      <c r="A496" s="26"/>
      <c r="B496" s="27"/>
      <c r="C496" s="27"/>
      <c r="D496" s="27"/>
      <c r="E496" s="27"/>
      <c r="F496" s="27"/>
      <c r="G496" s="27"/>
      <c r="H496" s="27"/>
      <c r="I496" s="27"/>
      <c r="J496" s="27"/>
      <c r="K496" s="246" t="str">
        <f t="shared" si="142"/>
        <v/>
      </c>
      <c r="L496" s="246" t="str">
        <f t="shared" si="151"/>
        <v/>
      </c>
      <c r="M496" s="246" t="str">
        <f t="shared" si="143"/>
        <v/>
      </c>
      <c r="N496" s="246" t="str">
        <f t="shared" si="144"/>
        <v/>
      </c>
      <c r="O496" s="246" t="str">
        <f t="shared" si="145"/>
        <v/>
      </c>
      <c r="P496" s="246" t="str">
        <f t="shared" si="146"/>
        <v/>
      </c>
      <c r="Q496" s="23" t="str">
        <f t="shared" si="138"/>
        <v/>
      </c>
      <c r="R496" s="246" t="str">
        <f t="shared" si="147"/>
        <v/>
      </c>
      <c r="S496" s="108">
        <f t="shared" si="139"/>
        <v>0</v>
      </c>
      <c r="T496" s="28">
        <f t="shared" si="140"/>
        <v>0</v>
      </c>
      <c r="U496" s="247">
        <f t="shared" si="148"/>
        <v>0</v>
      </c>
      <c r="V496" s="36" t="e">
        <f t="shared" si="149"/>
        <v>#DIV/0!</v>
      </c>
      <c r="W496" s="36" t="e">
        <f t="shared" si="152"/>
        <v>#DIV/0!</v>
      </c>
      <c r="X496" s="63" t="e">
        <f t="shared" si="141"/>
        <v>#DIV/0!</v>
      </c>
    </row>
    <row r="497" spans="1:24">
      <c r="A497" s="26"/>
      <c r="B497" s="27"/>
      <c r="C497" s="27"/>
      <c r="D497" s="27"/>
      <c r="E497" s="27"/>
      <c r="F497" s="27"/>
      <c r="G497" s="27"/>
      <c r="H497" s="27"/>
      <c r="I497" s="27"/>
      <c r="J497" s="27"/>
      <c r="K497" s="246" t="str">
        <f t="shared" si="142"/>
        <v/>
      </c>
      <c r="L497" s="246" t="str">
        <f t="shared" si="151"/>
        <v/>
      </c>
      <c r="M497" s="246" t="str">
        <f t="shared" si="143"/>
        <v/>
      </c>
      <c r="N497" s="246" t="str">
        <f t="shared" si="144"/>
        <v/>
      </c>
      <c r="O497" s="246" t="str">
        <f t="shared" si="145"/>
        <v/>
      </c>
      <c r="P497" s="246" t="str">
        <f t="shared" si="146"/>
        <v/>
      </c>
      <c r="Q497" s="23" t="str">
        <f t="shared" si="138"/>
        <v/>
      </c>
      <c r="R497" s="246" t="str">
        <f t="shared" si="147"/>
        <v/>
      </c>
      <c r="S497" s="108">
        <f t="shared" si="139"/>
        <v>0</v>
      </c>
      <c r="T497" s="28">
        <f t="shared" si="140"/>
        <v>0</v>
      </c>
      <c r="U497" s="247">
        <f t="shared" si="148"/>
        <v>0</v>
      </c>
      <c r="V497" s="36" t="e">
        <f t="shared" si="149"/>
        <v>#DIV/0!</v>
      </c>
      <c r="W497" s="36" t="e">
        <f t="shared" si="152"/>
        <v>#DIV/0!</v>
      </c>
      <c r="X497" s="63" t="e">
        <f t="shared" si="141"/>
        <v>#DIV/0!</v>
      </c>
    </row>
    <row r="498" spans="1:24">
      <c r="A498" s="26"/>
      <c r="B498" s="27"/>
      <c r="C498" s="27"/>
      <c r="D498" s="27"/>
      <c r="E498" s="27"/>
      <c r="F498" s="27"/>
      <c r="G498" s="27"/>
      <c r="H498" s="27"/>
      <c r="I498" s="27"/>
      <c r="J498" s="27"/>
      <c r="K498" s="246" t="str">
        <f t="shared" si="142"/>
        <v/>
      </c>
      <c r="L498" s="246" t="str">
        <f t="shared" si="151"/>
        <v/>
      </c>
      <c r="M498" s="246" t="str">
        <f t="shared" si="143"/>
        <v/>
      </c>
      <c r="N498" s="246" t="str">
        <f t="shared" si="144"/>
        <v/>
      </c>
      <c r="O498" s="246" t="str">
        <f t="shared" si="145"/>
        <v/>
      </c>
      <c r="P498" s="246" t="str">
        <f t="shared" si="146"/>
        <v/>
      </c>
      <c r="Q498" s="23" t="str">
        <f t="shared" si="138"/>
        <v/>
      </c>
      <c r="R498" s="246" t="str">
        <f t="shared" si="147"/>
        <v/>
      </c>
      <c r="S498" s="108">
        <f t="shared" si="139"/>
        <v>0</v>
      </c>
      <c r="T498" s="28">
        <f t="shared" si="140"/>
        <v>0</v>
      </c>
      <c r="U498" s="247">
        <f t="shared" si="148"/>
        <v>0</v>
      </c>
      <c r="V498" s="36" t="e">
        <f t="shared" si="149"/>
        <v>#DIV/0!</v>
      </c>
      <c r="W498" s="36" t="e">
        <f t="shared" si="152"/>
        <v>#DIV/0!</v>
      </c>
      <c r="X498" s="63" t="e">
        <f t="shared" si="141"/>
        <v>#DIV/0!</v>
      </c>
    </row>
    <row r="499" spans="1:24">
      <c r="A499" s="26"/>
      <c r="B499" s="27"/>
      <c r="C499" s="27"/>
      <c r="D499" s="27"/>
      <c r="E499" s="27"/>
      <c r="F499" s="27"/>
      <c r="G499" s="27"/>
      <c r="H499" s="27"/>
      <c r="I499" s="27"/>
      <c r="J499" s="27"/>
      <c r="K499" s="246" t="str">
        <f t="shared" si="142"/>
        <v/>
      </c>
      <c r="L499" s="246" t="str">
        <f t="shared" si="151"/>
        <v/>
      </c>
      <c r="M499" s="246" t="str">
        <f t="shared" si="143"/>
        <v/>
      </c>
      <c r="N499" s="246" t="str">
        <f t="shared" si="144"/>
        <v/>
      </c>
      <c r="O499" s="246" t="str">
        <f t="shared" si="145"/>
        <v/>
      </c>
      <c r="P499" s="246" t="str">
        <f t="shared" si="146"/>
        <v/>
      </c>
      <c r="Q499" s="23" t="str">
        <f t="shared" si="138"/>
        <v/>
      </c>
      <c r="R499" s="246" t="str">
        <f t="shared" si="147"/>
        <v/>
      </c>
      <c r="S499" s="108">
        <f t="shared" si="139"/>
        <v>0</v>
      </c>
      <c r="T499" s="28">
        <f t="shared" si="140"/>
        <v>0</v>
      </c>
      <c r="U499" s="247">
        <f t="shared" si="148"/>
        <v>0</v>
      </c>
      <c r="V499" s="36" t="e">
        <f t="shared" si="149"/>
        <v>#DIV/0!</v>
      </c>
      <c r="W499" s="36" t="e">
        <f t="shared" si="152"/>
        <v>#DIV/0!</v>
      </c>
      <c r="X499" s="63" t="e">
        <f t="shared" si="141"/>
        <v>#DIV/0!</v>
      </c>
    </row>
    <row r="500" spans="1:24">
      <c r="A500" s="26"/>
      <c r="B500" s="27"/>
      <c r="C500" s="27"/>
      <c r="D500" s="27"/>
      <c r="E500" s="27"/>
      <c r="F500" s="27"/>
      <c r="G500" s="27"/>
      <c r="H500" s="27"/>
      <c r="I500" s="27"/>
      <c r="J500" s="27"/>
      <c r="K500" s="246" t="str">
        <f t="shared" si="142"/>
        <v/>
      </c>
      <c r="L500" s="246" t="str">
        <f t="shared" si="151"/>
        <v/>
      </c>
      <c r="M500" s="23" t="str">
        <f t="shared" ref="M500:M521" si="153">IF(E500="","",VLOOKUP(E500,成本单价,8,0))</f>
        <v/>
      </c>
      <c r="N500" s="246" t="str">
        <f t="shared" si="144"/>
        <v/>
      </c>
      <c r="O500" s="246" t="str">
        <f t="shared" si="145"/>
        <v/>
      </c>
      <c r="P500" s="246" t="str">
        <f t="shared" si="146"/>
        <v/>
      </c>
      <c r="Q500" s="23" t="str">
        <f t="shared" si="138"/>
        <v/>
      </c>
      <c r="R500" s="246" t="str">
        <f t="shared" si="147"/>
        <v/>
      </c>
      <c r="S500" s="108">
        <f t="shared" si="139"/>
        <v>0</v>
      </c>
      <c r="T500" s="28">
        <f t="shared" si="140"/>
        <v>0</v>
      </c>
      <c r="U500" s="247">
        <f t="shared" si="148"/>
        <v>0</v>
      </c>
      <c r="V500" s="36" t="e">
        <f t="shared" si="149"/>
        <v>#DIV/0!</v>
      </c>
      <c r="W500" s="36" t="e">
        <f t="shared" si="152"/>
        <v>#DIV/0!</v>
      </c>
      <c r="X500" s="63" t="e">
        <f t="shared" si="141"/>
        <v>#DIV/0!</v>
      </c>
    </row>
    <row r="501" spans="1:24">
      <c r="A501" s="26"/>
      <c r="B501" s="27"/>
      <c r="C501" s="27"/>
      <c r="D501" s="27"/>
      <c r="E501" s="27"/>
      <c r="F501" s="27"/>
      <c r="G501" s="27"/>
      <c r="H501" s="27"/>
      <c r="I501" s="27"/>
      <c r="J501" s="27"/>
      <c r="K501" s="246" t="str">
        <f t="shared" si="142"/>
        <v/>
      </c>
      <c r="L501" s="246" t="str">
        <f t="shared" si="151"/>
        <v/>
      </c>
      <c r="M501" s="23" t="str">
        <f t="shared" si="153"/>
        <v/>
      </c>
      <c r="N501" s="246" t="str">
        <f t="shared" si="144"/>
        <v/>
      </c>
      <c r="O501" s="246" t="str">
        <f t="shared" si="145"/>
        <v/>
      </c>
      <c r="P501" s="246" t="str">
        <f t="shared" si="146"/>
        <v/>
      </c>
      <c r="Q501" s="23" t="str">
        <f t="shared" si="138"/>
        <v/>
      </c>
      <c r="R501" s="246" t="str">
        <f t="shared" si="147"/>
        <v/>
      </c>
      <c r="S501" s="108">
        <f t="shared" si="139"/>
        <v>0</v>
      </c>
      <c r="T501" s="28">
        <f t="shared" si="140"/>
        <v>0</v>
      </c>
      <c r="U501" s="247">
        <f t="shared" si="148"/>
        <v>0</v>
      </c>
      <c r="V501" s="36" t="e">
        <f t="shared" si="149"/>
        <v>#DIV/0!</v>
      </c>
      <c r="W501" s="36" t="e">
        <f t="shared" si="152"/>
        <v>#DIV/0!</v>
      </c>
      <c r="X501" s="63" t="e">
        <f t="shared" si="141"/>
        <v>#DIV/0!</v>
      </c>
    </row>
    <row r="502" spans="1:24">
      <c r="A502" s="26"/>
      <c r="B502" s="27"/>
      <c r="C502" s="27"/>
      <c r="D502" s="27"/>
      <c r="E502" s="27"/>
      <c r="F502" s="27"/>
      <c r="G502" s="27"/>
      <c r="H502" s="27"/>
      <c r="I502" s="27"/>
      <c r="J502" s="27"/>
      <c r="K502" s="246" t="str">
        <f t="shared" si="142"/>
        <v/>
      </c>
      <c r="L502" s="246" t="str">
        <f t="shared" si="151"/>
        <v/>
      </c>
      <c r="M502" s="23" t="str">
        <f t="shared" si="153"/>
        <v/>
      </c>
      <c r="N502" s="246" t="str">
        <f t="shared" si="144"/>
        <v/>
      </c>
      <c r="O502" s="246" t="str">
        <f t="shared" si="145"/>
        <v/>
      </c>
      <c r="P502" s="246" t="str">
        <f t="shared" si="146"/>
        <v/>
      </c>
      <c r="Q502" s="23" t="str">
        <f t="shared" si="138"/>
        <v/>
      </c>
      <c r="R502" s="246" t="str">
        <f t="shared" si="147"/>
        <v/>
      </c>
      <c r="S502" s="108">
        <f t="shared" si="139"/>
        <v>0</v>
      </c>
      <c r="T502" s="28">
        <f t="shared" si="140"/>
        <v>0</v>
      </c>
      <c r="U502" s="247">
        <f t="shared" si="148"/>
        <v>0</v>
      </c>
      <c r="V502" s="36" t="e">
        <f t="shared" si="149"/>
        <v>#DIV/0!</v>
      </c>
      <c r="W502" s="36" t="e">
        <f t="shared" si="152"/>
        <v>#DIV/0!</v>
      </c>
      <c r="X502" s="63" t="e">
        <f t="shared" si="141"/>
        <v>#DIV/0!</v>
      </c>
    </row>
    <row r="503" spans="1:24">
      <c r="A503" s="26"/>
      <c r="B503" s="27"/>
      <c r="C503" s="27"/>
      <c r="D503" s="27"/>
      <c r="E503" s="27"/>
      <c r="F503" s="27"/>
      <c r="G503" s="27"/>
      <c r="H503" s="27"/>
      <c r="I503" s="27"/>
      <c r="J503" s="27"/>
      <c r="K503" s="246" t="str">
        <f t="shared" si="142"/>
        <v/>
      </c>
      <c r="L503" s="246" t="str">
        <f t="shared" si="151"/>
        <v/>
      </c>
      <c r="M503" s="23" t="str">
        <f t="shared" si="153"/>
        <v/>
      </c>
      <c r="N503" s="246" t="str">
        <f t="shared" si="144"/>
        <v/>
      </c>
      <c r="O503" s="246" t="str">
        <f t="shared" si="145"/>
        <v/>
      </c>
      <c r="P503" s="246" t="str">
        <f t="shared" si="146"/>
        <v/>
      </c>
      <c r="Q503" s="23" t="str">
        <f t="shared" si="138"/>
        <v/>
      </c>
      <c r="R503" s="246" t="str">
        <f t="shared" si="147"/>
        <v/>
      </c>
      <c r="S503" s="108">
        <f t="shared" si="139"/>
        <v>0</v>
      </c>
      <c r="T503" s="28">
        <f t="shared" si="140"/>
        <v>0</v>
      </c>
      <c r="U503" s="247">
        <f t="shared" si="148"/>
        <v>0</v>
      </c>
      <c r="V503" s="36" t="e">
        <f t="shared" si="149"/>
        <v>#DIV/0!</v>
      </c>
      <c r="W503" s="36" t="e">
        <f t="shared" si="152"/>
        <v>#DIV/0!</v>
      </c>
      <c r="X503" s="63" t="e">
        <f t="shared" si="141"/>
        <v>#DIV/0!</v>
      </c>
    </row>
    <row r="504" spans="1:24">
      <c r="A504" s="26"/>
      <c r="B504" s="27"/>
      <c r="C504" s="27"/>
      <c r="D504" s="27"/>
      <c r="E504" s="27"/>
      <c r="F504" s="27"/>
      <c r="G504" s="27"/>
      <c r="H504" s="27"/>
      <c r="I504" s="27"/>
      <c r="J504" s="27"/>
      <c r="K504" s="246" t="str">
        <f t="shared" si="142"/>
        <v/>
      </c>
      <c r="L504" s="246" t="str">
        <f t="shared" si="151"/>
        <v/>
      </c>
      <c r="M504" s="23" t="str">
        <f t="shared" si="153"/>
        <v/>
      </c>
      <c r="N504" s="246" t="str">
        <f t="shared" si="144"/>
        <v/>
      </c>
      <c r="O504" s="246" t="str">
        <f t="shared" si="145"/>
        <v/>
      </c>
      <c r="P504" s="246" t="str">
        <f t="shared" si="146"/>
        <v/>
      </c>
      <c r="Q504" s="23" t="str">
        <f t="shared" si="138"/>
        <v/>
      </c>
      <c r="R504" s="246" t="str">
        <f t="shared" si="147"/>
        <v/>
      </c>
      <c r="S504" s="108">
        <f t="shared" si="139"/>
        <v>0</v>
      </c>
      <c r="T504" s="28">
        <f t="shared" si="140"/>
        <v>0</v>
      </c>
      <c r="U504" s="247">
        <f t="shared" si="148"/>
        <v>0</v>
      </c>
      <c r="V504" s="36" t="e">
        <f t="shared" si="149"/>
        <v>#DIV/0!</v>
      </c>
      <c r="W504" s="36" t="e">
        <f t="shared" si="152"/>
        <v>#DIV/0!</v>
      </c>
      <c r="X504" s="63" t="e">
        <f t="shared" si="141"/>
        <v>#DIV/0!</v>
      </c>
    </row>
    <row r="505" spans="1:24">
      <c r="A505" s="26"/>
      <c r="B505" s="27"/>
      <c r="C505" s="27"/>
      <c r="D505" s="27"/>
      <c r="E505" s="27"/>
      <c r="F505" s="27"/>
      <c r="G505" s="27"/>
      <c r="H505" s="27"/>
      <c r="I505" s="27"/>
      <c r="J505" s="27"/>
      <c r="K505" s="246" t="str">
        <f t="shared" si="142"/>
        <v/>
      </c>
      <c r="L505" s="246" t="str">
        <f t="shared" si="151"/>
        <v/>
      </c>
      <c r="M505" s="23" t="str">
        <f t="shared" si="153"/>
        <v/>
      </c>
      <c r="N505" s="246" t="str">
        <f t="shared" si="144"/>
        <v/>
      </c>
      <c r="O505" s="246" t="str">
        <f t="shared" si="145"/>
        <v/>
      </c>
      <c r="P505" s="246" t="str">
        <f t="shared" si="146"/>
        <v/>
      </c>
      <c r="Q505" s="23" t="str">
        <f t="shared" si="138"/>
        <v/>
      </c>
      <c r="R505" s="246" t="str">
        <f t="shared" si="147"/>
        <v/>
      </c>
      <c r="S505" s="108">
        <f t="shared" si="139"/>
        <v>0</v>
      </c>
      <c r="T505" s="28">
        <f t="shared" si="140"/>
        <v>0</v>
      </c>
      <c r="U505" s="247">
        <f t="shared" si="148"/>
        <v>0</v>
      </c>
      <c r="V505" s="36" t="e">
        <f t="shared" si="149"/>
        <v>#DIV/0!</v>
      </c>
      <c r="W505" s="36" t="e">
        <f t="shared" si="152"/>
        <v>#DIV/0!</v>
      </c>
      <c r="X505" s="63" t="e">
        <f t="shared" si="141"/>
        <v>#DIV/0!</v>
      </c>
    </row>
    <row r="506" spans="1:24">
      <c r="A506" s="26"/>
      <c r="B506" s="27"/>
      <c r="C506" s="27"/>
      <c r="D506" s="27"/>
      <c r="E506" s="27"/>
      <c r="F506" s="27"/>
      <c r="G506" s="27"/>
      <c r="H506" s="27"/>
      <c r="I506" s="27"/>
      <c r="J506" s="27"/>
      <c r="K506" s="246" t="str">
        <f t="shared" si="142"/>
        <v/>
      </c>
      <c r="L506" s="246" t="str">
        <f t="shared" si="151"/>
        <v/>
      </c>
      <c r="M506" s="23" t="str">
        <f t="shared" si="153"/>
        <v/>
      </c>
      <c r="N506" s="246" t="str">
        <f t="shared" si="144"/>
        <v/>
      </c>
      <c r="O506" s="246" t="str">
        <f t="shared" si="145"/>
        <v/>
      </c>
      <c r="P506" s="246" t="str">
        <f t="shared" si="146"/>
        <v/>
      </c>
      <c r="Q506" s="23" t="str">
        <f t="shared" si="138"/>
        <v/>
      </c>
      <c r="R506" s="246" t="str">
        <f t="shared" si="147"/>
        <v/>
      </c>
      <c r="S506" s="108">
        <f t="shared" si="139"/>
        <v>0</v>
      </c>
      <c r="T506" s="28">
        <f t="shared" si="140"/>
        <v>0</v>
      </c>
      <c r="U506" s="247">
        <f t="shared" si="148"/>
        <v>0</v>
      </c>
      <c r="V506" s="36" t="e">
        <f t="shared" si="149"/>
        <v>#DIV/0!</v>
      </c>
      <c r="W506" s="36" t="e">
        <f t="shared" si="152"/>
        <v>#DIV/0!</v>
      </c>
      <c r="X506" s="63" t="e">
        <f t="shared" si="141"/>
        <v>#DIV/0!</v>
      </c>
    </row>
    <row r="507" spans="1:24">
      <c r="A507" s="26"/>
      <c r="B507" s="27"/>
      <c r="C507" s="27"/>
      <c r="D507" s="27"/>
      <c r="E507" s="27"/>
      <c r="F507" s="27"/>
      <c r="G507" s="27"/>
      <c r="H507" s="27"/>
      <c r="I507" s="27"/>
      <c r="J507" s="27"/>
      <c r="K507" s="246" t="str">
        <f t="shared" si="142"/>
        <v/>
      </c>
      <c r="L507" s="246" t="str">
        <f t="shared" si="151"/>
        <v/>
      </c>
      <c r="M507" s="23" t="str">
        <f t="shared" si="153"/>
        <v/>
      </c>
      <c r="N507" s="246" t="str">
        <f t="shared" si="144"/>
        <v/>
      </c>
      <c r="O507" s="246" t="str">
        <f t="shared" si="145"/>
        <v/>
      </c>
      <c r="P507" s="246" t="str">
        <f t="shared" si="146"/>
        <v/>
      </c>
      <c r="Q507" s="23" t="str">
        <f t="shared" si="138"/>
        <v/>
      </c>
      <c r="R507" s="246" t="str">
        <f t="shared" si="147"/>
        <v/>
      </c>
      <c r="S507" s="108">
        <f t="shared" si="139"/>
        <v>0</v>
      </c>
      <c r="T507" s="28">
        <f t="shared" si="140"/>
        <v>0</v>
      </c>
      <c r="U507" s="247">
        <f t="shared" si="148"/>
        <v>0</v>
      </c>
      <c r="V507" s="36" t="e">
        <f t="shared" si="149"/>
        <v>#DIV/0!</v>
      </c>
      <c r="W507" s="36" t="e">
        <f t="shared" si="152"/>
        <v>#DIV/0!</v>
      </c>
      <c r="X507" s="63" t="e">
        <f t="shared" si="141"/>
        <v>#DIV/0!</v>
      </c>
    </row>
    <row r="508" spans="1:24">
      <c r="A508" s="26"/>
      <c r="B508" s="27"/>
      <c r="C508" s="27"/>
      <c r="D508" s="27"/>
      <c r="E508" s="27"/>
      <c r="F508" s="27"/>
      <c r="G508" s="27"/>
      <c r="H508" s="27"/>
      <c r="I508" s="27"/>
      <c r="J508" s="27"/>
      <c r="K508" s="246" t="str">
        <f t="shared" si="142"/>
        <v/>
      </c>
      <c r="L508" s="246" t="str">
        <f t="shared" si="151"/>
        <v/>
      </c>
      <c r="M508" s="23" t="str">
        <f t="shared" si="153"/>
        <v/>
      </c>
      <c r="N508" s="246" t="str">
        <f t="shared" si="144"/>
        <v/>
      </c>
      <c r="O508" s="246" t="str">
        <f t="shared" si="145"/>
        <v/>
      </c>
      <c r="P508" s="246" t="str">
        <f t="shared" si="146"/>
        <v/>
      </c>
      <c r="Q508" s="23" t="str">
        <f t="shared" si="138"/>
        <v/>
      </c>
      <c r="R508" s="246" t="str">
        <f t="shared" si="147"/>
        <v/>
      </c>
      <c r="S508" s="108">
        <f t="shared" si="139"/>
        <v>0</v>
      </c>
      <c r="T508" s="28">
        <f t="shared" si="140"/>
        <v>0</v>
      </c>
      <c r="U508" s="247">
        <f t="shared" si="148"/>
        <v>0</v>
      </c>
      <c r="V508" s="36" t="e">
        <f t="shared" si="149"/>
        <v>#DIV/0!</v>
      </c>
      <c r="W508" s="36" t="e">
        <f t="shared" si="152"/>
        <v>#DIV/0!</v>
      </c>
      <c r="X508" s="63" t="e">
        <f t="shared" si="141"/>
        <v>#DIV/0!</v>
      </c>
    </row>
    <row r="509" spans="1:24">
      <c r="A509" s="26"/>
      <c r="B509" s="27"/>
      <c r="C509" s="27"/>
      <c r="D509" s="27"/>
      <c r="E509" s="27"/>
      <c r="F509" s="27"/>
      <c r="G509" s="27"/>
      <c r="H509" s="27"/>
      <c r="I509" s="27"/>
      <c r="J509" s="27"/>
      <c r="K509" s="246" t="str">
        <f t="shared" si="142"/>
        <v/>
      </c>
      <c r="L509" s="246" t="str">
        <f t="shared" si="151"/>
        <v/>
      </c>
      <c r="M509" s="23" t="str">
        <f t="shared" si="153"/>
        <v/>
      </c>
      <c r="N509" s="246" t="str">
        <f t="shared" si="144"/>
        <v/>
      </c>
      <c r="O509" s="246" t="str">
        <f t="shared" si="145"/>
        <v/>
      </c>
      <c r="P509" s="246" t="str">
        <f t="shared" si="146"/>
        <v/>
      </c>
      <c r="Q509" s="23" t="str">
        <f t="shared" si="138"/>
        <v/>
      </c>
      <c r="R509" s="246" t="str">
        <f t="shared" si="147"/>
        <v/>
      </c>
      <c r="S509" s="108">
        <f t="shared" si="139"/>
        <v>0</v>
      </c>
      <c r="T509" s="28">
        <f t="shared" si="140"/>
        <v>0</v>
      </c>
      <c r="U509" s="247">
        <f t="shared" si="148"/>
        <v>0</v>
      </c>
      <c r="V509" s="36" t="e">
        <f t="shared" si="149"/>
        <v>#DIV/0!</v>
      </c>
      <c r="W509" s="36" t="e">
        <f t="shared" si="152"/>
        <v>#DIV/0!</v>
      </c>
      <c r="X509" s="63" t="e">
        <f t="shared" si="141"/>
        <v>#DIV/0!</v>
      </c>
    </row>
    <row r="510" spans="1:24">
      <c r="A510" s="26"/>
      <c r="B510" s="27"/>
      <c r="C510" s="27"/>
      <c r="D510" s="27"/>
      <c r="E510" s="27"/>
      <c r="F510" s="27"/>
      <c r="G510" s="27"/>
      <c r="H510" s="27"/>
      <c r="I510" s="27"/>
      <c r="J510" s="27"/>
      <c r="K510" s="246" t="str">
        <f t="shared" si="142"/>
        <v/>
      </c>
      <c r="L510" s="246" t="str">
        <f t="shared" si="151"/>
        <v/>
      </c>
      <c r="M510" s="23" t="str">
        <f t="shared" si="153"/>
        <v/>
      </c>
      <c r="N510" s="246" t="str">
        <f t="shared" si="144"/>
        <v/>
      </c>
      <c r="O510" s="246" t="str">
        <f t="shared" si="145"/>
        <v/>
      </c>
      <c r="P510" s="246" t="str">
        <f t="shared" si="146"/>
        <v/>
      </c>
      <c r="Q510" s="23" t="str">
        <f t="shared" si="138"/>
        <v/>
      </c>
      <c r="R510" s="246" t="str">
        <f t="shared" si="147"/>
        <v/>
      </c>
      <c r="S510" s="108">
        <f t="shared" si="139"/>
        <v>0</v>
      </c>
      <c r="T510" s="28">
        <f t="shared" si="140"/>
        <v>0</v>
      </c>
      <c r="U510" s="247">
        <f t="shared" si="148"/>
        <v>0</v>
      </c>
      <c r="V510" s="36" t="e">
        <f t="shared" si="149"/>
        <v>#DIV/0!</v>
      </c>
      <c r="W510" s="36" t="e">
        <f t="shared" si="152"/>
        <v>#DIV/0!</v>
      </c>
      <c r="X510" s="63" t="e">
        <f t="shared" si="141"/>
        <v>#DIV/0!</v>
      </c>
    </row>
    <row r="511" spans="1:24">
      <c r="A511" s="26"/>
      <c r="B511" s="27"/>
      <c r="C511" s="27"/>
      <c r="D511" s="27"/>
      <c r="E511" s="27"/>
      <c r="F511" s="27"/>
      <c r="G511" s="27"/>
      <c r="H511" s="27"/>
      <c r="I511" s="27"/>
      <c r="J511" s="27"/>
      <c r="K511" s="246" t="str">
        <f t="shared" si="142"/>
        <v/>
      </c>
      <c r="L511" s="246" t="str">
        <f t="shared" si="151"/>
        <v/>
      </c>
      <c r="M511" s="23" t="str">
        <f t="shared" si="153"/>
        <v/>
      </c>
      <c r="N511" s="246" t="str">
        <f t="shared" si="144"/>
        <v/>
      </c>
      <c r="O511" s="246" t="str">
        <f t="shared" si="145"/>
        <v/>
      </c>
      <c r="P511" s="246" t="str">
        <f t="shared" si="146"/>
        <v/>
      </c>
      <c r="Q511" s="23" t="str">
        <f t="shared" si="138"/>
        <v/>
      </c>
      <c r="R511" s="246" t="str">
        <f t="shared" si="147"/>
        <v/>
      </c>
      <c r="S511" s="108">
        <f t="shared" si="139"/>
        <v>0</v>
      </c>
      <c r="T511" s="28">
        <f t="shared" si="140"/>
        <v>0</v>
      </c>
      <c r="U511" s="247">
        <f t="shared" si="148"/>
        <v>0</v>
      </c>
      <c r="V511" s="36" t="e">
        <f t="shared" si="149"/>
        <v>#DIV/0!</v>
      </c>
      <c r="W511" s="36" t="e">
        <f t="shared" si="152"/>
        <v>#DIV/0!</v>
      </c>
      <c r="X511" s="63" t="e">
        <f t="shared" si="141"/>
        <v>#DIV/0!</v>
      </c>
    </row>
    <row r="512" spans="1:24">
      <c r="A512" s="26"/>
      <c r="B512" s="27"/>
      <c r="C512" s="27"/>
      <c r="D512" s="27"/>
      <c r="E512" s="27"/>
      <c r="F512" s="27"/>
      <c r="G512" s="27"/>
      <c r="H512" s="27"/>
      <c r="I512" s="27"/>
      <c r="J512" s="27"/>
      <c r="K512" s="246" t="str">
        <f t="shared" si="142"/>
        <v/>
      </c>
      <c r="L512" s="246" t="str">
        <f t="shared" si="151"/>
        <v/>
      </c>
      <c r="M512" s="23" t="str">
        <f t="shared" si="153"/>
        <v/>
      </c>
      <c r="N512" s="246" t="str">
        <f t="shared" si="144"/>
        <v/>
      </c>
      <c r="O512" s="246" t="str">
        <f t="shared" si="145"/>
        <v/>
      </c>
      <c r="P512" s="246" t="str">
        <f t="shared" si="146"/>
        <v/>
      </c>
      <c r="Q512" s="23" t="str">
        <f t="shared" si="138"/>
        <v/>
      </c>
      <c r="R512" s="246" t="str">
        <f t="shared" si="147"/>
        <v/>
      </c>
      <c r="S512" s="108">
        <f t="shared" si="139"/>
        <v>0</v>
      </c>
      <c r="T512" s="28">
        <f t="shared" si="140"/>
        <v>0</v>
      </c>
      <c r="U512" s="247">
        <f t="shared" si="148"/>
        <v>0</v>
      </c>
      <c r="V512" s="36" t="e">
        <f t="shared" si="149"/>
        <v>#DIV/0!</v>
      </c>
      <c r="W512" s="36" t="e">
        <f t="shared" si="152"/>
        <v>#DIV/0!</v>
      </c>
      <c r="X512" s="63" t="e">
        <f t="shared" si="141"/>
        <v>#DIV/0!</v>
      </c>
    </row>
    <row r="513" spans="1:24">
      <c r="A513" s="26"/>
      <c r="B513" s="27"/>
      <c r="C513" s="27"/>
      <c r="D513" s="27"/>
      <c r="E513" s="27"/>
      <c r="F513" s="27"/>
      <c r="G513" s="27"/>
      <c r="H513" s="27"/>
      <c r="I513" s="27"/>
      <c r="J513" s="27"/>
      <c r="K513" s="246" t="str">
        <f t="shared" si="142"/>
        <v/>
      </c>
      <c r="L513" s="246" t="str">
        <f t="shared" si="151"/>
        <v/>
      </c>
      <c r="M513" s="23" t="str">
        <f t="shared" si="153"/>
        <v/>
      </c>
      <c r="N513" s="246" t="str">
        <f t="shared" si="144"/>
        <v/>
      </c>
      <c r="O513" s="246" t="str">
        <f t="shared" si="145"/>
        <v/>
      </c>
      <c r="P513" s="246" t="str">
        <f t="shared" si="146"/>
        <v/>
      </c>
      <c r="Q513" s="23" t="str">
        <f t="shared" si="138"/>
        <v/>
      </c>
      <c r="R513" s="246" t="str">
        <f t="shared" si="147"/>
        <v/>
      </c>
      <c r="S513" s="108">
        <f t="shared" si="139"/>
        <v>0</v>
      </c>
      <c r="T513" s="28">
        <f t="shared" si="140"/>
        <v>0</v>
      </c>
      <c r="U513" s="247">
        <f t="shared" si="148"/>
        <v>0</v>
      </c>
      <c r="V513" s="36" t="e">
        <f t="shared" si="149"/>
        <v>#DIV/0!</v>
      </c>
      <c r="W513" s="36" t="e">
        <f t="shared" si="152"/>
        <v>#DIV/0!</v>
      </c>
      <c r="X513" s="63" t="e">
        <f t="shared" si="141"/>
        <v>#DIV/0!</v>
      </c>
    </row>
    <row r="514" spans="1:24">
      <c r="A514" s="26"/>
      <c r="B514" s="27"/>
      <c r="C514" s="27"/>
      <c r="D514" s="27"/>
      <c r="E514" s="27"/>
      <c r="F514" s="27"/>
      <c r="G514" s="27"/>
      <c r="H514" s="27"/>
      <c r="I514" s="27"/>
      <c r="J514" s="27"/>
      <c r="K514" s="246" t="str">
        <f t="shared" si="142"/>
        <v/>
      </c>
      <c r="L514" s="246" t="str">
        <f t="shared" si="151"/>
        <v/>
      </c>
      <c r="M514" s="23" t="str">
        <f t="shared" si="153"/>
        <v/>
      </c>
      <c r="N514" s="246" t="str">
        <f t="shared" si="144"/>
        <v/>
      </c>
      <c r="O514" s="246" t="str">
        <f t="shared" si="145"/>
        <v/>
      </c>
      <c r="P514" s="246" t="str">
        <f t="shared" si="146"/>
        <v/>
      </c>
      <c r="Q514" s="23" t="str">
        <f t="shared" si="138"/>
        <v/>
      </c>
      <c r="R514" s="246" t="str">
        <f t="shared" si="147"/>
        <v/>
      </c>
      <c r="S514" s="108">
        <f t="shared" si="139"/>
        <v>0</v>
      </c>
      <c r="T514" s="28">
        <f t="shared" si="140"/>
        <v>0</v>
      </c>
      <c r="U514" s="247">
        <f t="shared" si="148"/>
        <v>0</v>
      </c>
      <c r="V514" s="36" t="e">
        <f t="shared" ref="V514:V521" si="154">U514/B514</f>
        <v>#DIV/0!</v>
      </c>
      <c r="W514" s="36" t="e">
        <f t="shared" si="152"/>
        <v>#DIV/0!</v>
      </c>
      <c r="X514" s="63" t="e">
        <f t="shared" si="141"/>
        <v>#DIV/0!</v>
      </c>
    </row>
    <row r="515" spans="1:24">
      <c r="A515" s="26"/>
      <c r="B515" s="27"/>
      <c r="C515" s="27"/>
      <c r="D515" s="27"/>
      <c r="E515" s="27"/>
      <c r="F515" s="27"/>
      <c r="G515" s="27"/>
      <c r="H515" s="27"/>
      <c r="I515" s="27"/>
      <c r="J515" s="27"/>
      <c r="K515" s="246" t="str">
        <f t="shared" si="142"/>
        <v/>
      </c>
      <c r="L515" s="246" t="str">
        <f t="shared" si="151"/>
        <v/>
      </c>
      <c r="M515" s="23" t="str">
        <f t="shared" si="153"/>
        <v/>
      </c>
      <c r="N515" s="246" t="str">
        <f t="shared" si="144"/>
        <v/>
      </c>
      <c r="O515" s="246" t="str">
        <f t="shared" si="145"/>
        <v/>
      </c>
      <c r="P515" s="246" t="str">
        <f t="shared" si="146"/>
        <v/>
      </c>
      <c r="Q515" s="23" t="str">
        <f t="shared" si="138"/>
        <v/>
      </c>
      <c r="R515" s="246" t="str">
        <f t="shared" si="147"/>
        <v/>
      </c>
      <c r="S515" s="108">
        <f t="shared" si="139"/>
        <v>0</v>
      </c>
      <c r="T515" s="28">
        <f t="shared" si="140"/>
        <v>0</v>
      </c>
      <c r="U515" s="247">
        <f t="shared" si="148"/>
        <v>0</v>
      </c>
      <c r="V515" s="36" t="e">
        <f t="shared" si="154"/>
        <v>#DIV/0!</v>
      </c>
      <c r="W515" s="36" t="e">
        <f t="shared" si="152"/>
        <v>#DIV/0!</v>
      </c>
      <c r="X515" s="63" t="e">
        <f t="shared" si="141"/>
        <v>#DIV/0!</v>
      </c>
    </row>
    <row r="516" spans="1:24">
      <c r="A516" s="26"/>
      <c r="B516" s="27"/>
      <c r="C516" s="27"/>
      <c r="D516" s="27"/>
      <c r="E516" s="27"/>
      <c r="F516" s="27"/>
      <c r="G516" s="27"/>
      <c r="H516" s="27"/>
      <c r="I516" s="27"/>
      <c r="J516" s="27"/>
      <c r="K516" s="246" t="str">
        <f t="shared" si="142"/>
        <v/>
      </c>
      <c r="L516" s="246" t="str">
        <f t="shared" si="151"/>
        <v/>
      </c>
      <c r="M516" s="23" t="str">
        <f t="shared" si="153"/>
        <v/>
      </c>
      <c r="N516" s="246" t="str">
        <f t="shared" si="144"/>
        <v/>
      </c>
      <c r="O516" s="246" t="str">
        <f t="shared" si="145"/>
        <v/>
      </c>
      <c r="P516" s="246" t="str">
        <f t="shared" si="146"/>
        <v/>
      </c>
      <c r="Q516" s="23" t="str">
        <f t="shared" si="138"/>
        <v/>
      </c>
      <c r="R516" s="246" t="str">
        <f t="shared" si="147"/>
        <v/>
      </c>
      <c r="S516" s="108">
        <f t="shared" si="139"/>
        <v>0</v>
      </c>
      <c r="T516" s="28">
        <f t="shared" si="140"/>
        <v>0</v>
      </c>
      <c r="U516" s="247">
        <f t="shared" si="148"/>
        <v>0</v>
      </c>
      <c r="V516" s="36" t="e">
        <f t="shared" si="154"/>
        <v>#DIV/0!</v>
      </c>
      <c r="W516" s="36" t="e">
        <f t="shared" si="152"/>
        <v>#DIV/0!</v>
      </c>
      <c r="X516" s="63" t="e">
        <f t="shared" si="141"/>
        <v>#DIV/0!</v>
      </c>
    </row>
    <row r="517" spans="1:24">
      <c r="A517" s="26"/>
      <c r="B517" s="27"/>
      <c r="C517" s="27"/>
      <c r="D517" s="27"/>
      <c r="E517" s="27"/>
      <c r="F517" s="27"/>
      <c r="G517" s="27"/>
      <c r="H517" s="27"/>
      <c r="I517" s="27"/>
      <c r="J517" s="27"/>
      <c r="K517" s="246" t="str">
        <f t="shared" si="142"/>
        <v/>
      </c>
      <c r="L517" s="246" t="str">
        <f t="shared" si="151"/>
        <v/>
      </c>
      <c r="M517" s="23" t="str">
        <f t="shared" si="153"/>
        <v/>
      </c>
      <c r="N517" s="246" t="str">
        <f t="shared" si="144"/>
        <v/>
      </c>
      <c r="O517" s="246" t="str">
        <f t="shared" si="145"/>
        <v/>
      </c>
      <c r="P517" s="246" t="str">
        <f t="shared" si="146"/>
        <v/>
      </c>
      <c r="Q517" s="23" t="str">
        <f t="shared" si="138"/>
        <v/>
      </c>
      <c r="R517" s="246" t="str">
        <f t="shared" si="147"/>
        <v/>
      </c>
      <c r="S517" s="108">
        <f t="shared" si="139"/>
        <v>0</v>
      </c>
      <c r="T517" s="28">
        <f t="shared" si="140"/>
        <v>0</v>
      </c>
      <c r="U517" s="247">
        <f t="shared" si="148"/>
        <v>0</v>
      </c>
      <c r="V517" s="36" t="e">
        <f t="shared" si="154"/>
        <v>#DIV/0!</v>
      </c>
      <c r="W517" s="36" t="e">
        <f t="shared" si="152"/>
        <v>#DIV/0!</v>
      </c>
      <c r="X517" s="63" t="e">
        <f t="shared" si="141"/>
        <v>#DIV/0!</v>
      </c>
    </row>
    <row r="518" spans="1:24">
      <c r="A518" s="26"/>
      <c r="B518" s="27"/>
      <c r="C518" s="27"/>
      <c r="D518" s="27"/>
      <c r="E518" s="27"/>
      <c r="F518" s="27"/>
      <c r="G518" s="27"/>
      <c r="H518" s="27"/>
      <c r="I518" s="27"/>
      <c r="J518" s="27"/>
      <c r="K518" s="246" t="str">
        <f t="shared" si="142"/>
        <v/>
      </c>
      <c r="L518" s="246" t="str">
        <f t="shared" si="151"/>
        <v/>
      </c>
      <c r="M518" s="23" t="str">
        <f t="shared" si="153"/>
        <v/>
      </c>
      <c r="N518" s="246" t="str">
        <f t="shared" si="144"/>
        <v/>
      </c>
      <c r="O518" s="246" t="str">
        <f t="shared" si="145"/>
        <v/>
      </c>
      <c r="P518" s="246" t="str">
        <f t="shared" si="146"/>
        <v/>
      </c>
      <c r="Q518" s="23" t="str">
        <f t="shared" si="138"/>
        <v/>
      </c>
      <c r="R518" s="246" t="str">
        <f t="shared" si="147"/>
        <v/>
      </c>
      <c r="S518" s="108">
        <f t="shared" si="139"/>
        <v>0</v>
      </c>
      <c r="T518" s="28">
        <f t="shared" si="140"/>
        <v>0</v>
      </c>
      <c r="U518" s="247">
        <f t="shared" si="148"/>
        <v>0</v>
      </c>
      <c r="V518" s="36" t="e">
        <f t="shared" si="154"/>
        <v>#DIV/0!</v>
      </c>
      <c r="W518" s="36" t="e">
        <f t="shared" si="152"/>
        <v>#DIV/0!</v>
      </c>
      <c r="X518" s="63" t="e">
        <f t="shared" si="141"/>
        <v>#DIV/0!</v>
      </c>
    </row>
    <row r="519" spans="1:24">
      <c r="A519" s="26"/>
      <c r="B519" s="27"/>
      <c r="C519" s="27"/>
      <c r="D519" s="27"/>
      <c r="E519" s="27"/>
      <c r="F519" s="27"/>
      <c r="G519" s="27"/>
      <c r="H519" s="27"/>
      <c r="I519" s="27"/>
      <c r="J519" s="27"/>
      <c r="K519" s="246" t="str">
        <f t="shared" si="142"/>
        <v/>
      </c>
      <c r="L519" s="246" t="str">
        <f t="shared" si="151"/>
        <v/>
      </c>
      <c r="M519" s="23" t="str">
        <f t="shared" si="153"/>
        <v/>
      </c>
      <c r="N519" s="246" t="str">
        <f t="shared" si="144"/>
        <v/>
      </c>
      <c r="O519" s="246" t="str">
        <f t="shared" si="145"/>
        <v/>
      </c>
      <c r="P519" s="246" t="str">
        <f t="shared" si="146"/>
        <v/>
      </c>
      <c r="Q519" s="23" t="str">
        <f t="shared" si="138"/>
        <v/>
      </c>
      <c r="R519" s="246" t="str">
        <f t="shared" si="147"/>
        <v/>
      </c>
      <c r="S519" s="108">
        <f t="shared" si="139"/>
        <v>0</v>
      </c>
      <c r="T519" s="28">
        <f t="shared" si="140"/>
        <v>0</v>
      </c>
      <c r="U519" s="247">
        <f t="shared" si="148"/>
        <v>0</v>
      </c>
      <c r="V519" s="36" t="e">
        <f t="shared" si="154"/>
        <v>#DIV/0!</v>
      </c>
      <c r="W519" s="36" t="e">
        <f t="shared" si="152"/>
        <v>#DIV/0!</v>
      </c>
      <c r="X519" s="63" t="e">
        <f t="shared" si="141"/>
        <v>#DIV/0!</v>
      </c>
    </row>
    <row r="520" spans="1:24">
      <c r="A520" s="26"/>
      <c r="B520" s="27"/>
      <c r="C520" s="27"/>
      <c r="D520" s="27"/>
      <c r="E520" s="27"/>
      <c r="F520" s="27"/>
      <c r="G520" s="27"/>
      <c r="H520" s="27"/>
      <c r="I520" s="27"/>
      <c r="J520" s="27"/>
      <c r="K520" s="246" t="str">
        <f t="shared" si="142"/>
        <v/>
      </c>
      <c r="L520" s="246" t="str">
        <f t="shared" si="151"/>
        <v/>
      </c>
      <c r="M520" s="23" t="str">
        <f t="shared" si="153"/>
        <v/>
      </c>
      <c r="N520" s="246" t="str">
        <f t="shared" si="144"/>
        <v/>
      </c>
      <c r="O520" s="246" t="str">
        <f t="shared" si="145"/>
        <v/>
      </c>
      <c r="P520" s="246" t="str">
        <f t="shared" si="146"/>
        <v/>
      </c>
      <c r="Q520" s="23" t="str">
        <f t="shared" si="138"/>
        <v/>
      </c>
      <c r="R520" s="246" t="str">
        <f t="shared" si="147"/>
        <v/>
      </c>
      <c r="S520" s="108">
        <f t="shared" si="139"/>
        <v>0</v>
      </c>
      <c r="T520" s="28">
        <f t="shared" si="140"/>
        <v>0</v>
      </c>
      <c r="U520" s="247">
        <f t="shared" si="148"/>
        <v>0</v>
      </c>
      <c r="V520" s="36" t="e">
        <f t="shared" si="154"/>
        <v>#DIV/0!</v>
      </c>
      <c r="W520" s="36" t="e">
        <f t="shared" si="152"/>
        <v>#DIV/0!</v>
      </c>
      <c r="X520" s="63" t="e">
        <f t="shared" si="141"/>
        <v>#DIV/0!</v>
      </c>
    </row>
    <row r="521" spans="1:24">
      <c r="A521" s="26"/>
      <c r="B521" s="27"/>
      <c r="C521" s="27"/>
      <c r="D521" s="27"/>
      <c r="E521" s="27"/>
      <c r="F521" s="27"/>
      <c r="G521" s="27"/>
      <c r="H521" s="27"/>
      <c r="I521" s="27"/>
      <c r="J521" s="27"/>
      <c r="K521" s="246" t="str">
        <f t="shared" si="142"/>
        <v/>
      </c>
      <c r="L521" s="246" t="str">
        <f t="shared" si="151"/>
        <v/>
      </c>
      <c r="M521" s="23" t="str">
        <f t="shared" si="153"/>
        <v/>
      </c>
      <c r="N521" s="246" t="str">
        <f t="shared" si="144"/>
        <v/>
      </c>
      <c r="O521" s="246" t="str">
        <f t="shared" si="145"/>
        <v/>
      </c>
      <c r="P521" s="246" t="str">
        <f t="shared" si="146"/>
        <v/>
      </c>
      <c r="Q521" s="23" t="str">
        <f t="shared" si="138"/>
        <v/>
      </c>
      <c r="R521" s="246" t="str">
        <f t="shared" si="147"/>
        <v/>
      </c>
      <c r="S521" s="108">
        <f t="shared" si="139"/>
        <v>0</v>
      </c>
      <c r="T521" s="28">
        <f t="shared" si="140"/>
        <v>0</v>
      </c>
      <c r="U521" s="247">
        <f t="shared" si="148"/>
        <v>0</v>
      </c>
      <c r="V521" s="36" t="e">
        <f t="shared" si="154"/>
        <v>#DIV/0!</v>
      </c>
      <c r="W521" s="36" t="e">
        <f t="shared" si="152"/>
        <v>#DIV/0!</v>
      </c>
      <c r="X521" s="63" t="e">
        <f t="shared" si="141"/>
        <v>#DIV/0!</v>
      </c>
    </row>
    <row r="522" spans="1:24">
      <c r="A522" s="26"/>
      <c r="B522" s="27"/>
      <c r="C522" s="27"/>
      <c r="D522" s="27"/>
      <c r="E522" s="27"/>
      <c r="F522" s="27"/>
      <c r="G522" s="27"/>
      <c r="H522" s="27"/>
      <c r="I522" s="27"/>
      <c r="J522" s="27"/>
      <c r="K522" s="246" t="str">
        <f t="shared" si="142"/>
        <v/>
      </c>
      <c r="L522" s="246" t="str">
        <f t="shared" si="151"/>
        <v/>
      </c>
      <c r="M522" s="23" t="str">
        <f t="shared" ref="M522:M549" si="155">IF(E522="","",VLOOKUP(E522,成本单价,8,0))</f>
        <v/>
      </c>
      <c r="N522" s="246" t="str">
        <f t="shared" si="144"/>
        <v/>
      </c>
      <c r="O522" s="246" t="str">
        <f t="shared" si="145"/>
        <v/>
      </c>
      <c r="P522" s="246" t="str">
        <f t="shared" si="146"/>
        <v/>
      </c>
      <c r="Q522" s="23" t="str">
        <f t="shared" ref="Q522:Q549" si="156">IF(I522="","",VLOOKUP(I522,成本单价,8,0))</f>
        <v/>
      </c>
      <c r="R522" s="246" t="str">
        <f t="shared" si="147"/>
        <v/>
      </c>
      <c r="S522" s="108">
        <f t="shared" si="139"/>
        <v>0</v>
      </c>
      <c r="T522" s="28">
        <f t="shared" si="140"/>
        <v>0</v>
      </c>
      <c r="U522" s="247">
        <f t="shared" si="148"/>
        <v>0</v>
      </c>
      <c r="V522" s="36" t="e">
        <f t="shared" ref="V522:V549" si="157">U522/B522</f>
        <v>#DIV/0!</v>
      </c>
      <c r="W522" s="36" t="e">
        <f t="shared" ref="W522:W549" si="158">D522/B522+F522/B522+H522/B522+J522/B522</f>
        <v>#DIV/0!</v>
      </c>
      <c r="X522" s="63" t="e">
        <f t="shared" si="141"/>
        <v>#DIV/0!</v>
      </c>
    </row>
    <row r="523" spans="1:24">
      <c r="A523" s="26"/>
      <c r="B523" s="27"/>
      <c r="C523" s="27"/>
      <c r="D523" s="27"/>
      <c r="E523" s="27"/>
      <c r="F523" s="27"/>
      <c r="G523" s="27"/>
      <c r="H523" s="27"/>
      <c r="I523" s="27"/>
      <c r="J523" s="27"/>
      <c r="K523" s="246" t="str">
        <f t="shared" si="142"/>
        <v/>
      </c>
      <c r="L523" s="246" t="str">
        <f t="shared" si="151"/>
        <v/>
      </c>
      <c r="M523" s="23" t="str">
        <f t="shared" si="155"/>
        <v/>
      </c>
      <c r="N523" s="246" t="str">
        <f t="shared" si="144"/>
        <v/>
      </c>
      <c r="O523" s="246" t="str">
        <f t="shared" si="145"/>
        <v/>
      </c>
      <c r="P523" s="246" t="str">
        <f t="shared" si="146"/>
        <v/>
      </c>
      <c r="Q523" s="23" t="str">
        <f t="shared" si="156"/>
        <v/>
      </c>
      <c r="R523" s="246" t="str">
        <f t="shared" si="147"/>
        <v/>
      </c>
      <c r="S523" s="108">
        <f t="shared" ref="S523:S549" si="159">B523*0.2</f>
        <v>0</v>
      </c>
      <c r="T523" s="28">
        <f t="shared" ref="T523:T549" si="160">IFERROR(SUM(L523,N523,P523,R523,S523),"")</f>
        <v>0</v>
      </c>
      <c r="U523" s="247">
        <f t="shared" si="148"/>
        <v>0</v>
      </c>
      <c r="V523" s="36" t="e">
        <f t="shared" si="157"/>
        <v>#DIV/0!</v>
      </c>
      <c r="W523" s="36" t="e">
        <f t="shared" si="158"/>
        <v>#DIV/0!</v>
      </c>
      <c r="X523" s="63" t="e">
        <f t="shared" ref="X523:X549" si="161">ROUND(V523*(1+大灶毛利),1)</f>
        <v>#DIV/0!</v>
      </c>
    </row>
    <row r="524" spans="1:24">
      <c r="A524" s="26"/>
      <c r="B524" s="27"/>
      <c r="C524" s="27"/>
      <c r="D524" s="27"/>
      <c r="E524" s="27"/>
      <c r="F524" s="27"/>
      <c r="G524" s="27"/>
      <c r="H524" s="27"/>
      <c r="I524" s="27"/>
      <c r="J524" s="27"/>
      <c r="K524" s="246" t="str">
        <f t="shared" si="142"/>
        <v/>
      </c>
      <c r="L524" s="246" t="str">
        <f t="shared" si="151"/>
        <v/>
      </c>
      <c r="M524" s="23" t="str">
        <f t="shared" si="155"/>
        <v/>
      </c>
      <c r="N524" s="246" t="str">
        <f t="shared" si="144"/>
        <v/>
      </c>
      <c r="O524" s="246" t="str">
        <f t="shared" si="145"/>
        <v/>
      </c>
      <c r="P524" s="246" t="str">
        <f t="shared" si="146"/>
        <v/>
      </c>
      <c r="Q524" s="23" t="str">
        <f t="shared" si="156"/>
        <v/>
      </c>
      <c r="R524" s="246" t="str">
        <f t="shared" si="147"/>
        <v/>
      </c>
      <c r="S524" s="108">
        <f t="shared" si="159"/>
        <v>0</v>
      </c>
      <c r="T524" s="28">
        <f t="shared" si="160"/>
        <v>0</v>
      </c>
      <c r="U524" s="247">
        <f t="shared" si="148"/>
        <v>0</v>
      </c>
      <c r="V524" s="36" t="e">
        <f t="shared" si="157"/>
        <v>#DIV/0!</v>
      </c>
      <c r="W524" s="36" t="e">
        <f t="shared" si="158"/>
        <v>#DIV/0!</v>
      </c>
      <c r="X524" s="63" t="e">
        <f t="shared" si="161"/>
        <v>#DIV/0!</v>
      </c>
    </row>
    <row r="525" spans="1:24">
      <c r="A525" s="26"/>
      <c r="B525" s="27"/>
      <c r="C525" s="27"/>
      <c r="D525" s="27"/>
      <c r="E525" s="27"/>
      <c r="F525" s="27"/>
      <c r="G525" s="27"/>
      <c r="H525" s="27"/>
      <c r="I525" s="27"/>
      <c r="J525" s="27"/>
      <c r="K525" s="246" t="str">
        <f t="shared" si="142"/>
        <v/>
      </c>
      <c r="L525" s="246" t="str">
        <f t="shared" si="151"/>
        <v/>
      </c>
      <c r="M525" s="23" t="str">
        <f t="shared" si="155"/>
        <v/>
      </c>
      <c r="N525" s="246" t="str">
        <f t="shared" si="144"/>
        <v/>
      </c>
      <c r="O525" s="246" t="str">
        <f t="shared" si="145"/>
        <v/>
      </c>
      <c r="P525" s="246" t="str">
        <f t="shared" si="146"/>
        <v/>
      </c>
      <c r="Q525" s="23" t="str">
        <f t="shared" si="156"/>
        <v/>
      </c>
      <c r="R525" s="246" t="str">
        <f t="shared" si="147"/>
        <v/>
      </c>
      <c r="S525" s="108">
        <f t="shared" si="159"/>
        <v>0</v>
      </c>
      <c r="T525" s="28">
        <f t="shared" si="160"/>
        <v>0</v>
      </c>
      <c r="U525" s="247">
        <f t="shared" si="148"/>
        <v>0</v>
      </c>
      <c r="V525" s="36" t="e">
        <f t="shared" si="157"/>
        <v>#DIV/0!</v>
      </c>
      <c r="W525" s="36" t="e">
        <f t="shared" si="158"/>
        <v>#DIV/0!</v>
      </c>
      <c r="X525" s="63" t="e">
        <f t="shared" si="161"/>
        <v>#DIV/0!</v>
      </c>
    </row>
    <row r="526" spans="1:24">
      <c r="A526" s="26"/>
      <c r="B526" s="27"/>
      <c r="C526" s="27"/>
      <c r="D526" s="27"/>
      <c r="E526" s="27"/>
      <c r="F526" s="27"/>
      <c r="G526" s="27"/>
      <c r="H526" s="27"/>
      <c r="I526" s="27"/>
      <c r="J526" s="27"/>
      <c r="K526" s="246" t="str">
        <f t="shared" si="142"/>
        <v/>
      </c>
      <c r="L526" s="246" t="str">
        <f t="shared" si="151"/>
        <v/>
      </c>
      <c r="M526" s="23" t="str">
        <f t="shared" si="155"/>
        <v/>
      </c>
      <c r="N526" s="246" t="str">
        <f t="shared" si="144"/>
        <v/>
      </c>
      <c r="O526" s="246" t="str">
        <f t="shared" si="145"/>
        <v/>
      </c>
      <c r="P526" s="246" t="str">
        <f t="shared" si="146"/>
        <v/>
      </c>
      <c r="Q526" s="23" t="str">
        <f t="shared" si="156"/>
        <v/>
      </c>
      <c r="R526" s="246" t="str">
        <f t="shared" si="147"/>
        <v/>
      </c>
      <c r="S526" s="108">
        <f t="shared" si="159"/>
        <v>0</v>
      </c>
      <c r="T526" s="28">
        <f t="shared" si="160"/>
        <v>0</v>
      </c>
      <c r="U526" s="247">
        <f t="shared" si="148"/>
        <v>0</v>
      </c>
      <c r="V526" s="36" t="e">
        <f t="shared" si="157"/>
        <v>#DIV/0!</v>
      </c>
      <c r="W526" s="36" t="e">
        <f t="shared" si="158"/>
        <v>#DIV/0!</v>
      </c>
      <c r="X526" s="63" t="e">
        <f t="shared" si="161"/>
        <v>#DIV/0!</v>
      </c>
    </row>
    <row r="527" spans="1:24">
      <c r="A527" s="26"/>
      <c r="B527" s="27"/>
      <c r="C527" s="27"/>
      <c r="D527" s="27"/>
      <c r="E527" s="27"/>
      <c r="F527" s="27"/>
      <c r="G527" s="27"/>
      <c r="H527" s="27"/>
      <c r="I527" s="27"/>
      <c r="J527" s="27"/>
      <c r="K527" s="246" t="str">
        <f t="shared" ref="K527:K543" si="162">IF(C527="","",VLOOKUP(C527,成本单价,8,0))</f>
        <v/>
      </c>
      <c r="L527" s="246" t="str">
        <f t="shared" si="151"/>
        <v/>
      </c>
      <c r="M527" s="23" t="str">
        <f t="shared" si="155"/>
        <v/>
      </c>
      <c r="N527" s="246" t="str">
        <f t="shared" ref="N527:N545" si="163">IFERROR(F527*M527,"")</f>
        <v/>
      </c>
      <c r="O527" s="246" t="str">
        <f t="shared" ref="O527:O547" si="164">IF(G527="","",VLOOKUP(G527,成本单价,8,0))</f>
        <v/>
      </c>
      <c r="P527" s="246" t="str">
        <f t="shared" ref="P527:P543" si="165">IFERROR(H527*O527,"")</f>
        <v/>
      </c>
      <c r="Q527" s="23" t="str">
        <f t="shared" si="156"/>
        <v/>
      </c>
      <c r="R527" s="246" t="str">
        <f t="shared" ref="R527:R541" si="166">IFERROR(J527*Q527,"")</f>
        <v/>
      </c>
      <c r="S527" s="108">
        <f t="shared" si="159"/>
        <v>0</v>
      </c>
      <c r="T527" s="28">
        <f t="shared" si="160"/>
        <v>0</v>
      </c>
      <c r="U527" s="247">
        <f t="shared" ref="U527:U536" si="167">T527*(1+物料比)</f>
        <v>0</v>
      </c>
      <c r="V527" s="36" t="e">
        <f t="shared" si="157"/>
        <v>#DIV/0!</v>
      </c>
      <c r="W527" s="36" t="e">
        <f t="shared" si="158"/>
        <v>#DIV/0!</v>
      </c>
      <c r="X527" s="63" t="e">
        <f t="shared" si="161"/>
        <v>#DIV/0!</v>
      </c>
    </row>
    <row r="528" spans="1:24">
      <c r="A528" s="26"/>
      <c r="B528" s="27"/>
      <c r="C528" s="27"/>
      <c r="D528" s="27"/>
      <c r="E528" s="27"/>
      <c r="F528" s="27"/>
      <c r="G528" s="27"/>
      <c r="H528" s="27"/>
      <c r="I528" s="27"/>
      <c r="J528" s="27"/>
      <c r="K528" s="246" t="str">
        <f t="shared" si="162"/>
        <v/>
      </c>
      <c r="L528" s="246" t="str">
        <f t="shared" ref="L528:L545" si="168">IFERROR(D528*K528,"")</f>
        <v/>
      </c>
      <c r="M528" s="23" t="str">
        <f t="shared" si="155"/>
        <v/>
      </c>
      <c r="N528" s="246" t="str">
        <f t="shared" si="163"/>
        <v/>
      </c>
      <c r="O528" s="246" t="str">
        <f t="shared" si="164"/>
        <v/>
      </c>
      <c r="P528" s="246" t="str">
        <f t="shared" si="165"/>
        <v/>
      </c>
      <c r="Q528" s="23" t="str">
        <f t="shared" si="156"/>
        <v/>
      </c>
      <c r="R528" s="246" t="str">
        <f t="shared" si="166"/>
        <v/>
      </c>
      <c r="S528" s="108">
        <f t="shared" si="159"/>
        <v>0</v>
      </c>
      <c r="T528" s="28">
        <f t="shared" si="160"/>
        <v>0</v>
      </c>
      <c r="U528" s="247">
        <f t="shared" si="167"/>
        <v>0</v>
      </c>
      <c r="V528" s="36" t="e">
        <f t="shared" si="157"/>
        <v>#DIV/0!</v>
      </c>
      <c r="W528" s="36" t="e">
        <f t="shared" si="158"/>
        <v>#DIV/0!</v>
      </c>
      <c r="X528" s="63" t="e">
        <f t="shared" si="161"/>
        <v>#DIV/0!</v>
      </c>
    </row>
    <row r="529" spans="1:24">
      <c r="A529" s="26"/>
      <c r="B529" s="27"/>
      <c r="C529" s="27"/>
      <c r="D529" s="27"/>
      <c r="E529" s="27"/>
      <c r="F529" s="27"/>
      <c r="G529" s="27"/>
      <c r="H529" s="27"/>
      <c r="I529" s="27"/>
      <c r="J529" s="27"/>
      <c r="K529" s="246" t="str">
        <f t="shared" si="162"/>
        <v/>
      </c>
      <c r="L529" s="246" t="str">
        <f t="shared" si="168"/>
        <v/>
      </c>
      <c r="M529" s="23" t="str">
        <f t="shared" si="155"/>
        <v/>
      </c>
      <c r="N529" s="246" t="str">
        <f t="shared" si="163"/>
        <v/>
      </c>
      <c r="O529" s="246" t="str">
        <f t="shared" si="164"/>
        <v/>
      </c>
      <c r="P529" s="246" t="str">
        <f t="shared" si="165"/>
        <v/>
      </c>
      <c r="Q529" s="23" t="str">
        <f t="shared" si="156"/>
        <v/>
      </c>
      <c r="R529" s="246" t="str">
        <f t="shared" si="166"/>
        <v/>
      </c>
      <c r="S529" s="108">
        <f t="shared" si="159"/>
        <v>0</v>
      </c>
      <c r="T529" s="28">
        <f t="shared" si="160"/>
        <v>0</v>
      </c>
      <c r="U529" s="247">
        <f t="shared" si="167"/>
        <v>0</v>
      </c>
      <c r="V529" s="36" t="e">
        <f t="shared" si="157"/>
        <v>#DIV/0!</v>
      </c>
      <c r="W529" s="36" t="e">
        <f t="shared" si="158"/>
        <v>#DIV/0!</v>
      </c>
      <c r="X529" s="63" t="e">
        <f t="shared" si="161"/>
        <v>#DIV/0!</v>
      </c>
    </row>
    <row r="530" spans="1:24">
      <c r="A530" s="26"/>
      <c r="B530" s="27"/>
      <c r="C530" s="27"/>
      <c r="D530" s="27"/>
      <c r="E530" s="27"/>
      <c r="F530" s="27"/>
      <c r="G530" s="27"/>
      <c r="H530" s="27"/>
      <c r="I530" s="27"/>
      <c r="J530" s="27"/>
      <c r="K530" s="246" t="str">
        <f t="shared" si="162"/>
        <v/>
      </c>
      <c r="L530" s="246" t="str">
        <f t="shared" si="168"/>
        <v/>
      </c>
      <c r="M530" s="23" t="str">
        <f t="shared" si="155"/>
        <v/>
      </c>
      <c r="N530" s="246" t="str">
        <f t="shared" si="163"/>
        <v/>
      </c>
      <c r="O530" s="246" t="str">
        <f t="shared" si="164"/>
        <v/>
      </c>
      <c r="P530" s="246" t="str">
        <f t="shared" si="165"/>
        <v/>
      </c>
      <c r="Q530" s="23" t="str">
        <f t="shared" si="156"/>
        <v/>
      </c>
      <c r="R530" s="246" t="str">
        <f t="shared" si="166"/>
        <v/>
      </c>
      <c r="S530" s="108">
        <f t="shared" si="159"/>
        <v>0</v>
      </c>
      <c r="T530" s="28">
        <f t="shared" si="160"/>
        <v>0</v>
      </c>
      <c r="U530" s="247">
        <f t="shared" si="167"/>
        <v>0</v>
      </c>
      <c r="V530" s="36" t="e">
        <f t="shared" si="157"/>
        <v>#DIV/0!</v>
      </c>
      <c r="W530" s="36" t="e">
        <f t="shared" si="158"/>
        <v>#DIV/0!</v>
      </c>
      <c r="X530" s="63" t="e">
        <f t="shared" si="161"/>
        <v>#DIV/0!</v>
      </c>
    </row>
    <row r="531" spans="1:24">
      <c r="A531" s="26"/>
      <c r="B531" s="27"/>
      <c r="C531" s="27"/>
      <c r="D531" s="27"/>
      <c r="E531" s="27"/>
      <c r="F531" s="27"/>
      <c r="G531" s="27"/>
      <c r="H531" s="27"/>
      <c r="I531" s="27"/>
      <c r="J531" s="27"/>
      <c r="K531" s="246" t="str">
        <f t="shared" si="162"/>
        <v/>
      </c>
      <c r="L531" s="246" t="str">
        <f t="shared" si="168"/>
        <v/>
      </c>
      <c r="M531" s="23" t="str">
        <f t="shared" si="155"/>
        <v/>
      </c>
      <c r="N531" s="246" t="str">
        <f t="shared" si="163"/>
        <v/>
      </c>
      <c r="O531" s="246" t="str">
        <f t="shared" si="164"/>
        <v/>
      </c>
      <c r="P531" s="246" t="str">
        <f t="shared" si="165"/>
        <v/>
      </c>
      <c r="Q531" s="23" t="str">
        <f t="shared" si="156"/>
        <v/>
      </c>
      <c r="R531" s="246" t="str">
        <f t="shared" si="166"/>
        <v/>
      </c>
      <c r="S531" s="108">
        <f t="shared" si="159"/>
        <v>0</v>
      </c>
      <c r="T531" s="28">
        <f t="shared" si="160"/>
        <v>0</v>
      </c>
      <c r="U531" s="247">
        <f t="shared" si="167"/>
        <v>0</v>
      </c>
      <c r="V531" s="36" t="e">
        <f t="shared" si="157"/>
        <v>#DIV/0!</v>
      </c>
      <c r="W531" s="36" t="e">
        <f t="shared" si="158"/>
        <v>#DIV/0!</v>
      </c>
      <c r="X531" s="63" t="e">
        <f t="shared" si="161"/>
        <v>#DIV/0!</v>
      </c>
    </row>
    <row r="532" spans="1:24">
      <c r="A532" s="26"/>
      <c r="B532" s="27"/>
      <c r="C532" s="27"/>
      <c r="D532" s="27"/>
      <c r="E532" s="27"/>
      <c r="F532" s="27"/>
      <c r="G532" s="27"/>
      <c r="H532" s="27"/>
      <c r="I532" s="27"/>
      <c r="J532" s="27"/>
      <c r="K532" s="246" t="str">
        <f t="shared" si="162"/>
        <v/>
      </c>
      <c r="L532" s="246" t="str">
        <f t="shared" si="168"/>
        <v/>
      </c>
      <c r="M532" s="23" t="str">
        <f t="shared" si="155"/>
        <v/>
      </c>
      <c r="N532" s="246" t="str">
        <f t="shared" si="163"/>
        <v/>
      </c>
      <c r="O532" s="246" t="str">
        <f t="shared" si="164"/>
        <v/>
      </c>
      <c r="P532" s="246" t="str">
        <f t="shared" si="165"/>
        <v/>
      </c>
      <c r="Q532" s="23" t="str">
        <f t="shared" si="156"/>
        <v/>
      </c>
      <c r="R532" s="246" t="str">
        <f t="shared" si="166"/>
        <v/>
      </c>
      <c r="S532" s="108">
        <f t="shared" si="159"/>
        <v>0</v>
      </c>
      <c r="T532" s="28">
        <f t="shared" si="160"/>
        <v>0</v>
      </c>
      <c r="U532" s="247">
        <f t="shared" si="167"/>
        <v>0</v>
      </c>
      <c r="V532" s="36" t="e">
        <f t="shared" si="157"/>
        <v>#DIV/0!</v>
      </c>
      <c r="W532" s="36" t="e">
        <f t="shared" si="158"/>
        <v>#DIV/0!</v>
      </c>
      <c r="X532" s="63" t="e">
        <f t="shared" si="161"/>
        <v>#DIV/0!</v>
      </c>
    </row>
    <row r="533" spans="1:24">
      <c r="A533" s="26"/>
      <c r="B533" s="27"/>
      <c r="C533" s="27"/>
      <c r="D533" s="27"/>
      <c r="E533" s="27"/>
      <c r="F533" s="27"/>
      <c r="G533" s="27"/>
      <c r="H533" s="27"/>
      <c r="I533" s="27"/>
      <c r="J533" s="27"/>
      <c r="K533" s="246" t="str">
        <f t="shared" si="162"/>
        <v/>
      </c>
      <c r="L533" s="246" t="str">
        <f t="shared" si="168"/>
        <v/>
      </c>
      <c r="M533" s="23" t="str">
        <f t="shared" si="155"/>
        <v/>
      </c>
      <c r="N533" s="246" t="str">
        <f t="shared" si="163"/>
        <v/>
      </c>
      <c r="O533" s="246" t="str">
        <f t="shared" si="164"/>
        <v/>
      </c>
      <c r="P533" s="246" t="str">
        <f t="shared" si="165"/>
        <v/>
      </c>
      <c r="Q533" s="23" t="str">
        <f t="shared" si="156"/>
        <v/>
      </c>
      <c r="R533" s="246" t="str">
        <f t="shared" si="166"/>
        <v/>
      </c>
      <c r="S533" s="108">
        <f t="shared" si="159"/>
        <v>0</v>
      </c>
      <c r="T533" s="28">
        <f t="shared" si="160"/>
        <v>0</v>
      </c>
      <c r="U533" s="247">
        <f t="shared" si="167"/>
        <v>0</v>
      </c>
      <c r="V533" s="36" t="e">
        <f t="shared" si="157"/>
        <v>#DIV/0!</v>
      </c>
      <c r="W533" s="36" t="e">
        <f t="shared" si="158"/>
        <v>#DIV/0!</v>
      </c>
      <c r="X533" s="63" t="e">
        <f t="shared" si="161"/>
        <v>#DIV/0!</v>
      </c>
    </row>
    <row r="534" spans="1:24">
      <c r="A534" s="26"/>
      <c r="B534" s="27"/>
      <c r="C534" s="27"/>
      <c r="D534" s="27"/>
      <c r="E534" s="27"/>
      <c r="F534" s="27"/>
      <c r="G534" s="27"/>
      <c r="H534" s="27"/>
      <c r="I534" s="27"/>
      <c r="J534" s="27"/>
      <c r="K534" s="246" t="str">
        <f t="shared" si="162"/>
        <v/>
      </c>
      <c r="L534" s="246" t="str">
        <f t="shared" si="168"/>
        <v/>
      </c>
      <c r="M534" s="23" t="str">
        <f t="shared" si="155"/>
        <v/>
      </c>
      <c r="N534" s="246" t="str">
        <f t="shared" si="163"/>
        <v/>
      </c>
      <c r="O534" s="246" t="str">
        <f t="shared" si="164"/>
        <v/>
      </c>
      <c r="P534" s="246" t="str">
        <f t="shared" si="165"/>
        <v/>
      </c>
      <c r="Q534" s="23" t="str">
        <f t="shared" si="156"/>
        <v/>
      </c>
      <c r="R534" s="246" t="str">
        <f t="shared" si="166"/>
        <v/>
      </c>
      <c r="S534" s="108">
        <f t="shared" si="159"/>
        <v>0</v>
      </c>
      <c r="T534" s="28">
        <f t="shared" si="160"/>
        <v>0</v>
      </c>
      <c r="U534" s="247">
        <f t="shared" si="167"/>
        <v>0</v>
      </c>
      <c r="V534" s="36" t="e">
        <f t="shared" si="157"/>
        <v>#DIV/0!</v>
      </c>
      <c r="W534" s="36" t="e">
        <f t="shared" si="158"/>
        <v>#DIV/0!</v>
      </c>
      <c r="X534" s="63" t="e">
        <f t="shared" si="161"/>
        <v>#DIV/0!</v>
      </c>
    </row>
    <row r="535" spans="1:24">
      <c r="A535" s="26"/>
      <c r="B535" s="27"/>
      <c r="C535" s="27"/>
      <c r="D535" s="27"/>
      <c r="E535" s="27"/>
      <c r="F535" s="27"/>
      <c r="G535" s="27"/>
      <c r="H535" s="27"/>
      <c r="I535" s="27"/>
      <c r="J535" s="27"/>
      <c r="K535" s="246" t="str">
        <f t="shared" si="162"/>
        <v/>
      </c>
      <c r="L535" s="246" t="str">
        <f t="shared" si="168"/>
        <v/>
      </c>
      <c r="M535" s="23" t="str">
        <f t="shared" si="155"/>
        <v/>
      </c>
      <c r="N535" s="246" t="str">
        <f t="shared" si="163"/>
        <v/>
      </c>
      <c r="O535" s="246" t="str">
        <f t="shared" si="164"/>
        <v/>
      </c>
      <c r="P535" s="246" t="str">
        <f t="shared" si="165"/>
        <v/>
      </c>
      <c r="Q535" s="23" t="str">
        <f t="shared" si="156"/>
        <v/>
      </c>
      <c r="R535" s="246" t="str">
        <f t="shared" si="166"/>
        <v/>
      </c>
      <c r="S535" s="108">
        <f t="shared" si="159"/>
        <v>0</v>
      </c>
      <c r="T535" s="28">
        <f t="shared" si="160"/>
        <v>0</v>
      </c>
      <c r="U535" s="247">
        <f t="shared" si="167"/>
        <v>0</v>
      </c>
      <c r="V535" s="36" t="e">
        <f t="shared" si="157"/>
        <v>#DIV/0!</v>
      </c>
      <c r="W535" s="36" t="e">
        <f t="shared" si="158"/>
        <v>#DIV/0!</v>
      </c>
      <c r="X535" s="63" t="e">
        <f t="shared" si="161"/>
        <v>#DIV/0!</v>
      </c>
    </row>
    <row r="536" spans="1:24">
      <c r="A536" s="26"/>
      <c r="B536" s="27"/>
      <c r="C536" s="27"/>
      <c r="D536" s="27"/>
      <c r="E536" s="27"/>
      <c r="F536" s="27"/>
      <c r="G536" s="27"/>
      <c r="H536" s="27"/>
      <c r="I536" s="27"/>
      <c r="J536" s="27"/>
      <c r="K536" s="246" t="str">
        <f t="shared" si="162"/>
        <v/>
      </c>
      <c r="L536" s="246" t="str">
        <f t="shared" si="168"/>
        <v/>
      </c>
      <c r="M536" s="23" t="str">
        <f t="shared" si="155"/>
        <v/>
      </c>
      <c r="N536" s="246" t="str">
        <f t="shared" si="163"/>
        <v/>
      </c>
      <c r="O536" s="246" t="str">
        <f t="shared" si="164"/>
        <v/>
      </c>
      <c r="P536" s="246" t="str">
        <f t="shared" si="165"/>
        <v/>
      </c>
      <c r="Q536" s="23" t="str">
        <f t="shared" si="156"/>
        <v/>
      </c>
      <c r="R536" s="246" t="str">
        <f t="shared" si="166"/>
        <v/>
      </c>
      <c r="S536" s="108">
        <f t="shared" si="159"/>
        <v>0</v>
      </c>
      <c r="T536" s="28">
        <f t="shared" si="160"/>
        <v>0</v>
      </c>
      <c r="U536" s="247">
        <f t="shared" si="167"/>
        <v>0</v>
      </c>
      <c r="V536" s="36" t="e">
        <f t="shared" si="157"/>
        <v>#DIV/0!</v>
      </c>
      <c r="W536" s="36" t="e">
        <f t="shared" si="158"/>
        <v>#DIV/0!</v>
      </c>
      <c r="X536" s="63" t="e">
        <f t="shared" si="161"/>
        <v>#DIV/0!</v>
      </c>
    </row>
    <row r="537" spans="1:24">
      <c r="A537" s="26"/>
      <c r="B537" s="27"/>
      <c r="C537" s="27"/>
      <c r="D537" s="27"/>
      <c r="E537" s="27"/>
      <c r="F537" s="27"/>
      <c r="G537" s="27"/>
      <c r="H537" s="27"/>
      <c r="I537" s="27"/>
      <c r="J537" s="27"/>
      <c r="K537" s="246" t="str">
        <f t="shared" si="162"/>
        <v/>
      </c>
      <c r="L537" s="246" t="str">
        <f t="shared" si="168"/>
        <v/>
      </c>
      <c r="M537" s="23" t="str">
        <f t="shared" si="155"/>
        <v/>
      </c>
      <c r="N537" s="246" t="str">
        <f t="shared" si="163"/>
        <v/>
      </c>
      <c r="O537" s="246" t="str">
        <f t="shared" si="164"/>
        <v/>
      </c>
      <c r="P537" s="246" t="str">
        <f t="shared" si="165"/>
        <v/>
      </c>
      <c r="Q537" s="23" t="str">
        <f t="shared" si="156"/>
        <v/>
      </c>
      <c r="R537" s="246" t="str">
        <f t="shared" si="166"/>
        <v/>
      </c>
      <c r="S537" s="108">
        <f t="shared" si="159"/>
        <v>0</v>
      </c>
      <c r="T537" s="28">
        <f t="shared" si="160"/>
        <v>0</v>
      </c>
      <c r="U537" s="28">
        <f t="shared" ref="U537:U549" si="169">T537*(1+物料比)</f>
        <v>0</v>
      </c>
      <c r="V537" s="36" t="e">
        <f t="shared" si="157"/>
        <v>#DIV/0!</v>
      </c>
      <c r="W537" s="36" t="e">
        <f t="shared" si="158"/>
        <v>#DIV/0!</v>
      </c>
      <c r="X537" s="63" t="e">
        <f t="shared" si="161"/>
        <v>#DIV/0!</v>
      </c>
    </row>
    <row r="538" spans="1:24">
      <c r="A538" s="26"/>
      <c r="B538" s="27"/>
      <c r="C538" s="27"/>
      <c r="D538" s="27"/>
      <c r="E538" s="27"/>
      <c r="F538" s="27"/>
      <c r="G538" s="27"/>
      <c r="H538" s="27"/>
      <c r="I538" s="27"/>
      <c r="J538" s="27"/>
      <c r="K538" s="246" t="str">
        <f t="shared" si="162"/>
        <v/>
      </c>
      <c r="L538" s="246" t="str">
        <f t="shared" si="168"/>
        <v/>
      </c>
      <c r="M538" s="23" t="str">
        <f t="shared" si="155"/>
        <v/>
      </c>
      <c r="N538" s="246" t="str">
        <f t="shared" si="163"/>
        <v/>
      </c>
      <c r="O538" s="246" t="str">
        <f t="shared" si="164"/>
        <v/>
      </c>
      <c r="P538" s="246" t="str">
        <f t="shared" si="165"/>
        <v/>
      </c>
      <c r="Q538" s="23" t="str">
        <f t="shared" si="156"/>
        <v/>
      </c>
      <c r="R538" s="246" t="str">
        <f t="shared" si="166"/>
        <v/>
      </c>
      <c r="S538" s="108">
        <f t="shared" si="159"/>
        <v>0</v>
      </c>
      <c r="T538" s="28">
        <f t="shared" si="160"/>
        <v>0</v>
      </c>
      <c r="U538" s="28">
        <f t="shared" si="169"/>
        <v>0</v>
      </c>
      <c r="V538" s="36" t="e">
        <f t="shared" si="157"/>
        <v>#DIV/0!</v>
      </c>
      <c r="W538" s="36" t="e">
        <f t="shared" si="158"/>
        <v>#DIV/0!</v>
      </c>
      <c r="X538" s="63" t="e">
        <f t="shared" si="161"/>
        <v>#DIV/0!</v>
      </c>
    </row>
    <row r="539" spans="1:24">
      <c r="A539" s="26"/>
      <c r="B539" s="27"/>
      <c r="C539" s="27"/>
      <c r="D539" s="27"/>
      <c r="E539" s="27"/>
      <c r="F539" s="27"/>
      <c r="G539" s="27"/>
      <c r="H539" s="27"/>
      <c r="I539" s="27"/>
      <c r="J539" s="27"/>
      <c r="K539" s="246" t="str">
        <f t="shared" si="162"/>
        <v/>
      </c>
      <c r="L539" s="246" t="str">
        <f t="shared" si="168"/>
        <v/>
      </c>
      <c r="M539" s="23" t="str">
        <f t="shared" si="155"/>
        <v/>
      </c>
      <c r="N539" s="246" t="str">
        <f t="shared" si="163"/>
        <v/>
      </c>
      <c r="O539" s="246" t="str">
        <f t="shared" si="164"/>
        <v/>
      </c>
      <c r="P539" s="246" t="str">
        <f t="shared" si="165"/>
        <v/>
      </c>
      <c r="Q539" s="23" t="str">
        <f t="shared" si="156"/>
        <v/>
      </c>
      <c r="R539" s="246" t="str">
        <f t="shared" si="166"/>
        <v/>
      </c>
      <c r="S539" s="108">
        <f t="shared" si="159"/>
        <v>0</v>
      </c>
      <c r="T539" s="28">
        <f t="shared" si="160"/>
        <v>0</v>
      </c>
      <c r="U539" s="28">
        <f t="shared" si="169"/>
        <v>0</v>
      </c>
      <c r="V539" s="36" t="e">
        <f t="shared" si="157"/>
        <v>#DIV/0!</v>
      </c>
      <c r="W539" s="36" t="e">
        <f t="shared" si="158"/>
        <v>#DIV/0!</v>
      </c>
      <c r="X539" s="63" t="e">
        <f t="shared" si="161"/>
        <v>#DIV/0!</v>
      </c>
    </row>
    <row r="540" spans="1:24">
      <c r="A540" s="26"/>
      <c r="B540" s="27"/>
      <c r="C540" s="27"/>
      <c r="D540" s="27"/>
      <c r="E540" s="27"/>
      <c r="F540" s="27"/>
      <c r="G540" s="27"/>
      <c r="H540" s="27"/>
      <c r="I540" s="27"/>
      <c r="J540" s="27"/>
      <c r="K540" s="246" t="str">
        <f t="shared" si="162"/>
        <v/>
      </c>
      <c r="L540" s="246" t="str">
        <f t="shared" si="168"/>
        <v/>
      </c>
      <c r="M540" s="23" t="str">
        <f t="shared" si="155"/>
        <v/>
      </c>
      <c r="N540" s="246" t="str">
        <f t="shared" si="163"/>
        <v/>
      </c>
      <c r="O540" s="246" t="str">
        <f t="shared" si="164"/>
        <v/>
      </c>
      <c r="P540" s="246" t="str">
        <f t="shared" si="165"/>
        <v/>
      </c>
      <c r="Q540" s="23" t="str">
        <f t="shared" si="156"/>
        <v/>
      </c>
      <c r="R540" s="246" t="str">
        <f t="shared" si="166"/>
        <v/>
      </c>
      <c r="S540" s="108">
        <f t="shared" si="159"/>
        <v>0</v>
      </c>
      <c r="T540" s="28">
        <f t="shared" si="160"/>
        <v>0</v>
      </c>
      <c r="U540" s="28">
        <f t="shared" si="169"/>
        <v>0</v>
      </c>
      <c r="V540" s="36" t="e">
        <f t="shared" si="157"/>
        <v>#DIV/0!</v>
      </c>
      <c r="W540" s="36" t="e">
        <f t="shared" si="158"/>
        <v>#DIV/0!</v>
      </c>
      <c r="X540" s="63" t="e">
        <f t="shared" si="161"/>
        <v>#DIV/0!</v>
      </c>
    </row>
    <row r="541" spans="1:24">
      <c r="A541" s="26"/>
      <c r="B541" s="27"/>
      <c r="C541" s="27"/>
      <c r="D541" s="27"/>
      <c r="E541" s="27"/>
      <c r="F541" s="27"/>
      <c r="G541" s="27"/>
      <c r="H541" s="27"/>
      <c r="I541" s="27"/>
      <c r="J541" s="27"/>
      <c r="K541" s="246" t="str">
        <f t="shared" si="162"/>
        <v/>
      </c>
      <c r="L541" s="246" t="str">
        <f t="shared" si="168"/>
        <v/>
      </c>
      <c r="M541" s="23" t="str">
        <f t="shared" si="155"/>
        <v/>
      </c>
      <c r="N541" s="246" t="str">
        <f t="shared" si="163"/>
        <v/>
      </c>
      <c r="O541" s="246" t="str">
        <f t="shared" si="164"/>
        <v/>
      </c>
      <c r="P541" s="246" t="str">
        <f t="shared" si="165"/>
        <v/>
      </c>
      <c r="Q541" s="23" t="str">
        <f t="shared" si="156"/>
        <v/>
      </c>
      <c r="R541" s="246" t="str">
        <f t="shared" si="166"/>
        <v/>
      </c>
      <c r="S541" s="108">
        <f t="shared" si="159"/>
        <v>0</v>
      </c>
      <c r="T541" s="28">
        <f t="shared" si="160"/>
        <v>0</v>
      </c>
      <c r="U541" s="28">
        <f t="shared" si="169"/>
        <v>0</v>
      </c>
      <c r="V541" s="36" t="e">
        <f t="shared" si="157"/>
        <v>#DIV/0!</v>
      </c>
      <c r="W541" s="36" t="e">
        <f t="shared" si="158"/>
        <v>#DIV/0!</v>
      </c>
      <c r="X541" s="63" t="e">
        <f t="shared" si="161"/>
        <v>#DIV/0!</v>
      </c>
    </row>
    <row r="542" spans="1:24">
      <c r="A542" s="26"/>
      <c r="B542" s="27"/>
      <c r="C542" s="27"/>
      <c r="D542" s="27"/>
      <c r="E542" s="27"/>
      <c r="F542" s="27"/>
      <c r="G542" s="27"/>
      <c r="H542" s="27"/>
      <c r="I542" s="27"/>
      <c r="J542" s="27"/>
      <c r="K542" s="246" t="str">
        <f t="shared" si="162"/>
        <v/>
      </c>
      <c r="L542" s="246" t="str">
        <f t="shared" si="168"/>
        <v/>
      </c>
      <c r="M542" s="23" t="str">
        <f t="shared" si="155"/>
        <v/>
      </c>
      <c r="N542" s="246" t="str">
        <f t="shared" si="163"/>
        <v/>
      </c>
      <c r="O542" s="246" t="str">
        <f t="shared" si="164"/>
        <v/>
      </c>
      <c r="P542" s="246" t="str">
        <f t="shared" si="165"/>
        <v/>
      </c>
      <c r="Q542" s="23" t="str">
        <f t="shared" si="156"/>
        <v/>
      </c>
      <c r="R542" s="23" t="str">
        <f t="shared" ref="R542:R549" si="170">IFERROR(J542*Q542,"")</f>
        <v/>
      </c>
      <c r="S542" s="108">
        <f t="shared" si="159"/>
        <v>0</v>
      </c>
      <c r="T542" s="28">
        <f t="shared" si="160"/>
        <v>0</v>
      </c>
      <c r="U542" s="28">
        <f t="shared" si="169"/>
        <v>0</v>
      </c>
      <c r="V542" s="36" t="e">
        <f t="shared" si="157"/>
        <v>#DIV/0!</v>
      </c>
      <c r="W542" s="36" t="e">
        <f t="shared" si="158"/>
        <v>#DIV/0!</v>
      </c>
      <c r="X542" s="63" t="e">
        <f t="shared" si="161"/>
        <v>#DIV/0!</v>
      </c>
    </row>
    <row r="543" spans="1:24">
      <c r="A543" s="26"/>
      <c r="B543" s="27"/>
      <c r="C543" s="27"/>
      <c r="D543" s="27"/>
      <c r="E543" s="27"/>
      <c r="F543" s="27"/>
      <c r="G543" s="27"/>
      <c r="H543" s="27"/>
      <c r="I543" s="27"/>
      <c r="J543" s="27"/>
      <c r="K543" s="246" t="str">
        <f t="shared" si="162"/>
        <v/>
      </c>
      <c r="L543" s="246" t="str">
        <f t="shared" si="168"/>
        <v/>
      </c>
      <c r="M543" s="23" t="str">
        <f t="shared" si="155"/>
        <v/>
      </c>
      <c r="N543" s="246" t="str">
        <f t="shared" si="163"/>
        <v/>
      </c>
      <c r="O543" s="246" t="str">
        <f t="shared" si="164"/>
        <v/>
      </c>
      <c r="P543" s="246" t="str">
        <f t="shared" si="165"/>
        <v/>
      </c>
      <c r="Q543" s="23" t="str">
        <f t="shared" si="156"/>
        <v/>
      </c>
      <c r="R543" s="23" t="str">
        <f t="shared" si="170"/>
        <v/>
      </c>
      <c r="S543" s="108">
        <f t="shared" si="159"/>
        <v>0</v>
      </c>
      <c r="T543" s="28">
        <f t="shared" si="160"/>
        <v>0</v>
      </c>
      <c r="U543" s="28">
        <f t="shared" si="169"/>
        <v>0</v>
      </c>
      <c r="V543" s="36" t="e">
        <f t="shared" si="157"/>
        <v>#DIV/0!</v>
      </c>
      <c r="W543" s="36" t="e">
        <f t="shared" si="158"/>
        <v>#DIV/0!</v>
      </c>
      <c r="X543" s="63" t="e">
        <f t="shared" si="161"/>
        <v>#DIV/0!</v>
      </c>
    </row>
    <row r="544" spans="1:24">
      <c r="A544" s="26"/>
      <c r="B544" s="27"/>
      <c r="C544" s="27"/>
      <c r="D544" s="27"/>
      <c r="E544" s="27"/>
      <c r="F544" s="27"/>
      <c r="G544" s="27"/>
      <c r="H544" s="27"/>
      <c r="I544" s="27"/>
      <c r="J544" s="27"/>
      <c r="K544" s="23" t="str">
        <f t="shared" ref="K544:K549" si="171">IF(C544="","",VLOOKUP(C544,成本单价,8,0))</f>
        <v/>
      </c>
      <c r="L544" s="246" t="str">
        <f t="shared" si="168"/>
        <v/>
      </c>
      <c r="M544" s="23" t="str">
        <f t="shared" si="155"/>
        <v/>
      </c>
      <c r="N544" s="246" t="str">
        <f t="shared" si="163"/>
        <v/>
      </c>
      <c r="O544" s="246" t="str">
        <f t="shared" si="164"/>
        <v/>
      </c>
      <c r="P544" s="23" t="str">
        <f t="shared" ref="P544:P549" si="172">IFERROR(H544*O544,"")</f>
        <v/>
      </c>
      <c r="Q544" s="23" t="str">
        <f t="shared" si="156"/>
        <v/>
      </c>
      <c r="R544" s="23" t="str">
        <f t="shared" si="170"/>
        <v/>
      </c>
      <c r="S544" s="108">
        <f t="shared" si="159"/>
        <v>0</v>
      </c>
      <c r="T544" s="28">
        <f t="shared" si="160"/>
        <v>0</v>
      </c>
      <c r="U544" s="28">
        <f t="shared" si="169"/>
        <v>0</v>
      </c>
      <c r="V544" s="36" t="e">
        <f t="shared" si="157"/>
        <v>#DIV/0!</v>
      </c>
      <c r="W544" s="36" t="e">
        <f t="shared" si="158"/>
        <v>#DIV/0!</v>
      </c>
      <c r="X544" s="63" t="e">
        <f t="shared" si="161"/>
        <v>#DIV/0!</v>
      </c>
    </row>
    <row r="545" spans="1:24">
      <c r="A545" s="26"/>
      <c r="B545" s="27"/>
      <c r="C545" s="27"/>
      <c r="D545" s="27"/>
      <c r="E545" s="27"/>
      <c r="F545" s="27"/>
      <c r="G545" s="27"/>
      <c r="H545" s="27"/>
      <c r="I545" s="27"/>
      <c r="J545" s="27"/>
      <c r="K545" s="23" t="str">
        <f t="shared" si="171"/>
        <v/>
      </c>
      <c r="L545" s="246" t="str">
        <f t="shared" si="168"/>
        <v/>
      </c>
      <c r="M545" s="23" t="str">
        <f t="shared" si="155"/>
        <v/>
      </c>
      <c r="N545" s="246" t="str">
        <f t="shared" si="163"/>
        <v/>
      </c>
      <c r="O545" s="246" t="str">
        <f t="shared" si="164"/>
        <v/>
      </c>
      <c r="P545" s="23" t="str">
        <f t="shared" si="172"/>
        <v/>
      </c>
      <c r="Q545" s="23" t="str">
        <f t="shared" si="156"/>
        <v/>
      </c>
      <c r="R545" s="23" t="str">
        <f t="shared" si="170"/>
        <v/>
      </c>
      <c r="S545" s="108">
        <f t="shared" si="159"/>
        <v>0</v>
      </c>
      <c r="T545" s="28">
        <f t="shared" si="160"/>
        <v>0</v>
      </c>
      <c r="U545" s="28">
        <f t="shared" si="169"/>
        <v>0</v>
      </c>
      <c r="V545" s="36" t="e">
        <f t="shared" si="157"/>
        <v>#DIV/0!</v>
      </c>
      <c r="W545" s="36" t="e">
        <f t="shared" si="158"/>
        <v>#DIV/0!</v>
      </c>
      <c r="X545" s="63" t="e">
        <f t="shared" si="161"/>
        <v>#DIV/0!</v>
      </c>
    </row>
    <row r="546" spans="1:24">
      <c r="A546" s="26"/>
      <c r="B546" s="27"/>
      <c r="C546" s="27"/>
      <c r="D546" s="27"/>
      <c r="E546" s="27"/>
      <c r="F546" s="27"/>
      <c r="G546" s="27"/>
      <c r="H546" s="27"/>
      <c r="I546" s="27"/>
      <c r="J546" s="27"/>
      <c r="K546" s="23" t="str">
        <f t="shared" si="171"/>
        <v/>
      </c>
      <c r="L546" s="23" t="str">
        <f t="shared" ref="L546:L549" si="173">IFERROR(D546*K546,"")</f>
        <v/>
      </c>
      <c r="M546" s="23" t="str">
        <f t="shared" si="155"/>
        <v/>
      </c>
      <c r="N546" s="23" t="str">
        <f t="shared" ref="N546:N549" si="174">IFERROR(F546*M546,"")</f>
        <v/>
      </c>
      <c r="O546" s="246" t="str">
        <f t="shared" si="164"/>
        <v/>
      </c>
      <c r="P546" s="23" t="str">
        <f t="shared" si="172"/>
        <v/>
      </c>
      <c r="Q546" s="23" t="str">
        <f t="shared" si="156"/>
        <v/>
      </c>
      <c r="R546" s="23" t="str">
        <f t="shared" si="170"/>
        <v/>
      </c>
      <c r="S546" s="108">
        <f t="shared" si="159"/>
        <v>0</v>
      </c>
      <c r="T546" s="28">
        <f t="shared" si="160"/>
        <v>0</v>
      </c>
      <c r="U546" s="28">
        <f t="shared" si="169"/>
        <v>0</v>
      </c>
      <c r="V546" s="36" t="e">
        <f t="shared" si="157"/>
        <v>#DIV/0!</v>
      </c>
      <c r="W546" s="36" t="e">
        <f t="shared" si="158"/>
        <v>#DIV/0!</v>
      </c>
      <c r="X546" s="63" t="e">
        <f t="shared" si="161"/>
        <v>#DIV/0!</v>
      </c>
    </row>
    <row r="547" spans="1:24">
      <c r="A547" s="26"/>
      <c r="B547" s="27"/>
      <c r="C547" s="27"/>
      <c r="D547" s="27"/>
      <c r="E547" s="27"/>
      <c r="F547" s="27"/>
      <c r="G547" s="27"/>
      <c r="H547" s="27"/>
      <c r="I547" s="27"/>
      <c r="J547" s="27"/>
      <c r="K547" s="23" t="str">
        <f t="shared" si="171"/>
        <v/>
      </c>
      <c r="L547" s="23" t="str">
        <f t="shared" si="173"/>
        <v/>
      </c>
      <c r="M547" s="23" t="str">
        <f t="shared" si="155"/>
        <v/>
      </c>
      <c r="N547" s="23" t="str">
        <f t="shared" si="174"/>
        <v/>
      </c>
      <c r="O547" s="246" t="str">
        <f t="shared" si="164"/>
        <v/>
      </c>
      <c r="P547" s="23" t="str">
        <f t="shared" si="172"/>
        <v/>
      </c>
      <c r="Q547" s="23" t="str">
        <f t="shared" si="156"/>
        <v/>
      </c>
      <c r="R547" s="23" t="str">
        <f t="shared" si="170"/>
        <v/>
      </c>
      <c r="S547" s="108">
        <f t="shared" si="159"/>
        <v>0</v>
      </c>
      <c r="T547" s="28">
        <f t="shared" si="160"/>
        <v>0</v>
      </c>
      <c r="U547" s="28">
        <f t="shared" si="169"/>
        <v>0</v>
      </c>
      <c r="V547" s="36" t="e">
        <f t="shared" si="157"/>
        <v>#DIV/0!</v>
      </c>
      <c r="W547" s="36" t="e">
        <f t="shared" si="158"/>
        <v>#DIV/0!</v>
      </c>
      <c r="X547" s="63" t="e">
        <f t="shared" si="161"/>
        <v>#DIV/0!</v>
      </c>
    </row>
    <row r="548" spans="1:24">
      <c r="A548" s="26"/>
      <c r="B548" s="27"/>
      <c r="C548" s="27"/>
      <c r="D548" s="27"/>
      <c r="E548" s="27"/>
      <c r="F548" s="27"/>
      <c r="G548" s="27"/>
      <c r="H548" s="27"/>
      <c r="I548" s="27"/>
      <c r="J548" s="27"/>
      <c r="K548" s="23" t="str">
        <f t="shared" si="171"/>
        <v/>
      </c>
      <c r="L548" s="23" t="str">
        <f t="shared" si="173"/>
        <v/>
      </c>
      <c r="M548" s="23" t="str">
        <f t="shared" si="155"/>
        <v/>
      </c>
      <c r="N548" s="23" t="str">
        <f t="shared" si="174"/>
        <v/>
      </c>
      <c r="O548" s="23" t="str">
        <f t="shared" ref="O548:O549" si="175">IF(G548="","",VLOOKUP(G548,成本单价,8,0))</f>
        <v/>
      </c>
      <c r="P548" s="23" t="str">
        <f t="shared" si="172"/>
        <v/>
      </c>
      <c r="Q548" s="23" t="str">
        <f t="shared" si="156"/>
        <v/>
      </c>
      <c r="R548" s="23" t="str">
        <f t="shared" si="170"/>
        <v/>
      </c>
      <c r="S548" s="108">
        <f t="shared" si="159"/>
        <v>0</v>
      </c>
      <c r="T548" s="28">
        <f t="shared" si="160"/>
        <v>0</v>
      </c>
      <c r="U548" s="28">
        <f t="shared" si="169"/>
        <v>0</v>
      </c>
      <c r="V548" s="36" t="e">
        <f t="shared" si="157"/>
        <v>#DIV/0!</v>
      </c>
      <c r="W548" s="36" t="e">
        <f t="shared" si="158"/>
        <v>#DIV/0!</v>
      </c>
      <c r="X548" s="63" t="e">
        <f t="shared" si="161"/>
        <v>#DIV/0!</v>
      </c>
    </row>
    <row r="549" spans="1:24">
      <c r="A549" s="26"/>
      <c r="B549" s="27"/>
      <c r="C549" s="27"/>
      <c r="D549" s="27"/>
      <c r="E549" s="27"/>
      <c r="F549" s="27"/>
      <c r="G549" s="27"/>
      <c r="H549" s="27"/>
      <c r="I549" s="27"/>
      <c r="J549" s="27"/>
      <c r="K549" s="23" t="str">
        <f t="shared" si="171"/>
        <v/>
      </c>
      <c r="L549" s="23" t="str">
        <f t="shared" si="173"/>
        <v/>
      </c>
      <c r="M549" s="23" t="str">
        <f t="shared" si="155"/>
        <v/>
      </c>
      <c r="N549" s="23" t="str">
        <f t="shared" si="174"/>
        <v/>
      </c>
      <c r="O549" s="23" t="str">
        <f t="shared" si="175"/>
        <v/>
      </c>
      <c r="P549" s="23" t="str">
        <f t="shared" si="172"/>
        <v/>
      </c>
      <c r="Q549" s="23" t="str">
        <f t="shared" si="156"/>
        <v/>
      </c>
      <c r="R549" s="23" t="str">
        <f t="shared" si="170"/>
        <v/>
      </c>
      <c r="S549" s="108">
        <f t="shared" si="159"/>
        <v>0</v>
      </c>
      <c r="T549" s="28">
        <f t="shared" si="160"/>
        <v>0</v>
      </c>
      <c r="U549" s="28">
        <f t="shared" si="169"/>
        <v>0</v>
      </c>
      <c r="V549" s="36" t="e">
        <f t="shared" si="157"/>
        <v>#DIV/0!</v>
      </c>
      <c r="W549" s="36" t="e">
        <f t="shared" si="158"/>
        <v>#DIV/0!</v>
      </c>
      <c r="X549" s="63" t="e">
        <f t="shared" si="161"/>
        <v>#DIV/0!</v>
      </c>
    </row>
  </sheetData>
  <customSheetViews>
    <customSheetView guid="{3AADC896-6B20-4F99-8402-796B8C297358}" scale="85" topLeftCell="B1">
      <pane xSplit="3" ySplit="2" topLeftCell="E3" activePane="bottomRight" state="frozen"/>
      <selection pane="bottomRight" activeCell="O21" sqref="O21"/>
      <pageMargins left="0.75" right="0.75" top="1" bottom="1" header="0.5" footer="0.5"/>
      <pageSetup paperSize="9" orientation="portrait" horizontalDpi="4294967292" verticalDpi="300" r:id="rId1"/>
      <headerFooter alignWithMargins="0"/>
    </customSheetView>
  </customSheetViews>
  <mergeCells count="8">
    <mergeCell ref="A1:A2"/>
    <mergeCell ref="B1:B2"/>
    <mergeCell ref="X1:X2"/>
    <mergeCell ref="U1:U2"/>
    <mergeCell ref="V1:V2"/>
    <mergeCell ref="W1:W2"/>
    <mergeCell ref="S1:S2"/>
    <mergeCell ref="T1:T2"/>
  </mergeCells>
  <phoneticPr fontId="1" type="noConversion"/>
  <conditionalFormatting sqref="A351:A549 A3:A270">
    <cfRule type="expression" dxfId="65" priority="4">
      <formula>COUNTIF(本周午菜,A3)+COUNTIF(本周晚菜,A3)&gt;0</formula>
    </cfRule>
  </conditionalFormatting>
  <pageMargins left="0.35433070866141736" right="0.35433070866141736" top="0.39370078740157483" bottom="0.39370078740157483" header="0.51181102362204722" footer="0.51181102362204722"/>
  <pageSetup paperSize="12" orientation="landscape" horizontalDpi="4294967292" verticalDpi="300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447"/>
  <sheetViews>
    <sheetView topLeftCell="A165" workbookViewId="0">
      <selection activeCell="F168" sqref="F168"/>
    </sheetView>
  </sheetViews>
  <sheetFormatPr defaultRowHeight="14.25"/>
  <cols>
    <col min="1" max="1" width="17.875" style="4" customWidth="1"/>
    <col min="2" max="2" width="9.75" style="2" customWidth="1"/>
    <col min="3" max="3" width="27.375" style="2" customWidth="1"/>
    <col min="4" max="4" width="14" style="2" customWidth="1"/>
    <col min="5" max="5" width="22.375" style="2" customWidth="1"/>
    <col min="6" max="6" width="12.5" style="2" customWidth="1"/>
    <col min="7" max="7" width="16.5" style="2" customWidth="1"/>
    <col min="8" max="8" width="6.75" style="2" customWidth="1"/>
    <col min="9" max="9" width="10" style="2" customWidth="1"/>
    <col min="10" max="10" width="5.125" style="2" customWidth="1"/>
    <col min="11" max="18" width="5.625" style="2" customWidth="1"/>
    <col min="19" max="19" width="5.625" style="109" customWidth="1"/>
    <col min="20" max="20" width="10.25" style="2" customWidth="1"/>
    <col min="21" max="21" width="10.125" style="2" customWidth="1"/>
    <col min="22" max="22" width="7.75" style="2" customWidth="1"/>
    <col min="23" max="23" width="9.75" style="2" customWidth="1"/>
    <col min="24" max="24" width="8" style="2" customWidth="1"/>
    <col min="25" max="16384" width="9" style="2"/>
  </cols>
  <sheetData>
    <row r="1" spans="1:24" ht="12" customHeight="1">
      <c r="A1" s="288" t="s">
        <v>10</v>
      </c>
      <c r="B1" s="288" t="s">
        <v>53</v>
      </c>
      <c r="C1" s="35" t="s">
        <v>15</v>
      </c>
      <c r="D1" s="24" t="s">
        <v>15</v>
      </c>
      <c r="E1" s="24" t="s">
        <v>388</v>
      </c>
      <c r="F1" s="24" t="s">
        <v>388</v>
      </c>
      <c r="G1" s="24" t="s">
        <v>389</v>
      </c>
      <c r="H1" s="24" t="s">
        <v>389</v>
      </c>
      <c r="I1" s="24" t="s">
        <v>390</v>
      </c>
      <c r="J1" s="24" t="s">
        <v>390</v>
      </c>
      <c r="K1" s="24" t="s">
        <v>387</v>
      </c>
      <c r="L1" s="24" t="s">
        <v>387</v>
      </c>
      <c r="M1" s="24" t="s">
        <v>388</v>
      </c>
      <c r="N1" s="24" t="s">
        <v>388</v>
      </c>
      <c r="O1" s="24" t="s">
        <v>389</v>
      </c>
      <c r="P1" s="24" t="s">
        <v>389</v>
      </c>
      <c r="Q1" s="24" t="s">
        <v>390</v>
      </c>
      <c r="R1" s="24" t="s">
        <v>390</v>
      </c>
      <c r="S1" s="291" t="s">
        <v>16</v>
      </c>
      <c r="T1" s="290" t="s">
        <v>17</v>
      </c>
      <c r="U1" s="290" t="s">
        <v>18</v>
      </c>
      <c r="V1" s="286" t="s">
        <v>19</v>
      </c>
      <c r="W1" s="286" t="s">
        <v>20</v>
      </c>
      <c r="X1" s="292" t="s">
        <v>12</v>
      </c>
    </row>
    <row r="2" spans="1:24" ht="38.25" customHeight="1">
      <c r="A2" s="288"/>
      <c r="B2" s="288"/>
      <c r="C2" s="35" t="s">
        <v>21</v>
      </c>
      <c r="D2" s="25" t="s">
        <v>22</v>
      </c>
      <c r="E2" s="25" t="s">
        <v>391</v>
      </c>
      <c r="F2" s="25" t="s">
        <v>22</v>
      </c>
      <c r="G2" s="25" t="s">
        <v>21</v>
      </c>
      <c r="H2" s="25" t="s">
        <v>22</v>
      </c>
      <c r="I2" s="25" t="s">
        <v>21</v>
      </c>
      <c r="J2" s="25" t="s">
        <v>22</v>
      </c>
      <c r="K2" s="25" t="s">
        <v>13</v>
      </c>
      <c r="L2" s="25" t="s">
        <v>23</v>
      </c>
      <c r="M2" s="25" t="s">
        <v>13</v>
      </c>
      <c r="N2" s="25" t="s">
        <v>23</v>
      </c>
      <c r="O2" s="25" t="s">
        <v>13</v>
      </c>
      <c r="P2" s="25" t="s">
        <v>23</v>
      </c>
      <c r="Q2" s="25" t="s">
        <v>13</v>
      </c>
      <c r="R2" s="25" t="s">
        <v>23</v>
      </c>
      <c r="S2" s="291"/>
      <c r="T2" s="290"/>
      <c r="U2" s="290"/>
      <c r="V2" s="286"/>
      <c r="W2" s="286"/>
      <c r="X2" s="292"/>
    </row>
    <row r="3" spans="1:24">
      <c r="A3" s="59" t="s">
        <v>742</v>
      </c>
      <c r="B3" s="37">
        <v>20</v>
      </c>
      <c r="C3" s="37" t="s">
        <v>654</v>
      </c>
      <c r="D3" s="37">
        <v>12</v>
      </c>
      <c r="E3" s="9" t="s">
        <v>163</v>
      </c>
      <c r="F3" s="37">
        <v>0.3</v>
      </c>
      <c r="G3" s="37"/>
      <c r="H3" s="37"/>
      <c r="I3" s="37"/>
      <c r="J3" s="37"/>
      <c r="K3" s="24">
        <f t="shared" ref="K3:K34" si="0">IF(C3="","",VLOOKUP(C3,成本单价,8,0))</f>
        <v>1.1176470588235294</v>
      </c>
      <c r="L3" s="24">
        <f t="shared" ref="L3:L34" si="1">IFERROR(D3*K3,"")</f>
        <v>13.411764705882353</v>
      </c>
      <c r="M3" s="24">
        <f t="shared" ref="M3:M34" si="2">IF(E3="","",VLOOKUP(E3,成本单价,8,0))</f>
        <v>6</v>
      </c>
      <c r="N3" s="24">
        <f t="shared" ref="N3:N34" si="3">IFERROR(F3*M3,"")</f>
        <v>1.7999999999999998</v>
      </c>
      <c r="O3" s="24" t="str">
        <f t="shared" ref="O3:O34" si="4">IF(G3="","",VLOOKUP(G3,成本单价,8,0))</f>
        <v/>
      </c>
      <c r="P3" s="24" t="str">
        <f t="shared" ref="P3:P34" si="5">IFERROR(H3*O3,"")</f>
        <v/>
      </c>
      <c r="Q3" s="24" t="str">
        <f t="shared" ref="Q3:Q34" si="6">IF(I3="","",VLOOKUP(I3,成本单价,8,0))</f>
        <v/>
      </c>
      <c r="R3" s="24" t="str">
        <f t="shared" ref="R3:R34" si="7">IFERROR(J3*Q3,"")</f>
        <v/>
      </c>
      <c r="S3" s="108">
        <f>B2*0.1</f>
        <v>0</v>
      </c>
      <c r="T3" s="28">
        <f t="shared" ref="T3:T34" si="8">IFERROR(SUM(L3,N3,P3,R3,S3),"")</f>
        <v>15.211764705882352</v>
      </c>
      <c r="U3" s="28">
        <f t="shared" ref="U3:U34" si="9">T3*(1+凉菜物料)</f>
        <v>15.211764705882352</v>
      </c>
      <c r="V3" s="28">
        <f t="shared" ref="V3:V34" si="10">U3/B3</f>
        <v>0.76058823529411757</v>
      </c>
      <c r="W3" s="28">
        <f t="shared" ref="W3:W34" si="11">D3/B3+F3/B3+H3/B3+J3/B3</f>
        <v>0.61499999999999999</v>
      </c>
      <c r="X3" s="29">
        <f t="shared" ref="X3:X34" si="12">ROUNDUP(V3*(1+凉菜毛利),1)</f>
        <v>0.79999999999999993</v>
      </c>
    </row>
    <row r="4" spans="1:24" s="3" customFormat="1">
      <c r="A4" s="59" t="s">
        <v>743</v>
      </c>
      <c r="B4" s="37">
        <v>15</v>
      </c>
      <c r="C4" s="40" t="s">
        <v>2152</v>
      </c>
      <c r="D4" s="37">
        <v>9</v>
      </c>
      <c r="E4" s="37" t="s">
        <v>670</v>
      </c>
      <c r="F4" s="37">
        <v>0.5</v>
      </c>
      <c r="G4" s="37" t="s">
        <v>600</v>
      </c>
      <c r="H4" s="37">
        <v>1</v>
      </c>
      <c r="I4" s="37"/>
      <c r="J4" s="37"/>
      <c r="K4" s="24">
        <f t="shared" si="0"/>
        <v>4.5333333333333332</v>
      </c>
      <c r="L4" s="24">
        <f t="shared" si="1"/>
        <v>40.799999999999997</v>
      </c>
      <c r="M4" s="24">
        <f t="shared" si="2"/>
        <v>2.2352941176470589</v>
      </c>
      <c r="N4" s="24">
        <f t="shared" si="3"/>
        <v>1.1176470588235294</v>
      </c>
      <c r="O4" s="24">
        <f t="shared" si="4"/>
        <v>3.4117647058823528</v>
      </c>
      <c r="P4" s="24">
        <f t="shared" si="5"/>
        <v>3.4117647058823528</v>
      </c>
      <c r="Q4" s="24" t="str">
        <f t="shared" si="6"/>
        <v/>
      </c>
      <c r="R4" s="24" t="str">
        <f t="shared" si="7"/>
        <v/>
      </c>
      <c r="S4" s="108">
        <f>B3*0.1</f>
        <v>2</v>
      </c>
      <c r="T4" s="28">
        <f t="shared" si="8"/>
        <v>47.329411764705881</v>
      </c>
      <c r="U4" s="28">
        <f t="shared" si="9"/>
        <v>47.329411764705881</v>
      </c>
      <c r="V4" s="25">
        <f t="shared" si="10"/>
        <v>3.1552941176470588</v>
      </c>
      <c r="W4" s="28">
        <f t="shared" si="11"/>
        <v>0.7</v>
      </c>
      <c r="X4" s="56">
        <f t="shared" si="12"/>
        <v>3.2</v>
      </c>
    </row>
    <row r="5" spans="1:24" ht="15">
      <c r="A5" s="59" t="s">
        <v>744</v>
      </c>
      <c r="B5" s="37">
        <v>15</v>
      </c>
      <c r="C5" s="37" t="s">
        <v>748</v>
      </c>
      <c r="D5" s="37">
        <v>9</v>
      </c>
      <c r="E5" s="47" t="s">
        <v>2153</v>
      </c>
      <c r="F5" s="37">
        <v>0.4</v>
      </c>
      <c r="G5" s="50" t="s">
        <v>362</v>
      </c>
      <c r="H5" s="37" t="s">
        <v>749</v>
      </c>
      <c r="I5" s="50" t="s">
        <v>356</v>
      </c>
      <c r="J5" s="37">
        <v>1</v>
      </c>
      <c r="K5" s="24">
        <f t="shared" si="0"/>
        <v>1.7333333333333334</v>
      </c>
      <c r="L5" s="24">
        <f t="shared" si="1"/>
        <v>15.600000000000001</v>
      </c>
      <c r="M5" s="24">
        <f t="shared" si="2"/>
        <v>14.117647058823529</v>
      </c>
      <c r="N5" s="24">
        <f t="shared" si="3"/>
        <v>5.6470588235294121</v>
      </c>
      <c r="O5" s="24">
        <f t="shared" si="4"/>
        <v>9.7142857142857153</v>
      </c>
      <c r="P5" s="24" t="str">
        <f t="shared" si="5"/>
        <v/>
      </c>
      <c r="Q5" s="24">
        <f t="shared" si="6"/>
        <v>5</v>
      </c>
      <c r="R5" s="24">
        <f t="shared" si="7"/>
        <v>5</v>
      </c>
      <c r="S5" s="108">
        <f>B4*0.3</f>
        <v>4.5</v>
      </c>
      <c r="T5" s="28">
        <f t="shared" si="8"/>
        <v>30.747058823529414</v>
      </c>
      <c r="U5" s="28">
        <f t="shared" si="9"/>
        <v>30.747058823529414</v>
      </c>
      <c r="V5" s="126">
        <f t="shared" si="10"/>
        <v>2.0498039215686275</v>
      </c>
      <c r="W5" s="28" t="e">
        <f t="shared" si="11"/>
        <v>#VALUE!</v>
      </c>
      <c r="X5" s="56">
        <f t="shared" si="12"/>
        <v>2.1</v>
      </c>
    </row>
    <row r="6" spans="1:24">
      <c r="A6" s="59" t="s">
        <v>745</v>
      </c>
      <c r="B6" s="37">
        <v>20</v>
      </c>
      <c r="C6" s="33" t="s">
        <v>1318</v>
      </c>
      <c r="D6" s="37">
        <v>12</v>
      </c>
      <c r="E6" s="121" t="s">
        <v>163</v>
      </c>
      <c r="F6" s="37">
        <v>0.5</v>
      </c>
      <c r="G6" s="37" t="s">
        <v>582</v>
      </c>
      <c r="H6" s="37">
        <v>0.5</v>
      </c>
      <c r="I6" s="37" t="s">
        <v>670</v>
      </c>
      <c r="J6" s="37">
        <v>0.5</v>
      </c>
      <c r="K6" s="24">
        <f t="shared" si="0"/>
        <v>1.2941176470588236</v>
      </c>
      <c r="L6" s="24">
        <f t="shared" si="1"/>
        <v>15.529411764705884</v>
      </c>
      <c r="M6" s="24">
        <f t="shared" si="2"/>
        <v>6</v>
      </c>
      <c r="N6" s="24">
        <f t="shared" si="3"/>
        <v>3</v>
      </c>
      <c r="O6" s="24">
        <f t="shared" si="4"/>
        <v>8.3529411764705888</v>
      </c>
      <c r="P6" s="24">
        <f t="shared" si="5"/>
        <v>4.1764705882352944</v>
      </c>
      <c r="Q6" s="24">
        <f t="shared" si="6"/>
        <v>2.2352941176470589</v>
      </c>
      <c r="R6" s="24">
        <f t="shared" si="7"/>
        <v>1.1176470588235294</v>
      </c>
      <c r="S6" s="108">
        <f>B5*0.9</f>
        <v>13.5</v>
      </c>
      <c r="T6" s="28">
        <f t="shared" si="8"/>
        <v>37.32352941176471</v>
      </c>
      <c r="U6" s="28">
        <f t="shared" si="9"/>
        <v>37.32352941176471</v>
      </c>
      <c r="V6" s="28">
        <f t="shared" si="10"/>
        <v>1.8661764705882355</v>
      </c>
      <c r="W6" s="28">
        <f t="shared" si="11"/>
        <v>0.67500000000000004</v>
      </c>
      <c r="X6" s="56">
        <f t="shared" si="12"/>
        <v>1.9000000000000001</v>
      </c>
    </row>
    <row r="7" spans="1:24">
      <c r="A7" s="59" t="s">
        <v>746</v>
      </c>
      <c r="B7" s="37">
        <v>20</v>
      </c>
      <c r="C7" s="122" t="s">
        <v>1319</v>
      </c>
      <c r="D7" s="37">
        <v>8</v>
      </c>
      <c r="E7" s="37" t="s">
        <v>669</v>
      </c>
      <c r="F7" s="37">
        <v>2</v>
      </c>
      <c r="G7" s="37" t="s">
        <v>750</v>
      </c>
      <c r="H7" s="37">
        <v>2</v>
      </c>
      <c r="I7" s="37"/>
      <c r="J7" s="37"/>
      <c r="K7" s="24">
        <f t="shared" si="0"/>
        <v>7</v>
      </c>
      <c r="L7" s="24">
        <f t="shared" si="1"/>
        <v>56</v>
      </c>
      <c r="M7" s="24">
        <f t="shared" si="2"/>
        <v>2.1176470588235294</v>
      </c>
      <c r="N7" s="24">
        <f t="shared" si="3"/>
        <v>4.2352941176470589</v>
      </c>
      <c r="O7" s="24">
        <f t="shared" si="4"/>
        <v>1.6470588235294117</v>
      </c>
      <c r="P7" s="24">
        <f t="shared" si="5"/>
        <v>3.2941176470588234</v>
      </c>
      <c r="Q7" s="24" t="str">
        <f t="shared" si="6"/>
        <v/>
      </c>
      <c r="R7" s="24" t="str">
        <f t="shared" si="7"/>
        <v/>
      </c>
      <c r="S7" s="108">
        <f>B6*0.1</f>
        <v>2</v>
      </c>
      <c r="T7" s="28">
        <f t="shared" si="8"/>
        <v>65.529411764705884</v>
      </c>
      <c r="U7" s="28">
        <f t="shared" si="9"/>
        <v>65.529411764705884</v>
      </c>
      <c r="V7" s="28">
        <f t="shared" si="10"/>
        <v>3.276470588235294</v>
      </c>
      <c r="W7" s="28">
        <f t="shared" si="11"/>
        <v>0.6</v>
      </c>
      <c r="X7" s="56">
        <f t="shared" si="12"/>
        <v>3.3000000000000003</v>
      </c>
    </row>
    <row r="8" spans="1:24" ht="15" thickBot="1">
      <c r="A8" s="59" t="s">
        <v>747</v>
      </c>
      <c r="B8" s="37">
        <v>15</v>
      </c>
      <c r="C8" s="78" t="s">
        <v>384</v>
      </c>
      <c r="D8" s="37">
        <v>1</v>
      </c>
      <c r="E8" s="37" t="s">
        <v>582</v>
      </c>
      <c r="F8" s="37">
        <v>1</v>
      </c>
      <c r="G8" s="37" t="s">
        <v>670</v>
      </c>
      <c r="H8" s="37" t="s">
        <v>751</v>
      </c>
      <c r="I8" s="37"/>
      <c r="J8" s="37"/>
      <c r="K8" s="24" t="e">
        <f t="shared" si="0"/>
        <v>#N/A</v>
      </c>
      <c r="L8" s="24" t="str">
        <f t="shared" si="1"/>
        <v/>
      </c>
      <c r="M8" s="24">
        <f t="shared" si="2"/>
        <v>8.3529411764705888</v>
      </c>
      <c r="N8" s="24">
        <f t="shared" si="3"/>
        <v>8.3529411764705888</v>
      </c>
      <c r="O8" s="24">
        <f t="shared" si="4"/>
        <v>2.2352941176470589</v>
      </c>
      <c r="P8" s="24" t="str">
        <f t="shared" si="5"/>
        <v/>
      </c>
      <c r="Q8" s="24" t="str">
        <f t="shared" si="6"/>
        <v/>
      </c>
      <c r="R8" s="24" t="str">
        <f t="shared" si="7"/>
        <v/>
      </c>
      <c r="S8" s="108">
        <f>B7*0.1</f>
        <v>2</v>
      </c>
      <c r="T8" s="28">
        <f t="shared" si="8"/>
        <v>10.352941176470589</v>
      </c>
      <c r="U8" s="28">
        <f t="shared" si="9"/>
        <v>10.352941176470589</v>
      </c>
      <c r="V8" s="28">
        <f t="shared" si="10"/>
        <v>0.69019607843137254</v>
      </c>
      <c r="W8" s="28" t="e">
        <f t="shared" si="11"/>
        <v>#VALUE!</v>
      </c>
      <c r="X8" s="56">
        <f t="shared" si="12"/>
        <v>0.7</v>
      </c>
    </row>
    <row r="9" spans="1:24">
      <c r="A9" s="96" t="s">
        <v>1035</v>
      </c>
      <c r="B9" s="26">
        <v>20</v>
      </c>
      <c r="C9" s="31" t="s">
        <v>1036</v>
      </c>
      <c r="D9" s="26">
        <v>3</v>
      </c>
      <c r="E9" s="32"/>
      <c r="F9" s="26"/>
      <c r="G9" s="26"/>
      <c r="H9" s="26"/>
      <c r="I9" s="26"/>
      <c r="J9" s="26"/>
      <c r="K9" s="24">
        <f t="shared" si="0"/>
        <v>1.6470588235294117</v>
      </c>
      <c r="L9" s="24">
        <f t="shared" si="1"/>
        <v>4.9411764705882355</v>
      </c>
      <c r="M9" s="24" t="str">
        <f t="shared" si="2"/>
        <v/>
      </c>
      <c r="N9" s="24" t="str">
        <f t="shared" si="3"/>
        <v/>
      </c>
      <c r="O9" s="24" t="str">
        <f t="shared" si="4"/>
        <v/>
      </c>
      <c r="P9" s="24" t="str">
        <f t="shared" si="5"/>
        <v/>
      </c>
      <c r="Q9" s="24" t="str">
        <f t="shared" si="6"/>
        <v/>
      </c>
      <c r="R9" s="24" t="str">
        <f t="shared" si="7"/>
        <v/>
      </c>
      <c r="S9" s="108">
        <f>B8*0.1</f>
        <v>1.5</v>
      </c>
      <c r="T9" s="28">
        <f t="shared" si="8"/>
        <v>6.4411764705882355</v>
      </c>
      <c r="U9" s="28">
        <f t="shared" si="9"/>
        <v>6.4411764705882355</v>
      </c>
      <c r="V9" s="28">
        <f t="shared" si="10"/>
        <v>0.32205882352941179</v>
      </c>
      <c r="W9" s="28">
        <f t="shared" si="11"/>
        <v>0.15</v>
      </c>
      <c r="X9" s="56">
        <f t="shared" si="12"/>
        <v>0.4</v>
      </c>
    </row>
    <row r="10" spans="1:24">
      <c r="A10" s="18" t="s">
        <v>763</v>
      </c>
      <c r="B10" s="18">
        <v>10</v>
      </c>
      <c r="C10" s="18" t="s">
        <v>635</v>
      </c>
      <c r="D10" s="18">
        <v>8</v>
      </c>
      <c r="E10" s="18"/>
      <c r="F10" s="18"/>
      <c r="G10" s="18"/>
      <c r="H10" s="18"/>
      <c r="I10" s="18"/>
      <c r="J10" s="18"/>
      <c r="K10" s="24">
        <f t="shared" si="0"/>
        <v>1.8823529411764708</v>
      </c>
      <c r="L10" s="24">
        <f t="shared" si="1"/>
        <v>15.058823529411766</v>
      </c>
      <c r="M10" s="24" t="str">
        <f t="shared" si="2"/>
        <v/>
      </c>
      <c r="N10" s="24" t="str">
        <f t="shared" si="3"/>
        <v/>
      </c>
      <c r="O10" s="24" t="str">
        <f t="shared" si="4"/>
        <v/>
      </c>
      <c r="P10" s="24" t="str">
        <f t="shared" si="5"/>
        <v/>
      </c>
      <c r="Q10" s="24" t="str">
        <f t="shared" si="6"/>
        <v/>
      </c>
      <c r="R10" s="24" t="str">
        <f t="shared" si="7"/>
        <v/>
      </c>
      <c r="S10" s="108">
        <f>B9*0.1</f>
        <v>2</v>
      </c>
      <c r="T10" s="28">
        <f t="shared" si="8"/>
        <v>17.058823529411768</v>
      </c>
      <c r="U10" s="28">
        <f t="shared" si="9"/>
        <v>17.058823529411768</v>
      </c>
      <c r="V10" s="28">
        <f t="shared" si="10"/>
        <v>1.7058823529411768</v>
      </c>
      <c r="W10" s="28">
        <f t="shared" si="11"/>
        <v>0.8</v>
      </c>
      <c r="X10" s="56">
        <f t="shared" si="12"/>
        <v>1.8</v>
      </c>
    </row>
    <row r="11" spans="1:24">
      <c r="A11" s="18" t="s">
        <v>2154</v>
      </c>
      <c r="B11" s="18">
        <v>20</v>
      </c>
      <c r="C11" s="47" t="s">
        <v>768</v>
      </c>
      <c r="D11" s="18">
        <v>1</v>
      </c>
      <c r="E11" s="18" t="s">
        <v>712</v>
      </c>
      <c r="F11" s="18">
        <v>0.5</v>
      </c>
      <c r="G11" s="18" t="s">
        <v>722</v>
      </c>
      <c r="H11" s="18">
        <v>0.3</v>
      </c>
      <c r="I11" s="18"/>
      <c r="J11" s="18"/>
      <c r="K11" s="22">
        <f t="shared" si="0"/>
        <v>31.5</v>
      </c>
      <c r="L11" s="24">
        <f t="shared" si="1"/>
        <v>31.5</v>
      </c>
      <c r="M11" s="24">
        <f t="shared" si="2"/>
        <v>14.117647058823529</v>
      </c>
      <c r="N11" s="24">
        <f t="shared" si="3"/>
        <v>7.0588235294117645</v>
      </c>
      <c r="O11" s="24">
        <f t="shared" si="4"/>
        <v>2.2352941176470589</v>
      </c>
      <c r="P11" s="24">
        <f t="shared" si="5"/>
        <v>0.6705882352941176</v>
      </c>
      <c r="Q11" s="24" t="str">
        <f t="shared" si="6"/>
        <v/>
      </c>
      <c r="R11" s="24" t="str">
        <f t="shared" si="7"/>
        <v/>
      </c>
      <c r="S11" s="108">
        <f>B10*1.5</f>
        <v>15</v>
      </c>
      <c r="T11" s="28">
        <f t="shared" si="8"/>
        <v>54.229411764705887</v>
      </c>
      <c r="U11" s="28">
        <f t="shared" si="9"/>
        <v>54.229411764705887</v>
      </c>
      <c r="V11" s="28">
        <f t="shared" si="10"/>
        <v>2.7114705882352945</v>
      </c>
      <c r="W11" s="28">
        <f t="shared" si="11"/>
        <v>9.0000000000000011E-2</v>
      </c>
      <c r="X11" s="56">
        <f t="shared" si="12"/>
        <v>2.8000000000000003</v>
      </c>
    </row>
    <row r="12" spans="1:24">
      <c r="A12" s="18" t="s">
        <v>764</v>
      </c>
      <c r="B12" s="18">
        <v>15</v>
      </c>
      <c r="C12" s="18" t="s">
        <v>690</v>
      </c>
      <c r="D12" s="18">
        <v>9</v>
      </c>
      <c r="E12" s="18" t="s">
        <v>722</v>
      </c>
      <c r="F12" s="18">
        <v>0.5</v>
      </c>
      <c r="G12" s="18" t="s">
        <v>740</v>
      </c>
      <c r="H12" s="18">
        <v>1</v>
      </c>
      <c r="I12" s="18"/>
      <c r="J12" s="18"/>
      <c r="K12" s="24">
        <f t="shared" si="0"/>
        <v>0.94117647058823539</v>
      </c>
      <c r="L12" s="24">
        <f t="shared" si="1"/>
        <v>8.4705882352941178</v>
      </c>
      <c r="M12" s="24">
        <f t="shared" si="2"/>
        <v>2.2352941176470589</v>
      </c>
      <c r="N12" s="24">
        <f t="shared" si="3"/>
        <v>1.1176470588235294</v>
      </c>
      <c r="O12" s="24">
        <f t="shared" si="4"/>
        <v>8.3529411764705888</v>
      </c>
      <c r="P12" s="24">
        <f t="shared" si="5"/>
        <v>8.3529411764705888</v>
      </c>
      <c r="Q12" s="24" t="str">
        <f t="shared" si="6"/>
        <v/>
      </c>
      <c r="R12" s="24" t="str">
        <f t="shared" si="7"/>
        <v/>
      </c>
      <c r="S12" s="108">
        <f>B11*0.1</f>
        <v>2</v>
      </c>
      <c r="T12" s="28">
        <f t="shared" si="8"/>
        <v>19.941176470588236</v>
      </c>
      <c r="U12" s="28">
        <f t="shared" si="9"/>
        <v>19.941176470588236</v>
      </c>
      <c r="V12" s="128">
        <f t="shared" si="10"/>
        <v>1.3294117647058823</v>
      </c>
      <c r="W12" s="28">
        <f t="shared" si="11"/>
        <v>0.7</v>
      </c>
      <c r="X12" s="56">
        <f t="shared" si="12"/>
        <v>1.4000000000000001</v>
      </c>
    </row>
    <row r="13" spans="1:24">
      <c r="A13" s="18" t="s">
        <v>765</v>
      </c>
      <c r="B13" s="18">
        <v>10</v>
      </c>
      <c r="C13" s="18" t="s">
        <v>769</v>
      </c>
      <c r="D13" s="18">
        <v>10</v>
      </c>
      <c r="E13" s="5" t="s">
        <v>59</v>
      </c>
      <c r="F13" s="18">
        <v>0.5</v>
      </c>
      <c r="G13" s="18"/>
      <c r="H13" s="18"/>
      <c r="I13" s="18"/>
      <c r="J13" s="18"/>
      <c r="K13" s="24">
        <f t="shared" si="0"/>
        <v>1.5999999999999999</v>
      </c>
      <c r="L13" s="24">
        <f t="shared" si="1"/>
        <v>15.999999999999998</v>
      </c>
      <c r="M13" s="24">
        <f t="shared" si="2"/>
        <v>2.1176470588235294</v>
      </c>
      <c r="N13" s="24">
        <f t="shared" si="3"/>
        <v>1.0588235294117647</v>
      </c>
      <c r="O13" s="24" t="str">
        <f t="shared" si="4"/>
        <v/>
      </c>
      <c r="P13" s="24" t="str">
        <f t="shared" si="5"/>
        <v/>
      </c>
      <c r="Q13" s="24" t="str">
        <f t="shared" si="6"/>
        <v/>
      </c>
      <c r="R13" s="24" t="str">
        <f t="shared" si="7"/>
        <v/>
      </c>
      <c r="S13" s="108">
        <f>B12*0.1</f>
        <v>1.5</v>
      </c>
      <c r="T13" s="28">
        <f t="shared" si="8"/>
        <v>18.558823529411764</v>
      </c>
      <c r="U13" s="28">
        <f t="shared" si="9"/>
        <v>18.558823529411764</v>
      </c>
      <c r="V13" s="28">
        <f t="shared" si="10"/>
        <v>1.8558823529411765</v>
      </c>
      <c r="W13" s="28">
        <f t="shared" si="11"/>
        <v>1.05</v>
      </c>
      <c r="X13" s="56">
        <f t="shared" si="12"/>
        <v>1.9000000000000001</v>
      </c>
    </row>
    <row r="14" spans="1:24">
      <c r="A14" s="18" t="s">
        <v>766</v>
      </c>
      <c r="B14" s="18">
        <v>10</v>
      </c>
      <c r="C14" s="18" t="s">
        <v>694</v>
      </c>
      <c r="D14" s="18">
        <v>4</v>
      </c>
      <c r="E14" s="18" t="s">
        <v>622</v>
      </c>
      <c r="F14" s="18">
        <v>2</v>
      </c>
      <c r="G14" s="18" t="s">
        <v>722</v>
      </c>
      <c r="H14" s="18">
        <v>1</v>
      </c>
      <c r="I14" s="18" t="s">
        <v>639</v>
      </c>
      <c r="J14" s="18">
        <v>1</v>
      </c>
      <c r="K14" s="24">
        <f t="shared" si="0"/>
        <v>1.6470588235294117</v>
      </c>
      <c r="L14" s="24">
        <f t="shared" si="1"/>
        <v>6.5882352941176467</v>
      </c>
      <c r="M14" s="24">
        <f t="shared" si="2"/>
        <v>1.1176470588235294</v>
      </c>
      <c r="N14" s="24">
        <f t="shared" si="3"/>
        <v>2.2352941176470589</v>
      </c>
      <c r="O14" s="24">
        <f t="shared" si="4"/>
        <v>2.2352941176470589</v>
      </c>
      <c r="P14" s="24">
        <f t="shared" si="5"/>
        <v>2.2352941176470589</v>
      </c>
      <c r="Q14" s="24">
        <f t="shared" si="6"/>
        <v>3.4117647058823528</v>
      </c>
      <c r="R14" s="24">
        <f t="shared" si="7"/>
        <v>3.4117647058823528</v>
      </c>
      <c r="S14" s="108">
        <f>B13*0.1</f>
        <v>1</v>
      </c>
      <c r="T14" s="28">
        <f t="shared" si="8"/>
        <v>15.470588235294118</v>
      </c>
      <c r="U14" s="36">
        <f t="shared" si="9"/>
        <v>15.470588235294118</v>
      </c>
      <c r="V14" s="36">
        <f t="shared" si="10"/>
        <v>1.5470588235294118</v>
      </c>
      <c r="W14" s="36">
        <f t="shared" si="11"/>
        <v>0.8</v>
      </c>
      <c r="X14" s="56">
        <f t="shared" si="12"/>
        <v>1.6</v>
      </c>
    </row>
    <row r="15" spans="1:24">
      <c r="A15" s="18" t="s">
        <v>767</v>
      </c>
      <c r="B15" s="18">
        <v>10</v>
      </c>
      <c r="C15" s="48" t="s">
        <v>39</v>
      </c>
      <c r="D15" s="18">
        <v>6</v>
      </c>
      <c r="E15" s="18" t="s">
        <v>693</v>
      </c>
      <c r="F15" s="18">
        <v>0.5</v>
      </c>
      <c r="G15" s="18"/>
      <c r="H15" s="18"/>
      <c r="I15" s="18"/>
      <c r="J15" s="18"/>
      <c r="K15" s="24">
        <f t="shared" si="0"/>
        <v>3.2941176470588234</v>
      </c>
      <c r="L15" s="24">
        <f t="shared" si="1"/>
        <v>19.764705882352942</v>
      </c>
      <c r="M15" s="24">
        <f t="shared" si="2"/>
        <v>2.1176470588235294</v>
      </c>
      <c r="N15" s="24">
        <f t="shared" si="3"/>
        <v>1.0588235294117647</v>
      </c>
      <c r="O15" s="55" t="str">
        <f t="shared" si="4"/>
        <v/>
      </c>
      <c r="P15" s="24" t="str">
        <f t="shared" si="5"/>
        <v/>
      </c>
      <c r="Q15" s="24" t="str">
        <f t="shared" si="6"/>
        <v/>
      </c>
      <c r="R15" s="24" t="str">
        <f t="shared" si="7"/>
        <v/>
      </c>
      <c r="S15" s="108">
        <f>B14*0.4</f>
        <v>4</v>
      </c>
      <c r="T15" s="28">
        <f t="shared" si="8"/>
        <v>24.823529411764707</v>
      </c>
      <c r="U15" s="28">
        <f t="shared" si="9"/>
        <v>24.823529411764707</v>
      </c>
      <c r="V15" s="28">
        <f t="shared" si="10"/>
        <v>2.4823529411764707</v>
      </c>
      <c r="W15" s="28">
        <f t="shared" si="11"/>
        <v>0.65</v>
      </c>
      <c r="X15" s="56">
        <f t="shared" si="12"/>
        <v>2.5</v>
      </c>
    </row>
    <row r="16" spans="1:24">
      <c r="A16" s="100" t="s">
        <v>1038</v>
      </c>
      <c r="B16" s="26">
        <v>1</v>
      </c>
      <c r="C16" s="48"/>
      <c r="D16" s="18"/>
      <c r="E16" s="18"/>
      <c r="F16" s="18"/>
      <c r="G16" s="18"/>
      <c r="H16" s="18"/>
      <c r="I16" s="18"/>
      <c r="J16" s="18"/>
      <c r="K16" s="105" t="str">
        <f t="shared" si="0"/>
        <v/>
      </c>
      <c r="L16" s="105" t="str">
        <f t="shared" si="1"/>
        <v/>
      </c>
      <c r="M16" s="105" t="str">
        <f t="shared" si="2"/>
        <v/>
      </c>
      <c r="N16" s="105" t="str">
        <f t="shared" si="3"/>
        <v/>
      </c>
      <c r="O16" s="105" t="str">
        <f t="shared" si="4"/>
        <v/>
      </c>
      <c r="P16" s="105" t="str">
        <f t="shared" si="5"/>
        <v/>
      </c>
      <c r="Q16" s="105" t="str">
        <f t="shared" si="6"/>
        <v/>
      </c>
      <c r="R16" s="105" t="str">
        <f t="shared" si="7"/>
        <v/>
      </c>
      <c r="S16" s="108">
        <f>B15*0.2</f>
        <v>2</v>
      </c>
      <c r="T16" s="106">
        <f t="shared" si="8"/>
        <v>2</v>
      </c>
      <c r="U16" s="106">
        <f t="shared" si="9"/>
        <v>2</v>
      </c>
      <c r="V16" s="106">
        <f t="shared" si="10"/>
        <v>2</v>
      </c>
      <c r="W16" s="106">
        <f t="shared" si="11"/>
        <v>0</v>
      </c>
      <c r="X16" s="107">
        <f t="shared" si="12"/>
        <v>2</v>
      </c>
    </row>
    <row r="17" spans="1:24">
      <c r="A17" s="89" t="s">
        <v>771</v>
      </c>
      <c r="B17" s="18">
        <v>1</v>
      </c>
      <c r="C17" s="48" t="s">
        <v>39</v>
      </c>
      <c r="D17" s="18">
        <v>0.6</v>
      </c>
      <c r="E17" s="18" t="s">
        <v>693</v>
      </c>
      <c r="F17" s="18">
        <v>0.1</v>
      </c>
      <c r="G17" s="18"/>
      <c r="H17" s="18"/>
      <c r="I17" s="18"/>
      <c r="J17" s="18"/>
      <c r="K17" s="127">
        <f t="shared" si="0"/>
        <v>3.2941176470588234</v>
      </c>
      <c r="L17" s="24">
        <f t="shared" si="1"/>
        <v>1.976470588235294</v>
      </c>
      <c r="M17" s="24">
        <f t="shared" si="2"/>
        <v>2.1176470588235294</v>
      </c>
      <c r="N17" s="24">
        <f t="shared" si="3"/>
        <v>0.21176470588235297</v>
      </c>
      <c r="O17" s="24" t="str">
        <f t="shared" si="4"/>
        <v/>
      </c>
      <c r="P17" s="24" t="str">
        <f t="shared" si="5"/>
        <v/>
      </c>
      <c r="Q17" s="55" t="str">
        <f t="shared" si="6"/>
        <v/>
      </c>
      <c r="R17" s="24" t="str">
        <f t="shared" si="7"/>
        <v/>
      </c>
      <c r="S17" s="108">
        <f>B16*0.4</f>
        <v>0.4</v>
      </c>
      <c r="T17" s="28">
        <f t="shared" si="8"/>
        <v>2.5882352941176467</v>
      </c>
      <c r="U17" s="28">
        <f t="shared" si="9"/>
        <v>2.5882352941176467</v>
      </c>
      <c r="V17" s="28">
        <f t="shared" si="10"/>
        <v>2.5882352941176467</v>
      </c>
      <c r="W17" s="54">
        <f t="shared" si="11"/>
        <v>0.7</v>
      </c>
      <c r="X17" s="56">
        <f t="shared" si="12"/>
        <v>2.6</v>
      </c>
    </row>
    <row r="18" spans="1:24">
      <c r="A18" s="89" t="s">
        <v>772</v>
      </c>
      <c r="B18" s="89">
        <v>15</v>
      </c>
      <c r="C18" s="89" t="s">
        <v>698</v>
      </c>
      <c r="D18" s="89">
        <v>2</v>
      </c>
      <c r="E18" s="89" t="s">
        <v>692</v>
      </c>
      <c r="F18" s="89">
        <v>5</v>
      </c>
      <c r="G18" s="89"/>
      <c r="H18" s="89"/>
      <c r="I18" s="89"/>
      <c r="J18" s="89"/>
      <c r="K18" s="24">
        <f t="shared" si="0"/>
        <v>42.857142857142861</v>
      </c>
      <c r="L18" s="24">
        <f t="shared" si="1"/>
        <v>85.714285714285722</v>
      </c>
      <c r="M18" s="24">
        <f t="shared" si="2"/>
        <v>1.6470588235294117</v>
      </c>
      <c r="N18" s="24">
        <f t="shared" si="3"/>
        <v>8.235294117647058</v>
      </c>
      <c r="O18" s="24" t="str">
        <f t="shared" si="4"/>
        <v/>
      </c>
      <c r="P18" s="24" t="str">
        <f t="shared" si="5"/>
        <v/>
      </c>
      <c r="Q18" s="24" t="str">
        <f t="shared" si="6"/>
        <v/>
      </c>
      <c r="R18" s="24" t="str">
        <f t="shared" si="7"/>
        <v/>
      </c>
      <c r="S18" s="108">
        <f>B17*0.1</f>
        <v>0.1</v>
      </c>
      <c r="T18" s="28">
        <f t="shared" si="8"/>
        <v>94.049579831932775</v>
      </c>
      <c r="U18" s="28">
        <f t="shared" si="9"/>
        <v>94.049579831932775</v>
      </c>
      <c r="V18" s="28">
        <f t="shared" si="10"/>
        <v>6.2699719887955183</v>
      </c>
      <c r="W18" s="54">
        <f t="shared" si="11"/>
        <v>0.46666666666666667</v>
      </c>
      <c r="X18" s="56">
        <f t="shared" si="12"/>
        <v>6.3</v>
      </c>
    </row>
    <row r="19" spans="1:24">
      <c r="A19" s="89" t="s">
        <v>773</v>
      </c>
      <c r="B19" s="89">
        <v>15</v>
      </c>
      <c r="C19" s="89" t="s">
        <v>622</v>
      </c>
      <c r="D19" s="89">
        <v>3</v>
      </c>
      <c r="E19" s="89" t="s">
        <v>693</v>
      </c>
      <c r="F19" s="89">
        <v>3</v>
      </c>
      <c r="G19" s="89" t="s">
        <v>737</v>
      </c>
      <c r="H19" s="89">
        <v>3</v>
      </c>
      <c r="I19" s="89"/>
      <c r="J19" s="89"/>
      <c r="K19" s="24">
        <f t="shared" si="0"/>
        <v>1.1176470588235294</v>
      </c>
      <c r="L19" s="24">
        <f t="shared" si="1"/>
        <v>3.3529411764705883</v>
      </c>
      <c r="M19" s="24">
        <f t="shared" si="2"/>
        <v>2.1176470588235294</v>
      </c>
      <c r="N19" s="24">
        <f t="shared" si="3"/>
        <v>6.3529411764705888</v>
      </c>
      <c r="O19" s="24" t="e">
        <f t="shared" si="4"/>
        <v>#N/A</v>
      </c>
      <c r="P19" s="24" t="str">
        <f t="shared" si="5"/>
        <v/>
      </c>
      <c r="Q19" s="24" t="str">
        <f t="shared" si="6"/>
        <v/>
      </c>
      <c r="R19" s="24" t="str">
        <f t="shared" si="7"/>
        <v/>
      </c>
      <c r="S19" s="108">
        <f>B18*0.1</f>
        <v>1.5</v>
      </c>
      <c r="T19" s="28">
        <f t="shared" si="8"/>
        <v>11.205882352941178</v>
      </c>
      <c r="U19" s="28">
        <f t="shared" si="9"/>
        <v>11.205882352941178</v>
      </c>
      <c r="V19" s="28">
        <f t="shared" si="10"/>
        <v>0.74705882352941189</v>
      </c>
      <c r="W19" s="54">
        <f t="shared" si="11"/>
        <v>0.60000000000000009</v>
      </c>
      <c r="X19" s="56">
        <f t="shared" si="12"/>
        <v>0.79999999999999993</v>
      </c>
    </row>
    <row r="20" spans="1:24">
      <c r="A20" s="18" t="s">
        <v>1825</v>
      </c>
      <c r="B20" s="89">
        <v>10</v>
      </c>
      <c r="C20" s="89" t="s">
        <v>775</v>
      </c>
      <c r="D20" s="89">
        <v>6</v>
      </c>
      <c r="E20" s="89"/>
      <c r="F20" s="89"/>
      <c r="G20" s="89"/>
      <c r="H20" s="89"/>
      <c r="I20" s="89"/>
      <c r="J20" s="89"/>
      <c r="K20" s="24">
        <f t="shared" si="0"/>
        <v>1.1764705882352942</v>
      </c>
      <c r="L20" s="24">
        <f t="shared" si="1"/>
        <v>7.0588235294117645</v>
      </c>
      <c r="M20" s="24" t="str">
        <f t="shared" si="2"/>
        <v/>
      </c>
      <c r="N20" s="24" t="str">
        <f t="shared" si="3"/>
        <v/>
      </c>
      <c r="O20" s="24" t="str">
        <f t="shared" si="4"/>
        <v/>
      </c>
      <c r="P20" s="24" t="str">
        <f t="shared" si="5"/>
        <v/>
      </c>
      <c r="Q20" s="24" t="str">
        <f t="shared" si="6"/>
        <v/>
      </c>
      <c r="R20" s="24" t="str">
        <f t="shared" si="7"/>
        <v/>
      </c>
      <c r="S20" s="108">
        <f>B19*0.1</f>
        <v>1.5</v>
      </c>
      <c r="T20" s="28">
        <f t="shared" si="8"/>
        <v>8.5588235294117645</v>
      </c>
      <c r="U20" s="128">
        <f t="shared" si="9"/>
        <v>8.5588235294117645</v>
      </c>
      <c r="V20" s="128">
        <f t="shared" si="10"/>
        <v>0.85588235294117643</v>
      </c>
      <c r="W20" s="128">
        <f t="shared" si="11"/>
        <v>0.6</v>
      </c>
      <c r="X20" s="56">
        <f t="shared" si="12"/>
        <v>0.9</v>
      </c>
    </row>
    <row r="21" spans="1:24">
      <c r="A21" s="89" t="s">
        <v>774</v>
      </c>
      <c r="B21" s="89">
        <v>15</v>
      </c>
      <c r="C21" s="89" t="s">
        <v>177</v>
      </c>
      <c r="D21" s="89">
        <v>9</v>
      </c>
      <c r="E21" s="78" t="s">
        <v>380</v>
      </c>
      <c r="F21" s="89">
        <v>1</v>
      </c>
      <c r="G21" s="89"/>
      <c r="H21" s="89"/>
      <c r="I21" s="89"/>
      <c r="J21" s="89"/>
      <c r="K21" s="24">
        <f t="shared" si="0"/>
        <v>3.5294117647058822</v>
      </c>
      <c r="L21" s="24">
        <f t="shared" si="1"/>
        <v>31.764705882352942</v>
      </c>
      <c r="M21" s="24">
        <f t="shared" si="2"/>
        <v>21.428571428571431</v>
      </c>
      <c r="N21" s="24">
        <f t="shared" si="3"/>
        <v>21.428571428571431</v>
      </c>
      <c r="O21" s="24" t="str">
        <f t="shared" si="4"/>
        <v/>
      </c>
      <c r="P21" s="24" t="str">
        <f t="shared" si="5"/>
        <v/>
      </c>
      <c r="Q21" s="24" t="str">
        <f t="shared" si="6"/>
        <v/>
      </c>
      <c r="R21" s="24" t="str">
        <f t="shared" si="7"/>
        <v/>
      </c>
      <c r="S21" s="108">
        <f>B20*0.1</f>
        <v>1</v>
      </c>
      <c r="T21" s="28">
        <f t="shared" si="8"/>
        <v>54.193277310924373</v>
      </c>
      <c r="U21" s="28">
        <f t="shared" si="9"/>
        <v>54.193277310924373</v>
      </c>
      <c r="V21" s="28">
        <f t="shared" si="10"/>
        <v>3.6128851540616247</v>
      </c>
      <c r="W21" s="54">
        <f t="shared" si="11"/>
        <v>0.66666666666666663</v>
      </c>
      <c r="X21" s="56">
        <f t="shared" si="12"/>
        <v>3.7</v>
      </c>
    </row>
    <row r="22" spans="1:24">
      <c r="A22" s="129" t="s">
        <v>777</v>
      </c>
      <c r="B22" s="19">
        <v>20</v>
      </c>
      <c r="C22" s="78" t="s">
        <v>1009</v>
      </c>
      <c r="D22" s="19">
        <v>0.5</v>
      </c>
      <c r="E22" s="89" t="s">
        <v>740</v>
      </c>
      <c r="F22" s="19">
        <v>1</v>
      </c>
      <c r="G22" s="19" t="s">
        <v>722</v>
      </c>
      <c r="H22" s="19">
        <v>0.5</v>
      </c>
      <c r="I22" s="19"/>
      <c r="J22" s="19"/>
      <c r="K22" s="24">
        <f t="shared" si="0"/>
        <v>61.428571428571431</v>
      </c>
      <c r="L22" s="24">
        <f t="shared" si="1"/>
        <v>30.714285714285715</v>
      </c>
      <c r="M22" s="24">
        <f t="shared" si="2"/>
        <v>8.3529411764705888</v>
      </c>
      <c r="N22" s="24">
        <f t="shared" si="3"/>
        <v>8.3529411764705888</v>
      </c>
      <c r="O22" s="22">
        <f t="shared" si="4"/>
        <v>2.2352941176470589</v>
      </c>
      <c r="P22" s="24">
        <f t="shared" si="5"/>
        <v>1.1176470588235294</v>
      </c>
      <c r="Q22" s="22" t="str">
        <f t="shared" si="6"/>
        <v/>
      </c>
      <c r="R22" s="24" t="str">
        <f t="shared" si="7"/>
        <v/>
      </c>
      <c r="S22" s="108">
        <f>B21*0.1</f>
        <v>1.5</v>
      </c>
      <c r="T22" s="28">
        <f t="shared" si="8"/>
        <v>41.684873949579831</v>
      </c>
      <c r="U22" s="57">
        <f t="shared" si="9"/>
        <v>41.684873949579831</v>
      </c>
      <c r="V22" s="57">
        <f t="shared" si="10"/>
        <v>2.0842436974789917</v>
      </c>
      <c r="W22" s="57">
        <f t="shared" si="11"/>
        <v>0.1</v>
      </c>
      <c r="X22" s="56">
        <f t="shared" si="12"/>
        <v>2.1</v>
      </c>
    </row>
    <row r="23" spans="1:24">
      <c r="A23" s="89" t="s">
        <v>778</v>
      </c>
      <c r="B23" s="19">
        <v>15</v>
      </c>
      <c r="C23" s="89" t="s">
        <v>497</v>
      </c>
      <c r="D23" s="19">
        <v>9</v>
      </c>
      <c r="E23" s="89"/>
      <c r="F23" s="19"/>
      <c r="G23" s="19"/>
      <c r="H23" s="19"/>
      <c r="I23" s="19"/>
      <c r="J23" s="19"/>
      <c r="K23" s="24">
        <f t="shared" si="0"/>
        <v>1.1176470588235294</v>
      </c>
      <c r="L23" s="24">
        <f t="shared" si="1"/>
        <v>10.058823529411764</v>
      </c>
      <c r="M23" s="24" t="str">
        <f t="shared" si="2"/>
        <v/>
      </c>
      <c r="N23" s="24" t="str">
        <f t="shared" si="3"/>
        <v/>
      </c>
      <c r="O23" s="127" t="str">
        <f t="shared" si="4"/>
        <v/>
      </c>
      <c r="P23" s="24" t="str">
        <f t="shared" si="5"/>
        <v/>
      </c>
      <c r="Q23" s="127" t="str">
        <f t="shared" si="6"/>
        <v/>
      </c>
      <c r="R23" s="24" t="str">
        <f t="shared" si="7"/>
        <v/>
      </c>
      <c r="S23" s="108">
        <f t="shared" ref="S23:S61" si="13">B22*0.1</f>
        <v>2</v>
      </c>
      <c r="T23" s="28">
        <f t="shared" si="8"/>
        <v>12.058823529411764</v>
      </c>
      <c r="U23" s="57">
        <f t="shared" si="9"/>
        <v>12.058823529411764</v>
      </c>
      <c r="V23" s="57">
        <f t="shared" si="10"/>
        <v>0.80392156862745101</v>
      </c>
      <c r="W23" s="57">
        <f t="shared" si="11"/>
        <v>0.6</v>
      </c>
      <c r="X23" s="56">
        <f t="shared" si="12"/>
        <v>0.9</v>
      </c>
    </row>
    <row r="24" spans="1:24">
      <c r="A24" s="89" t="s">
        <v>779</v>
      </c>
      <c r="B24" s="19">
        <v>15</v>
      </c>
      <c r="C24" s="19" t="s">
        <v>782</v>
      </c>
      <c r="D24" s="19">
        <v>3</v>
      </c>
      <c r="E24" s="40" t="s">
        <v>2152</v>
      </c>
      <c r="F24" s="19">
        <v>5</v>
      </c>
      <c r="G24" s="19" t="s">
        <v>740</v>
      </c>
      <c r="H24" s="19">
        <v>1</v>
      </c>
      <c r="I24" s="19"/>
      <c r="J24" s="19"/>
      <c r="K24" s="24">
        <f t="shared" si="0"/>
        <v>9.4117647058823533</v>
      </c>
      <c r="L24" s="24">
        <f t="shared" si="1"/>
        <v>28.235294117647058</v>
      </c>
      <c r="M24" s="22">
        <f t="shared" si="2"/>
        <v>4.5333333333333332</v>
      </c>
      <c r="N24" s="24">
        <f t="shared" si="3"/>
        <v>22.666666666666664</v>
      </c>
      <c r="O24" s="24">
        <f t="shared" si="4"/>
        <v>8.3529411764705888</v>
      </c>
      <c r="P24" s="24">
        <f t="shared" si="5"/>
        <v>8.3529411764705888</v>
      </c>
      <c r="Q24" s="24" t="str">
        <f t="shared" si="6"/>
        <v/>
      </c>
      <c r="R24" s="24" t="str">
        <f t="shared" si="7"/>
        <v/>
      </c>
      <c r="S24" s="108">
        <f t="shared" si="13"/>
        <v>1.5</v>
      </c>
      <c r="T24" s="28">
        <f t="shared" si="8"/>
        <v>60.754901960784309</v>
      </c>
      <c r="U24" s="57">
        <f t="shared" si="9"/>
        <v>60.754901960784309</v>
      </c>
      <c r="V24" s="57">
        <f t="shared" si="10"/>
        <v>4.0503267973856207</v>
      </c>
      <c r="W24" s="57">
        <f t="shared" si="11"/>
        <v>0.6</v>
      </c>
      <c r="X24" s="56">
        <f t="shared" si="12"/>
        <v>4.0999999999999996</v>
      </c>
    </row>
    <row r="25" spans="1:24">
      <c r="A25" s="89" t="s">
        <v>780</v>
      </c>
      <c r="B25" s="19">
        <v>10</v>
      </c>
      <c r="C25" s="79" t="s">
        <v>173</v>
      </c>
      <c r="D25" s="19">
        <v>10</v>
      </c>
      <c r="E25" s="89" t="s">
        <v>622</v>
      </c>
      <c r="F25" s="19">
        <v>3</v>
      </c>
      <c r="G25" s="19" t="s">
        <v>693</v>
      </c>
      <c r="H25" s="19">
        <v>2</v>
      </c>
      <c r="I25" s="19"/>
      <c r="J25" s="19"/>
      <c r="K25" s="24">
        <f t="shared" si="0"/>
        <v>0</v>
      </c>
      <c r="L25" s="24">
        <f t="shared" si="1"/>
        <v>0</v>
      </c>
      <c r="M25" s="127">
        <f t="shared" si="2"/>
        <v>1.1176470588235294</v>
      </c>
      <c r="N25" s="24">
        <f t="shared" si="3"/>
        <v>3.3529411764705883</v>
      </c>
      <c r="O25" s="24">
        <f t="shared" si="4"/>
        <v>2.1176470588235294</v>
      </c>
      <c r="P25" s="24">
        <f t="shared" si="5"/>
        <v>4.2352941176470589</v>
      </c>
      <c r="Q25" s="24" t="str">
        <f t="shared" si="6"/>
        <v/>
      </c>
      <c r="R25" s="24" t="str">
        <f t="shared" si="7"/>
        <v/>
      </c>
      <c r="S25" s="108">
        <f t="shared" si="13"/>
        <v>1.5</v>
      </c>
      <c r="T25" s="28">
        <f t="shared" si="8"/>
        <v>9.0882352941176467</v>
      </c>
      <c r="U25" s="57">
        <f t="shared" si="9"/>
        <v>9.0882352941176467</v>
      </c>
      <c r="V25" s="57">
        <f t="shared" si="10"/>
        <v>0.9088235294117647</v>
      </c>
      <c r="W25" s="57">
        <f t="shared" si="11"/>
        <v>1.5</v>
      </c>
      <c r="X25" s="56">
        <f t="shared" si="12"/>
        <v>1</v>
      </c>
    </row>
    <row r="26" spans="1:24">
      <c r="A26" s="89" t="s">
        <v>781</v>
      </c>
      <c r="B26" s="19">
        <v>10</v>
      </c>
      <c r="C26" s="40" t="s">
        <v>2156</v>
      </c>
      <c r="D26" s="19">
        <v>6</v>
      </c>
      <c r="E26" s="89"/>
      <c r="F26" s="19"/>
      <c r="G26" s="19"/>
      <c r="H26" s="19"/>
      <c r="I26" s="19"/>
      <c r="J26" s="19"/>
      <c r="K26" s="24">
        <f t="shared" si="0"/>
        <v>3.4666666666666668</v>
      </c>
      <c r="L26" s="24">
        <f t="shared" si="1"/>
        <v>20.8</v>
      </c>
      <c r="M26" s="24" t="str">
        <f t="shared" si="2"/>
        <v/>
      </c>
      <c r="N26" s="24" t="str">
        <f t="shared" si="3"/>
        <v/>
      </c>
      <c r="O26" s="24" t="str">
        <f t="shared" si="4"/>
        <v/>
      </c>
      <c r="P26" s="24" t="str">
        <f t="shared" si="5"/>
        <v/>
      </c>
      <c r="Q26" s="24" t="str">
        <f t="shared" si="6"/>
        <v/>
      </c>
      <c r="R26" s="24" t="str">
        <f t="shared" si="7"/>
        <v/>
      </c>
      <c r="S26" s="108">
        <f t="shared" si="13"/>
        <v>1</v>
      </c>
      <c r="T26" s="28">
        <f t="shared" si="8"/>
        <v>21.8</v>
      </c>
      <c r="U26" s="57">
        <f t="shared" si="9"/>
        <v>21.8</v>
      </c>
      <c r="V26" s="57">
        <f t="shared" si="10"/>
        <v>2.1800000000000002</v>
      </c>
      <c r="W26" s="57">
        <f t="shared" si="11"/>
        <v>0.6</v>
      </c>
      <c r="X26" s="56">
        <f t="shared" si="12"/>
        <v>2.2000000000000002</v>
      </c>
    </row>
    <row r="27" spans="1:24" ht="15">
      <c r="A27" s="89" t="s">
        <v>783</v>
      </c>
      <c r="B27" s="19">
        <v>10</v>
      </c>
      <c r="C27" s="89" t="s">
        <v>787</v>
      </c>
      <c r="D27" s="19">
        <v>6</v>
      </c>
      <c r="E27" s="47" t="s">
        <v>2157</v>
      </c>
      <c r="F27" s="19">
        <v>1</v>
      </c>
      <c r="G27" s="50" t="s">
        <v>366</v>
      </c>
      <c r="H27" s="19" t="s">
        <v>776</v>
      </c>
      <c r="I27" s="50" t="s">
        <v>359</v>
      </c>
      <c r="J27" s="19">
        <v>1</v>
      </c>
      <c r="K27" s="24">
        <f t="shared" si="0"/>
        <v>3.2941176470588234</v>
      </c>
      <c r="L27" s="24">
        <f t="shared" si="1"/>
        <v>19.764705882352942</v>
      </c>
      <c r="M27" s="22" t="e">
        <f t="shared" si="2"/>
        <v>#N/A</v>
      </c>
      <c r="N27" s="24" t="str">
        <f t="shared" si="3"/>
        <v/>
      </c>
      <c r="O27" s="127">
        <f t="shared" si="4"/>
        <v>5.7142857142857144</v>
      </c>
      <c r="P27" s="24" t="str">
        <f t="shared" si="5"/>
        <v/>
      </c>
      <c r="Q27" s="127">
        <f t="shared" si="6"/>
        <v>8.5714285714285712</v>
      </c>
      <c r="R27" s="24">
        <f t="shared" si="7"/>
        <v>8.5714285714285712</v>
      </c>
      <c r="S27" s="108">
        <f t="shared" si="13"/>
        <v>1</v>
      </c>
      <c r="T27" s="28">
        <f t="shared" si="8"/>
        <v>29.336134453781511</v>
      </c>
      <c r="U27" s="57">
        <f t="shared" si="9"/>
        <v>29.336134453781511</v>
      </c>
      <c r="V27" s="57">
        <f t="shared" si="10"/>
        <v>2.9336134453781511</v>
      </c>
      <c r="W27" s="238" t="e">
        <f t="shared" si="11"/>
        <v>#VALUE!</v>
      </c>
      <c r="X27" s="56">
        <f t="shared" si="12"/>
        <v>3</v>
      </c>
    </row>
    <row r="28" spans="1:24">
      <c r="A28" s="89" t="s">
        <v>784</v>
      </c>
      <c r="B28" s="89">
        <v>10</v>
      </c>
      <c r="C28" s="89" t="s">
        <v>788</v>
      </c>
      <c r="D28" s="89">
        <v>6</v>
      </c>
      <c r="E28" s="89"/>
      <c r="F28" s="89"/>
      <c r="G28" s="89"/>
      <c r="H28" s="89"/>
      <c r="I28" s="89"/>
      <c r="J28" s="89"/>
      <c r="K28" s="24">
        <f t="shared" si="0"/>
        <v>2.1176470588235294</v>
      </c>
      <c r="L28" s="24">
        <f t="shared" si="1"/>
        <v>12.705882352941178</v>
      </c>
      <c r="M28" s="24" t="str">
        <f t="shared" si="2"/>
        <v/>
      </c>
      <c r="N28" s="24" t="str">
        <f t="shared" si="3"/>
        <v/>
      </c>
      <c r="O28" s="24" t="str">
        <f t="shared" si="4"/>
        <v/>
      </c>
      <c r="P28" s="24" t="str">
        <f t="shared" si="5"/>
        <v/>
      </c>
      <c r="Q28" s="24" t="str">
        <f t="shared" si="6"/>
        <v/>
      </c>
      <c r="R28" s="24" t="str">
        <f t="shared" si="7"/>
        <v/>
      </c>
      <c r="S28" s="108">
        <f t="shared" si="13"/>
        <v>1</v>
      </c>
      <c r="T28" s="28">
        <f t="shared" si="8"/>
        <v>13.705882352941178</v>
      </c>
      <c r="U28" s="57">
        <f t="shared" si="9"/>
        <v>13.705882352941178</v>
      </c>
      <c r="V28" s="57">
        <f t="shared" si="10"/>
        <v>1.3705882352941177</v>
      </c>
      <c r="W28" s="238">
        <f t="shared" si="11"/>
        <v>0.6</v>
      </c>
      <c r="X28" s="56">
        <f t="shared" si="12"/>
        <v>1.4000000000000001</v>
      </c>
    </row>
    <row r="29" spans="1:24">
      <c r="A29" s="89" t="s">
        <v>785</v>
      </c>
      <c r="B29" s="19">
        <v>20</v>
      </c>
      <c r="C29" s="19" t="s">
        <v>789</v>
      </c>
      <c r="D29" s="19">
        <v>10</v>
      </c>
      <c r="E29" s="89" t="s">
        <v>722</v>
      </c>
      <c r="F29" s="19">
        <v>1</v>
      </c>
      <c r="G29" s="89" t="s">
        <v>740</v>
      </c>
      <c r="H29" s="19">
        <v>1</v>
      </c>
      <c r="I29" s="89"/>
      <c r="J29" s="19"/>
      <c r="K29" s="24">
        <f t="shared" si="0"/>
        <v>2</v>
      </c>
      <c r="L29" s="24">
        <f t="shared" si="1"/>
        <v>20</v>
      </c>
      <c r="M29" s="127">
        <f t="shared" si="2"/>
        <v>2.2352941176470589</v>
      </c>
      <c r="N29" s="24">
        <f t="shared" si="3"/>
        <v>2.2352941176470589</v>
      </c>
      <c r="O29" s="24">
        <f t="shared" si="4"/>
        <v>8.3529411764705888</v>
      </c>
      <c r="P29" s="24">
        <f t="shared" si="5"/>
        <v>8.3529411764705888</v>
      </c>
      <c r="Q29" s="24" t="str">
        <f t="shared" si="6"/>
        <v/>
      </c>
      <c r="R29" s="24" t="str">
        <f t="shared" si="7"/>
        <v/>
      </c>
      <c r="S29" s="108">
        <f t="shared" si="13"/>
        <v>1</v>
      </c>
      <c r="T29" s="28">
        <f t="shared" si="8"/>
        <v>31.588235294117645</v>
      </c>
      <c r="U29" s="57">
        <f t="shared" si="9"/>
        <v>31.588235294117645</v>
      </c>
      <c r="V29" s="57">
        <f t="shared" si="10"/>
        <v>1.5794117647058823</v>
      </c>
      <c r="W29" s="57">
        <f t="shared" si="11"/>
        <v>0.60000000000000009</v>
      </c>
      <c r="X29" s="56">
        <f t="shared" si="12"/>
        <v>1.6</v>
      </c>
    </row>
    <row r="30" spans="1:24">
      <c r="A30" s="19" t="s">
        <v>770</v>
      </c>
      <c r="B30" s="19">
        <v>20</v>
      </c>
      <c r="C30" s="89" t="s">
        <v>622</v>
      </c>
      <c r="D30" s="19">
        <v>7</v>
      </c>
      <c r="E30" s="48" t="s">
        <v>133</v>
      </c>
      <c r="F30" s="19">
        <v>2</v>
      </c>
      <c r="G30" s="19" t="s">
        <v>791</v>
      </c>
      <c r="H30" s="19">
        <v>2</v>
      </c>
      <c r="I30" s="48" t="s">
        <v>71</v>
      </c>
      <c r="J30" s="19">
        <v>1</v>
      </c>
      <c r="K30" s="24">
        <f t="shared" si="0"/>
        <v>1.1176470588235294</v>
      </c>
      <c r="L30" s="24">
        <f t="shared" si="1"/>
        <v>7.8235294117647065</v>
      </c>
      <c r="M30" s="24">
        <f t="shared" si="2"/>
        <v>1.7647058823529411</v>
      </c>
      <c r="N30" s="24">
        <f t="shared" si="3"/>
        <v>3.5294117647058822</v>
      </c>
      <c r="O30" s="24">
        <f t="shared" si="4"/>
        <v>5.882352941176471</v>
      </c>
      <c r="P30" s="24">
        <f t="shared" si="5"/>
        <v>11.764705882352942</v>
      </c>
      <c r="Q30" s="24">
        <f t="shared" si="6"/>
        <v>2.3529411764705883</v>
      </c>
      <c r="R30" s="24">
        <f t="shared" si="7"/>
        <v>2.3529411764705883</v>
      </c>
      <c r="S30" s="108">
        <f t="shared" si="13"/>
        <v>2</v>
      </c>
      <c r="T30" s="28">
        <f t="shared" si="8"/>
        <v>27.470588235294116</v>
      </c>
      <c r="U30" s="57">
        <f t="shared" si="9"/>
        <v>27.470588235294116</v>
      </c>
      <c r="V30" s="57">
        <f t="shared" si="10"/>
        <v>1.3735294117647059</v>
      </c>
      <c r="W30" s="57">
        <f t="shared" si="11"/>
        <v>0.6</v>
      </c>
      <c r="X30" s="56">
        <f t="shared" si="12"/>
        <v>1.4000000000000001</v>
      </c>
    </row>
    <row r="31" spans="1:24">
      <c r="A31" s="89" t="s">
        <v>786</v>
      </c>
      <c r="B31" s="19">
        <v>10</v>
      </c>
      <c r="C31" s="89" t="s">
        <v>790</v>
      </c>
      <c r="D31" s="19">
        <v>6</v>
      </c>
      <c r="E31" s="89"/>
      <c r="F31" s="19"/>
      <c r="G31" s="19"/>
      <c r="H31" s="19"/>
      <c r="I31" s="19"/>
      <c r="J31" s="19"/>
      <c r="K31" s="24">
        <f t="shared" si="0"/>
        <v>1.5294117647058825</v>
      </c>
      <c r="L31" s="24">
        <f t="shared" si="1"/>
        <v>9.1764705882352953</v>
      </c>
      <c r="M31" s="24" t="str">
        <f t="shared" si="2"/>
        <v/>
      </c>
      <c r="N31" s="24" t="str">
        <f t="shared" si="3"/>
        <v/>
      </c>
      <c r="O31" s="24" t="str">
        <f t="shared" si="4"/>
        <v/>
      </c>
      <c r="P31" s="24" t="str">
        <f t="shared" si="5"/>
        <v/>
      </c>
      <c r="Q31" s="24" t="str">
        <f t="shared" si="6"/>
        <v/>
      </c>
      <c r="R31" s="24" t="str">
        <f t="shared" si="7"/>
        <v/>
      </c>
      <c r="S31" s="108">
        <f t="shared" si="13"/>
        <v>2</v>
      </c>
      <c r="T31" s="28">
        <f t="shared" si="8"/>
        <v>11.176470588235295</v>
      </c>
      <c r="U31" s="57">
        <f t="shared" si="9"/>
        <v>11.176470588235295</v>
      </c>
      <c r="V31" s="57">
        <f t="shared" si="10"/>
        <v>1.1176470588235294</v>
      </c>
      <c r="W31" s="57">
        <f t="shared" si="11"/>
        <v>0.6</v>
      </c>
      <c r="X31" s="56">
        <f t="shared" si="12"/>
        <v>1.2000000000000002</v>
      </c>
    </row>
    <row r="32" spans="1:24">
      <c r="A32" s="89" t="s">
        <v>793</v>
      </c>
      <c r="B32" s="89">
        <v>15</v>
      </c>
      <c r="C32" s="20" t="s">
        <v>797</v>
      </c>
      <c r="D32" s="89">
        <v>9</v>
      </c>
      <c r="E32" s="89"/>
      <c r="F32" s="89"/>
      <c r="G32" s="89"/>
      <c r="H32" s="89"/>
      <c r="I32" s="89"/>
      <c r="J32" s="89"/>
      <c r="K32" s="24">
        <f t="shared" si="0"/>
        <v>5.5</v>
      </c>
      <c r="L32" s="24">
        <f t="shared" si="1"/>
        <v>49.5</v>
      </c>
      <c r="M32" s="24" t="str">
        <f t="shared" si="2"/>
        <v/>
      </c>
      <c r="N32" s="24" t="str">
        <f t="shared" si="3"/>
        <v/>
      </c>
      <c r="O32" s="24" t="str">
        <f t="shared" si="4"/>
        <v/>
      </c>
      <c r="P32" s="24" t="str">
        <f t="shared" si="5"/>
        <v/>
      </c>
      <c r="Q32" s="24" t="str">
        <f t="shared" si="6"/>
        <v/>
      </c>
      <c r="R32" s="24" t="str">
        <f t="shared" si="7"/>
        <v/>
      </c>
      <c r="S32" s="108">
        <f t="shared" si="13"/>
        <v>1</v>
      </c>
      <c r="T32" s="28">
        <f t="shared" si="8"/>
        <v>50.5</v>
      </c>
      <c r="U32" s="57">
        <f t="shared" si="9"/>
        <v>50.5</v>
      </c>
      <c r="V32" s="57">
        <f t="shared" si="10"/>
        <v>3.3666666666666667</v>
      </c>
      <c r="W32" s="57">
        <f t="shared" si="11"/>
        <v>0.6</v>
      </c>
      <c r="X32" s="56">
        <f t="shared" si="12"/>
        <v>3.4</v>
      </c>
    </row>
    <row r="33" spans="1:24">
      <c r="A33" s="19" t="s">
        <v>794</v>
      </c>
      <c r="B33" s="19">
        <v>10</v>
      </c>
      <c r="C33" s="19" t="s">
        <v>798</v>
      </c>
      <c r="D33" s="19">
        <v>5</v>
      </c>
      <c r="E33" s="89" t="s">
        <v>800</v>
      </c>
      <c r="F33" s="19">
        <v>1</v>
      </c>
      <c r="G33" s="89"/>
      <c r="H33" s="19"/>
      <c r="I33" s="89"/>
      <c r="J33" s="19"/>
      <c r="K33" s="24">
        <f t="shared" si="0"/>
        <v>2.3529411764705883</v>
      </c>
      <c r="L33" s="24">
        <f t="shared" si="1"/>
        <v>11.764705882352942</v>
      </c>
      <c r="M33" s="127">
        <f t="shared" si="2"/>
        <v>9.4117647058823533</v>
      </c>
      <c r="N33" s="24">
        <f t="shared" si="3"/>
        <v>9.4117647058823533</v>
      </c>
      <c r="O33" s="24" t="str">
        <f t="shared" si="4"/>
        <v/>
      </c>
      <c r="P33" s="24" t="str">
        <f t="shared" si="5"/>
        <v/>
      </c>
      <c r="Q33" s="24" t="str">
        <f t="shared" si="6"/>
        <v/>
      </c>
      <c r="R33" s="24" t="str">
        <f t="shared" si="7"/>
        <v/>
      </c>
      <c r="S33" s="108">
        <f t="shared" si="13"/>
        <v>1.5</v>
      </c>
      <c r="T33" s="28">
        <f t="shared" si="8"/>
        <v>22.676470588235297</v>
      </c>
      <c r="U33" s="57">
        <f t="shared" si="9"/>
        <v>22.676470588235297</v>
      </c>
      <c r="V33" s="57">
        <f t="shared" si="10"/>
        <v>2.2676470588235298</v>
      </c>
      <c r="W33" s="57">
        <f t="shared" si="11"/>
        <v>0.6</v>
      </c>
      <c r="X33" s="56">
        <f t="shared" si="12"/>
        <v>2.3000000000000003</v>
      </c>
    </row>
    <row r="34" spans="1:24">
      <c r="A34" s="89" t="s">
        <v>795</v>
      </c>
      <c r="B34" s="19">
        <v>15</v>
      </c>
      <c r="C34" s="19" t="s">
        <v>799</v>
      </c>
      <c r="D34" s="19">
        <v>2</v>
      </c>
      <c r="E34" s="9" t="s">
        <v>2158</v>
      </c>
      <c r="F34" s="19">
        <v>2</v>
      </c>
      <c r="G34" s="19" t="s">
        <v>801</v>
      </c>
      <c r="H34" s="19">
        <v>3</v>
      </c>
      <c r="I34" s="19" t="s">
        <v>802</v>
      </c>
      <c r="J34" s="19">
        <v>2</v>
      </c>
      <c r="K34" s="24">
        <f t="shared" si="0"/>
        <v>1.2941176470588236</v>
      </c>
      <c r="L34" s="24">
        <f t="shared" si="1"/>
        <v>2.5882352941176472</v>
      </c>
      <c r="M34" s="24">
        <f t="shared" si="2"/>
        <v>0.94117647058823539</v>
      </c>
      <c r="N34" s="24">
        <f t="shared" si="3"/>
        <v>1.8823529411764708</v>
      </c>
      <c r="O34" s="24">
        <f t="shared" si="4"/>
        <v>1.1176470588235294</v>
      </c>
      <c r="P34" s="24">
        <f t="shared" si="5"/>
        <v>3.3529411764705883</v>
      </c>
      <c r="Q34" s="24">
        <f t="shared" si="6"/>
        <v>1.6470588235294117</v>
      </c>
      <c r="R34" s="24">
        <f t="shared" si="7"/>
        <v>3.2941176470588234</v>
      </c>
      <c r="S34" s="108">
        <f t="shared" si="13"/>
        <v>1</v>
      </c>
      <c r="T34" s="28">
        <f t="shared" si="8"/>
        <v>12.117647058823529</v>
      </c>
      <c r="U34" s="57">
        <f t="shared" si="9"/>
        <v>12.117647058823529</v>
      </c>
      <c r="V34" s="57">
        <f t="shared" si="10"/>
        <v>0.80784313725490198</v>
      </c>
      <c r="W34" s="57">
        <f t="shared" si="11"/>
        <v>0.6</v>
      </c>
      <c r="X34" s="56">
        <f t="shared" si="12"/>
        <v>0.9</v>
      </c>
    </row>
    <row r="35" spans="1:24">
      <c r="A35" s="89" t="s">
        <v>796</v>
      </c>
      <c r="B35" s="89">
        <v>15</v>
      </c>
      <c r="C35" s="40" t="s">
        <v>2159</v>
      </c>
      <c r="D35" s="89">
        <v>9</v>
      </c>
      <c r="E35" s="89"/>
      <c r="F35" s="89"/>
      <c r="G35" s="89"/>
      <c r="H35" s="89"/>
      <c r="I35" s="89"/>
      <c r="J35" s="89"/>
      <c r="K35" s="24">
        <f t="shared" ref="K35:K66" si="14">IF(C35="","",VLOOKUP(C35,成本单价,8,0))</f>
        <v>1.8666666666666665</v>
      </c>
      <c r="L35" s="24">
        <f t="shared" ref="L35:L66" si="15">IFERROR(D35*K35,"")</f>
        <v>16.799999999999997</v>
      </c>
      <c r="M35" s="24" t="str">
        <f t="shared" ref="M35:M66" si="16">IF(E35="","",VLOOKUP(E35,成本单价,8,0))</f>
        <v/>
      </c>
      <c r="N35" s="24" t="str">
        <f t="shared" ref="N35:N66" si="17">IFERROR(F35*M35,"")</f>
        <v/>
      </c>
      <c r="O35" s="24" t="str">
        <f t="shared" ref="O35:O66" si="18">IF(G35="","",VLOOKUP(G35,成本单价,8,0))</f>
        <v/>
      </c>
      <c r="P35" s="24" t="str">
        <f t="shared" ref="P35:P66" si="19">IFERROR(H35*O35,"")</f>
        <v/>
      </c>
      <c r="Q35" s="24" t="str">
        <f t="shared" ref="Q35:Q66" si="20">IF(I35="","",VLOOKUP(I35,成本单价,8,0))</f>
        <v/>
      </c>
      <c r="R35" s="24" t="str">
        <f t="shared" ref="R35:R66" si="21">IFERROR(J35*Q35,"")</f>
        <v/>
      </c>
      <c r="S35" s="108">
        <f t="shared" si="13"/>
        <v>1.5</v>
      </c>
      <c r="T35" s="28">
        <f t="shared" ref="T35:T66" si="22">IFERROR(SUM(L35,N35,P35,R35,S35),"")</f>
        <v>18.299999999999997</v>
      </c>
      <c r="U35" s="57">
        <f t="shared" ref="U35:U66" si="23">T35*(1+凉菜物料)</f>
        <v>18.299999999999997</v>
      </c>
      <c r="V35" s="57">
        <f t="shared" ref="V35:V66" si="24">U35/B35</f>
        <v>1.2199999999999998</v>
      </c>
      <c r="W35" s="57">
        <f t="shared" ref="W35:W66" si="25">D35/B35+F35/B35+H35/B35+J35/B35</f>
        <v>0.6</v>
      </c>
      <c r="X35" s="56">
        <f t="shared" ref="X35:X66" si="26">ROUNDUP(V35*(1+凉菜毛利),1)</f>
        <v>1.3</v>
      </c>
    </row>
    <row r="36" spans="1:24">
      <c r="A36" s="89" t="s">
        <v>803</v>
      </c>
      <c r="B36" s="19">
        <v>15</v>
      </c>
      <c r="C36" s="89" t="s">
        <v>807</v>
      </c>
      <c r="D36" s="19">
        <v>15</v>
      </c>
      <c r="E36" s="19"/>
      <c r="F36" s="19"/>
      <c r="G36" s="19"/>
      <c r="H36" s="19"/>
      <c r="I36" s="26"/>
      <c r="J36" s="26"/>
      <c r="K36" s="24">
        <f t="shared" si="14"/>
        <v>1.8823529411764708</v>
      </c>
      <c r="L36" s="24">
        <f t="shared" si="15"/>
        <v>28.235294117647062</v>
      </c>
      <c r="M36" s="24" t="str">
        <f t="shared" si="16"/>
        <v/>
      </c>
      <c r="N36" s="24" t="str">
        <f t="shared" si="17"/>
        <v/>
      </c>
      <c r="O36" s="24" t="str">
        <f t="shared" si="18"/>
        <v/>
      </c>
      <c r="P36" s="24" t="str">
        <f t="shared" si="19"/>
        <v/>
      </c>
      <c r="Q36" s="24" t="str">
        <f t="shared" si="20"/>
        <v/>
      </c>
      <c r="R36" s="24" t="str">
        <f t="shared" si="21"/>
        <v/>
      </c>
      <c r="S36" s="108">
        <f t="shared" si="13"/>
        <v>1.5</v>
      </c>
      <c r="T36" s="28">
        <f t="shared" si="22"/>
        <v>29.735294117647062</v>
      </c>
      <c r="U36" s="57">
        <f t="shared" si="23"/>
        <v>29.735294117647062</v>
      </c>
      <c r="V36" s="57">
        <f t="shared" si="24"/>
        <v>1.9823529411764709</v>
      </c>
      <c r="W36" s="57">
        <f t="shared" si="25"/>
        <v>1</v>
      </c>
      <c r="X36" s="56">
        <f t="shared" si="26"/>
        <v>2</v>
      </c>
    </row>
    <row r="37" spans="1:24">
      <c r="A37" s="89" t="s">
        <v>804</v>
      </c>
      <c r="B37" s="19">
        <v>10</v>
      </c>
      <c r="C37" s="89" t="s">
        <v>808</v>
      </c>
      <c r="D37" s="19">
        <v>3</v>
      </c>
      <c r="E37" s="33" t="s">
        <v>2160</v>
      </c>
      <c r="F37" s="19">
        <v>2</v>
      </c>
      <c r="G37" s="48" t="s">
        <v>147</v>
      </c>
      <c r="H37" s="19">
        <v>1</v>
      </c>
      <c r="I37" s="26"/>
      <c r="J37" s="26"/>
      <c r="K37" s="24">
        <f t="shared" si="14"/>
        <v>1.6470588235294117</v>
      </c>
      <c r="L37" s="24">
        <f t="shared" si="15"/>
        <v>4.9411764705882355</v>
      </c>
      <c r="M37" s="24">
        <f t="shared" si="16"/>
        <v>7</v>
      </c>
      <c r="N37" s="24">
        <f t="shared" si="17"/>
        <v>14</v>
      </c>
      <c r="O37" s="24">
        <f t="shared" si="18"/>
        <v>2.1176470588235294</v>
      </c>
      <c r="P37" s="24">
        <f t="shared" si="19"/>
        <v>2.1176470588235294</v>
      </c>
      <c r="Q37" s="24" t="str">
        <f t="shared" si="20"/>
        <v/>
      </c>
      <c r="R37" s="24" t="str">
        <f t="shared" si="21"/>
        <v/>
      </c>
      <c r="S37" s="108">
        <f t="shared" si="13"/>
        <v>1.5</v>
      </c>
      <c r="T37" s="28">
        <f t="shared" si="22"/>
        <v>22.558823529411764</v>
      </c>
      <c r="U37" s="57">
        <f t="shared" si="23"/>
        <v>22.558823529411764</v>
      </c>
      <c r="V37" s="57">
        <f t="shared" si="24"/>
        <v>2.2558823529411764</v>
      </c>
      <c r="W37" s="57">
        <f t="shared" si="25"/>
        <v>0.6</v>
      </c>
      <c r="X37" s="56">
        <f t="shared" si="26"/>
        <v>2.3000000000000003</v>
      </c>
    </row>
    <row r="38" spans="1:24">
      <c r="A38" s="19" t="s">
        <v>805</v>
      </c>
      <c r="B38" s="19"/>
      <c r="C38" s="19"/>
      <c r="D38" s="19"/>
      <c r="E38" s="19"/>
      <c r="F38" s="19"/>
      <c r="G38" s="19"/>
      <c r="H38" s="19"/>
      <c r="I38" s="26"/>
      <c r="J38" s="26"/>
      <c r="K38" s="24" t="str">
        <f t="shared" si="14"/>
        <v/>
      </c>
      <c r="L38" s="24" t="str">
        <f t="shared" si="15"/>
        <v/>
      </c>
      <c r="M38" s="24" t="str">
        <f t="shared" si="16"/>
        <v/>
      </c>
      <c r="N38" s="24" t="str">
        <f t="shared" si="17"/>
        <v/>
      </c>
      <c r="O38" s="24" t="str">
        <f t="shared" si="18"/>
        <v/>
      </c>
      <c r="P38" s="24" t="str">
        <f t="shared" si="19"/>
        <v/>
      </c>
      <c r="Q38" s="22" t="str">
        <f t="shared" si="20"/>
        <v/>
      </c>
      <c r="R38" s="24" t="str">
        <f t="shared" si="21"/>
        <v/>
      </c>
      <c r="S38" s="108">
        <f t="shared" si="13"/>
        <v>1</v>
      </c>
      <c r="T38" s="28">
        <f t="shared" si="22"/>
        <v>1</v>
      </c>
      <c r="U38" s="57">
        <f t="shared" si="23"/>
        <v>1</v>
      </c>
      <c r="V38" s="238" t="e">
        <f t="shared" si="24"/>
        <v>#DIV/0!</v>
      </c>
      <c r="W38" s="57" t="e">
        <f t="shared" si="25"/>
        <v>#DIV/0!</v>
      </c>
      <c r="X38" s="239" t="e">
        <f t="shared" si="26"/>
        <v>#DIV/0!</v>
      </c>
    </row>
    <row r="39" spans="1:24">
      <c r="A39" s="89" t="s">
        <v>806</v>
      </c>
      <c r="B39" s="89">
        <v>10</v>
      </c>
      <c r="C39" s="89" t="s">
        <v>809</v>
      </c>
      <c r="D39" s="89">
        <v>10</v>
      </c>
      <c r="E39" s="49" t="s">
        <v>321</v>
      </c>
      <c r="F39" s="89">
        <v>2</v>
      </c>
      <c r="G39" s="89"/>
      <c r="H39" s="89"/>
      <c r="I39" s="26"/>
      <c r="J39" s="26"/>
      <c r="K39" s="24">
        <f t="shared" si="14"/>
        <v>1.5999999999999999</v>
      </c>
      <c r="L39" s="24">
        <f t="shared" si="15"/>
        <v>15.999999999999998</v>
      </c>
      <c r="M39" s="24">
        <f t="shared" si="16"/>
        <v>9.4285714285714288</v>
      </c>
      <c r="N39" s="24">
        <f t="shared" si="17"/>
        <v>18.857142857142858</v>
      </c>
      <c r="O39" s="24" t="str">
        <f t="shared" si="18"/>
        <v/>
      </c>
      <c r="P39" s="24" t="str">
        <f t="shared" si="19"/>
        <v/>
      </c>
      <c r="Q39" s="24" t="str">
        <f t="shared" si="20"/>
        <v/>
      </c>
      <c r="R39" s="24" t="str">
        <f t="shared" si="21"/>
        <v/>
      </c>
      <c r="S39" s="108">
        <f t="shared" si="13"/>
        <v>0</v>
      </c>
      <c r="T39" s="28">
        <f t="shared" si="22"/>
        <v>34.857142857142854</v>
      </c>
      <c r="U39" s="57">
        <f t="shared" si="23"/>
        <v>34.857142857142854</v>
      </c>
      <c r="V39" s="57">
        <f t="shared" si="24"/>
        <v>3.4857142857142853</v>
      </c>
      <c r="W39" s="57">
        <f t="shared" si="25"/>
        <v>1.2</v>
      </c>
      <c r="X39" s="56">
        <f t="shared" si="26"/>
        <v>3.5</v>
      </c>
    </row>
    <row r="40" spans="1:24">
      <c r="A40" s="89" t="s">
        <v>810</v>
      </c>
      <c r="B40" s="19">
        <v>15</v>
      </c>
      <c r="C40" s="89" t="s">
        <v>710</v>
      </c>
      <c r="D40" s="19">
        <v>2</v>
      </c>
      <c r="E40" s="89" t="s">
        <v>818</v>
      </c>
      <c r="F40" s="19">
        <v>2</v>
      </c>
      <c r="G40" s="19" t="s">
        <v>822</v>
      </c>
      <c r="H40" s="19">
        <v>3</v>
      </c>
      <c r="I40" s="19" t="s">
        <v>823</v>
      </c>
      <c r="J40" s="19">
        <v>2</v>
      </c>
      <c r="K40" s="24">
        <f t="shared" si="14"/>
        <v>1.7647058823529411</v>
      </c>
      <c r="L40" s="24">
        <f t="shared" si="15"/>
        <v>3.5294117647058822</v>
      </c>
      <c r="M40" s="24">
        <f t="shared" si="16"/>
        <v>2.1176470588235294</v>
      </c>
      <c r="N40" s="24">
        <f t="shared" si="17"/>
        <v>4.2352941176470589</v>
      </c>
      <c r="O40" s="24">
        <f t="shared" si="18"/>
        <v>1.1176470588235294</v>
      </c>
      <c r="P40" s="24">
        <f t="shared" si="19"/>
        <v>3.3529411764705883</v>
      </c>
      <c r="Q40" s="24">
        <f t="shared" si="20"/>
        <v>5.882352941176471</v>
      </c>
      <c r="R40" s="24">
        <f t="shared" si="21"/>
        <v>11.764705882352942</v>
      </c>
      <c r="S40" s="108">
        <f t="shared" si="13"/>
        <v>1</v>
      </c>
      <c r="T40" s="28">
        <f t="shared" si="22"/>
        <v>23.882352941176471</v>
      </c>
      <c r="U40" s="57">
        <f t="shared" si="23"/>
        <v>23.882352941176471</v>
      </c>
      <c r="V40" s="36">
        <f t="shared" si="24"/>
        <v>1.5921568627450982</v>
      </c>
      <c r="W40" s="36">
        <f t="shared" si="25"/>
        <v>0.6</v>
      </c>
      <c r="X40" s="56">
        <f t="shared" si="26"/>
        <v>1.6</v>
      </c>
    </row>
    <row r="41" spans="1:24">
      <c r="A41" s="89" t="s">
        <v>811</v>
      </c>
      <c r="B41" s="19">
        <v>10</v>
      </c>
      <c r="C41" s="89" t="s">
        <v>816</v>
      </c>
      <c r="D41" s="19">
        <v>6</v>
      </c>
      <c r="E41" s="19" t="s">
        <v>819</v>
      </c>
      <c r="F41" s="19">
        <v>0.5</v>
      </c>
      <c r="G41" s="19"/>
      <c r="H41" s="19"/>
      <c r="I41" s="19"/>
      <c r="J41" s="19"/>
      <c r="K41" s="24">
        <f t="shared" si="14"/>
        <v>9.4117647058823533</v>
      </c>
      <c r="L41" s="24">
        <f t="shared" si="15"/>
        <v>56.470588235294116</v>
      </c>
      <c r="M41" s="24">
        <f t="shared" si="16"/>
        <v>8.3529411764705888</v>
      </c>
      <c r="N41" s="24">
        <f t="shared" si="17"/>
        <v>4.1764705882352944</v>
      </c>
      <c r="O41" s="24" t="str">
        <f t="shared" si="18"/>
        <v/>
      </c>
      <c r="P41" s="24" t="str">
        <f t="shared" si="19"/>
        <v/>
      </c>
      <c r="Q41" s="24" t="str">
        <f t="shared" si="20"/>
        <v/>
      </c>
      <c r="R41" s="24" t="str">
        <f t="shared" si="21"/>
        <v/>
      </c>
      <c r="S41" s="108">
        <f t="shared" si="13"/>
        <v>1.5</v>
      </c>
      <c r="T41" s="28">
        <f t="shared" si="22"/>
        <v>62.147058823529413</v>
      </c>
      <c r="U41" s="57">
        <f t="shared" si="23"/>
        <v>62.147058823529413</v>
      </c>
      <c r="V41" s="57">
        <f t="shared" si="24"/>
        <v>6.2147058823529413</v>
      </c>
      <c r="W41" s="57">
        <f t="shared" si="25"/>
        <v>0.65</v>
      </c>
      <c r="X41" s="56">
        <f t="shared" si="26"/>
        <v>6.3</v>
      </c>
    </row>
    <row r="42" spans="1:24">
      <c r="A42" s="89" t="s">
        <v>812</v>
      </c>
      <c r="B42" s="89">
        <v>15</v>
      </c>
      <c r="C42" s="40" t="s">
        <v>78</v>
      </c>
      <c r="D42" s="89">
        <v>9</v>
      </c>
      <c r="E42" s="20" t="s">
        <v>820</v>
      </c>
      <c r="F42" s="89">
        <v>0.5</v>
      </c>
      <c r="G42" s="89" t="s">
        <v>819</v>
      </c>
      <c r="H42" s="89">
        <v>0.5</v>
      </c>
      <c r="I42" s="89"/>
      <c r="J42" s="89"/>
      <c r="K42" s="24">
        <f t="shared" si="14"/>
        <v>6.4285714285714288</v>
      </c>
      <c r="L42" s="24">
        <f t="shared" si="15"/>
        <v>57.857142857142861</v>
      </c>
      <c r="M42" s="194">
        <v>15</v>
      </c>
      <c r="N42" s="24">
        <f t="shared" si="17"/>
        <v>7.5</v>
      </c>
      <c r="O42" s="24">
        <f t="shared" si="18"/>
        <v>8.3529411764705888</v>
      </c>
      <c r="P42" s="24">
        <f t="shared" si="19"/>
        <v>4.1764705882352944</v>
      </c>
      <c r="Q42" s="24" t="str">
        <f t="shared" si="20"/>
        <v/>
      </c>
      <c r="R42" s="24" t="str">
        <f t="shared" si="21"/>
        <v/>
      </c>
      <c r="S42" s="108">
        <f t="shared" si="13"/>
        <v>1</v>
      </c>
      <c r="T42" s="28">
        <f t="shared" si="22"/>
        <v>70.533613445378151</v>
      </c>
      <c r="U42" s="57">
        <f t="shared" si="23"/>
        <v>70.533613445378151</v>
      </c>
      <c r="V42" s="28">
        <f t="shared" si="24"/>
        <v>4.7022408963585436</v>
      </c>
      <c r="W42" s="185">
        <f t="shared" si="25"/>
        <v>0.66666666666666663</v>
      </c>
      <c r="X42" s="56">
        <f t="shared" si="26"/>
        <v>4.8</v>
      </c>
    </row>
    <row r="43" spans="1:24">
      <c r="A43" s="89" t="s">
        <v>813</v>
      </c>
      <c r="B43" s="19">
        <v>20</v>
      </c>
      <c r="C43" s="20" t="s">
        <v>817</v>
      </c>
      <c r="D43" s="19">
        <v>4</v>
      </c>
      <c r="E43" s="89" t="s">
        <v>821</v>
      </c>
      <c r="F43" s="19">
        <v>1</v>
      </c>
      <c r="G43" s="19" t="s">
        <v>819</v>
      </c>
      <c r="H43" s="19">
        <v>0.5</v>
      </c>
      <c r="I43" s="89"/>
      <c r="J43" s="89"/>
      <c r="K43" s="22">
        <f t="shared" si="14"/>
        <v>9</v>
      </c>
      <c r="L43" s="24">
        <f t="shared" si="15"/>
        <v>36</v>
      </c>
      <c r="M43" s="24">
        <f t="shared" si="16"/>
        <v>2.2352941176470589</v>
      </c>
      <c r="N43" s="24">
        <f t="shared" si="17"/>
        <v>2.2352941176470589</v>
      </c>
      <c r="O43" s="24">
        <f t="shared" si="18"/>
        <v>8.3529411764705888</v>
      </c>
      <c r="P43" s="24">
        <f t="shared" si="19"/>
        <v>4.1764705882352944</v>
      </c>
      <c r="Q43" s="24" t="str">
        <f t="shared" si="20"/>
        <v/>
      </c>
      <c r="R43" s="24" t="str">
        <f t="shared" si="21"/>
        <v/>
      </c>
      <c r="S43" s="108">
        <f t="shared" si="13"/>
        <v>1.5</v>
      </c>
      <c r="T43" s="28">
        <f t="shared" si="22"/>
        <v>43.911764705882355</v>
      </c>
      <c r="U43" s="28">
        <f t="shared" si="23"/>
        <v>43.911764705882355</v>
      </c>
      <c r="V43" s="28">
        <f t="shared" si="24"/>
        <v>2.1955882352941178</v>
      </c>
      <c r="W43" s="185">
        <f t="shared" si="25"/>
        <v>0.27500000000000002</v>
      </c>
      <c r="X43" s="56">
        <f t="shared" si="26"/>
        <v>2.2000000000000002</v>
      </c>
    </row>
    <row r="44" spans="1:24">
      <c r="A44" s="89" t="s">
        <v>814</v>
      </c>
      <c r="B44" s="19">
        <v>10</v>
      </c>
      <c r="C44" s="48" t="s">
        <v>71</v>
      </c>
      <c r="D44" s="19">
        <v>6</v>
      </c>
      <c r="E44" s="89"/>
      <c r="F44" s="19"/>
      <c r="G44" s="89"/>
      <c r="H44" s="19"/>
      <c r="I44" s="89"/>
      <c r="J44" s="89"/>
      <c r="K44" s="24">
        <f t="shared" si="14"/>
        <v>2.3529411764705883</v>
      </c>
      <c r="L44" s="24">
        <f t="shared" si="15"/>
        <v>14.117647058823529</v>
      </c>
      <c r="M44" s="24" t="str">
        <f t="shared" si="16"/>
        <v/>
      </c>
      <c r="N44" s="24" t="str">
        <f t="shared" si="17"/>
        <v/>
      </c>
      <c r="O44" s="24" t="str">
        <f t="shared" si="18"/>
        <v/>
      </c>
      <c r="P44" s="24" t="str">
        <f t="shared" si="19"/>
        <v/>
      </c>
      <c r="Q44" s="24" t="str">
        <f t="shared" si="20"/>
        <v/>
      </c>
      <c r="R44" s="24" t="str">
        <f t="shared" si="21"/>
        <v/>
      </c>
      <c r="S44" s="108">
        <f>B43*0.4</f>
        <v>8</v>
      </c>
      <c r="T44" s="28">
        <f t="shared" si="22"/>
        <v>22.117647058823529</v>
      </c>
      <c r="U44" s="28">
        <f t="shared" si="23"/>
        <v>22.117647058823529</v>
      </c>
      <c r="V44" s="28">
        <f t="shared" si="24"/>
        <v>2.2117647058823531</v>
      </c>
      <c r="W44" s="185">
        <f t="shared" si="25"/>
        <v>0.6</v>
      </c>
      <c r="X44" s="56">
        <f t="shared" si="26"/>
        <v>2.3000000000000003</v>
      </c>
    </row>
    <row r="45" spans="1:24">
      <c r="A45" s="19" t="s">
        <v>815</v>
      </c>
      <c r="B45" s="19">
        <v>10</v>
      </c>
      <c r="C45" s="40" t="s">
        <v>2142</v>
      </c>
      <c r="D45" s="19">
        <v>6</v>
      </c>
      <c r="E45" s="19"/>
      <c r="F45" s="19"/>
      <c r="G45" s="19"/>
      <c r="H45" s="19"/>
      <c r="I45" s="89"/>
      <c r="J45" s="89"/>
      <c r="K45" s="194">
        <f t="shared" si="14"/>
        <v>2.5333333333333332</v>
      </c>
      <c r="L45" s="24">
        <f t="shared" si="15"/>
        <v>15.2</v>
      </c>
      <c r="M45" s="24" t="str">
        <f t="shared" si="16"/>
        <v/>
      </c>
      <c r="N45" s="24" t="str">
        <f t="shared" si="17"/>
        <v/>
      </c>
      <c r="O45" s="24" t="str">
        <f t="shared" si="18"/>
        <v/>
      </c>
      <c r="P45" s="24" t="str">
        <f t="shared" si="19"/>
        <v/>
      </c>
      <c r="Q45" s="24" t="str">
        <f t="shared" si="20"/>
        <v/>
      </c>
      <c r="R45" s="24" t="str">
        <f t="shared" si="21"/>
        <v/>
      </c>
      <c r="S45" s="108">
        <f t="shared" si="13"/>
        <v>1</v>
      </c>
      <c r="T45" s="28">
        <f t="shared" si="22"/>
        <v>16.2</v>
      </c>
      <c r="U45" s="28">
        <f t="shared" si="23"/>
        <v>16.2</v>
      </c>
      <c r="V45" s="28">
        <f t="shared" si="24"/>
        <v>1.6199999999999999</v>
      </c>
      <c r="W45" s="28">
        <f t="shared" si="25"/>
        <v>0.6</v>
      </c>
      <c r="X45" s="56">
        <f t="shared" si="26"/>
        <v>1.7000000000000002</v>
      </c>
    </row>
    <row r="46" spans="1:24">
      <c r="A46" s="89" t="s">
        <v>825</v>
      </c>
      <c r="B46" s="89">
        <v>10</v>
      </c>
      <c r="C46" s="20" t="s">
        <v>829</v>
      </c>
      <c r="D46" s="89">
        <v>6</v>
      </c>
      <c r="E46" s="89" t="s">
        <v>832</v>
      </c>
      <c r="F46" s="89">
        <v>2</v>
      </c>
      <c r="G46" s="89"/>
      <c r="H46" s="89"/>
      <c r="I46" s="89"/>
      <c r="J46" s="89"/>
      <c r="K46" s="194">
        <f t="shared" si="14"/>
        <v>30</v>
      </c>
      <c r="L46" s="24">
        <f t="shared" si="15"/>
        <v>180</v>
      </c>
      <c r="M46" s="24">
        <f t="shared" si="16"/>
        <v>9.4117647058823533</v>
      </c>
      <c r="N46" s="24">
        <f t="shared" si="17"/>
        <v>18.823529411764707</v>
      </c>
      <c r="O46" s="24" t="str">
        <f t="shared" si="18"/>
        <v/>
      </c>
      <c r="P46" s="24" t="str">
        <f t="shared" si="19"/>
        <v/>
      </c>
      <c r="Q46" s="24" t="str">
        <f t="shared" si="20"/>
        <v/>
      </c>
      <c r="R46" s="24" t="str">
        <f t="shared" si="21"/>
        <v/>
      </c>
      <c r="S46" s="108">
        <f t="shared" si="13"/>
        <v>1</v>
      </c>
      <c r="T46" s="28">
        <f t="shared" si="22"/>
        <v>199.8235294117647</v>
      </c>
      <c r="U46" s="28">
        <f t="shared" si="23"/>
        <v>199.8235294117647</v>
      </c>
      <c r="V46" s="36">
        <f t="shared" si="24"/>
        <v>19.982352941176469</v>
      </c>
      <c r="W46" s="36">
        <f t="shared" si="25"/>
        <v>0.8</v>
      </c>
      <c r="X46" s="56">
        <f t="shared" si="26"/>
        <v>20</v>
      </c>
    </row>
    <row r="47" spans="1:24">
      <c r="A47" s="19" t="s">
        <v>826</v>
      </c>
      <c r="B47" s="19">
        <v>10</v>
      </c>
      <c r="C47" s="20" t="s">
        <v>830</v>
      </c>
      <c r="D47" s="19">
        <v>7</v>
      </c>
      <c r="E47" s="89" t="s">
        <v>822</v>
      </c>
      <c r="F47" s="19">
        <v>1</v>
      </c>
      <c r="G47" s="19" t="s">
        <v>819</v>
      </c>
      <c r="H47" s="19">
        <v>0.5</v>
      </c>
      <c r="I47" s="89" t="s">
        <v>821</v>
      </c>
      <c r="J47" s="89">
        <v>0.5</v>
      </c>
      <c r="K47" s="194" t="e">
        <f t="shared" si="14"/>
        <v>#N/A</v>
      </c>
      <c r="L47" s="24" t="str">
        <f t="shared" si="15"/>
        <v/>
      </c>
      <c r="M47" s="24">
        <f t="shared" si="16"/>
        <v>1.1176470588235294</v>
      </c>
      <c r="N47" s="24">
        <f t="shared" si="17"/>
        <v>1.1176470588235294</v>
      </c>
      <c r="O47" s="24">
        <f t="shared" si="18"/>
        <v>8.3529411764705888</v>
      </c>
      <c r="P47" s="24">
        <f t="shared" si="19"/>
        <v>4.1764705882352944</v>
      </c>
      <c r="Q47" s="127">
        <f t="shared" si="20"/>
        <v>2.2352941176470589</v>
      </c>
      <c r="R47" s="24">
        <f t="shared" si="21"/>
        <v>1.1176470588235294</v>
      </c>
      <c r="S47" s="108">
        <f t="shared" si="13"/>
        <v>1</v>
      </c>
      <c r="T47" s="28">
        <f t="shared" si="22"/>
        <v>7.4117647058823533</v>
      </c>
      <c r="U47" s="28">
        <f t="shared" si="23"/>
        <v>7.4117647058823533</v>
      </c>
      <c r="V47" s="28">
        <f t="shared" si="24"/>
        <v>0.74117647058823533</v>
      </c>
      <c r="W47" s="28">
        <f t="shared" si="25"/>
        <v>0.9</v>
      </c>
      <c r="X47" s="56">
        <f t="shared" si="26"/>
        <v>0.79999999999999993</v>
      </c>
    </row>
    <row r="48" spans="1:24">
      <c r="A48" s="89" t="s">
        <v>827</v>
      </c>
      <c r="B48" s="19">
        <v>10</v>
      </c>
      <c r="C48" s="6" t="s">
        <v>117</v>
      </c>
      <c r="D48" s="19">
        <v>10</v>
      </c>
      <c r="E48" s="20" t="s">
        <v>833</v>
      </c>
      <c r="F48" s="19">
        <v>0.5</v>
      </c>
      <c r="G48" s="89" t="s">
        <v>821</v>
      </c>
      <c r="H48" s="19">
        <v>0.2</v>
      </c>
      <c r="I48" s="89"/>
      <c r="J48" s="89"/>
      <c r="K48" s="194" t="e">
        <f t="shared" si="14"/>
        <v>#N/A</v>
      </c>
      <c r="L48" s="24" t="str">
        <f t="shared" si="15"/>
        <v/>
      </c>
      <c r="M48" s="22" t="e">
        <f t="shared" si="16"/>
        <v>#N/A</v>
      </c>
      <c r="N48" s="24" t="str">
        <f t="shared" si="17"/>
        <v/>
      </c>
      <c r="O48" s="24">
        <f t="shared" si="18"/>
        <v>2.2352941176470589</v>
      </c>
      <c r="P48" s="24">
        <f t="shared" si="19"/>
        <v>0.44705882352941179</v>
      </c>
      <c r="Q48" s="24" t="str">
        <f t="shared" si="20"/>
        <v/>
      </c>
      <c r="R48" s="24" t="str">
        <f t="shared" si="21"/>
        <v/>
      </c>
      <c r="S48" s="108">
        <f t="shared" si="13"/>
        <v>1</v>
      </c>
      <c r="T48" s="28">
        <f t="shared" si="22"/>
        <v>1.4470588235294117</v>
      </c>
      <c r="U48" s="28">
        <f t="shared" si="23"/>
        <v>1.4470588235294117</v>
      </c>
      <c r="V48" s="28">
        <f t="shared" si="24"/>
        <v>0.14470588235294118</v>
      </c>
      <c r="W48" s="28">
        <f t="shared" si="25"/>
        <v>1.07</v>
      </c>
      <c r="X48" s="56">
        <f t="shared" si="26"/>
        <v>0.2</v>
      </c>
    </row>
    <row r="49" spans="1:24" ht="15">
      <c r="A49" s="89" t="s">
        <v>828</v>
      </c>
      <c r="B49" s="89">
        <v>10</v>
      </c>
      <c r="C49" s="89" t="s">
        <v>831</v>
      </c>
      <c r="D49" s="89">
        <v>6</v>
      </c>
      <c r="E49" s="50" t="s">
        <v>834</v>
      </c>
      <c r="F49" s="89">
        <v>1</v>
      </c>
      <c r="G49" s="89" t="s">
        <v>819</v>
      </c>
      <c r="H49" s="89">
        <v>0.5</v>
      </c>
      <c r="I49" s="89"/>
      <c r="J49" s="89"/>
      <c r="K49" s="24">
        <f t="shared" si="14"/>
        <v>1.7647058823529411</v>
      </c>
      <c r="L49" s="24">
        <f t="shared" si="15"/>
        <v>10.588235294117647</v>
      </c>
      <c r="M49" s="24">
        <f t="shared" si="16"/>
        <v>2.8571428571428572</v>
      </c>
      <c r="N49" s="24">
        <f t="shared" si="17"/>
        <v>2.8571428571428572</v>
      </c>
      <c r="O49" s="24">
        <f t="shared" si="18"/>
        <v>8.3529411764705888</v>
      </c>
      <c r="P49" s="24">
        <f t="shared" si="19"/>
        <v>4.1764705882352944</v>
      </c>
      <c r="Q49" s="24" t="str">
        <f t="shared" si="20"/>
        <v/>
      </c>
      <c r="R49" s="24" t="str">
        <f t="shared" si="21"/>
        <v/>
      </c>
      <c r="S49" s="108">
        <f t="shared" si="13"/>
        <v>1</v>
      </c>
      <c r="T49" s="28">
        <f t="shared" si="22"/>
        <v>18.6218487394958</v>
      </c>
      <c r="U49" s="28">
        <f t="shared" si="23"/>
        <v>18.6218487394958</v>
      </c>
      <c r="V49" s="28">
        <f t="shared" si="24"/>
        <v>1.8621848739495799</v>
      </c>
      <c r="W49" s="28">
        <f t="shared" si="25"/>
        <v>0.75</v>
      </c>
      <c r="X49" s="56">
        <f t="shared" si="26"/>
        <v>1.9000000000000001</v>
      </c>
    </row>
    <row r="50" spans="1:24">
      <c r="A50" s="89" t="s">
        <v>1017</v>
      </c>
      <c r="B50" s="19">
        <v>10</v>
      </c>
      <c r="C50" s="18" t="s">
        <v>1533</v>
      </c>
      <c r="D50" s="19">
        <v>6</v>
      </c>
      <c r="E50" s="19"/>
      <c r="F50" s="19"/>
      <c r="G50" s="19"/>
      <c r="H50" s="19"/>
      <c r="I50" s="89"/>
      <c r="J50" s="89"/>
      <c r="K50" s="138">
        <f t="shared" si="14"/>
        <v>1.2941176470588236</v>
      </c>
      <c r="L50" s="24">
        <f t="shared" si="15"/>
        <v>7.764705882352942</v>
      </c>
      <c r="M50" s="24" t="str">
        <f t="shared" si="16"/>
        <v/>
      </c>
      <c r="N50" s="24" t="str">
        <f t="shared" si="17"/>
        <v/>
      </c>
      <c r="O50" s="24" t="str">
        <f t="shared" si="18"/>
        <v/>
      </c>
      <c r="P50" s="24" t="str">
        <f t="shared" si="19"/>
        <v/>
      </c>
      <c r="Q50" s="24" t="str">
        <f t="shared" si="20"/>
        <v/>
      </c>
      <c r="R50" s="24" t="str">
        <f t="shared" si="21"/>
        <v/>
      </c>
      <c r="S50" s="108">
        <f>B49*0.4</f>
        <v>4</v>
      </c>
      <c r="T50" s="28">
        <f t="shared" si="22"/>
        <v>11.764705882352942</v>
      </c>
      <c r="U50" s="28">
        <f t="shared" si="23"/>
        <v>11.764705882352942</v>
      </c>
      <c r="V50" s="185">
        <f t="shared" si="24"/>
        <v>1.1764705882352942</v>
      </c>
      <c r="W50" s="128">
        <f t="shared" si="25"/>
        <v>0.6</v>
      </c>
      <c r="X50" s="186">
        <f t="shared" si="26"/>
        <v>1.2000000000000002</v>
      </c>
    </row>
    <row r="51" spans="1:24">
      <c r="A51" s="89" t="s">
        <v>835</v>
      </c>
      <c r="B51" s="19">
        <v>15</v>
      </c>
      <c r="C51" s="19" t="s">
        <v>837</v>
      </c>
      <c r="D51" s="19">
        <v>9</v>
      </c>
      <c r="E51" s="89"/>
      <c r="F51" s="19"/>
      <c r="G51" s="19"/>
      <c r="H51" s="19"/>
      <c r="I51" s="89"/>
      <c r="J51" s="89"/>
      <c r="K51" s="24">
        <f t="shared" si="14"/>
        <v>1.5294117647058825</v>
      </c>
      <c r="L51" s="24">
        <f t="shared" si="15"/>
        <v>13.764705882352942</v>
      </c>
      <c r="M51" s="24" t="str">
        <f t="shared" si="16"/>
        <v/>
      </c>
      <c r="N51" s="24" t="str">
        <f t="shared" si="17"/>
        <v/>
      </c>
      <c r="O51" s="24" t="str">
        <f t="shared" si="18"/>
        <v/>
      </c>
      <c r="P51" s="24" t="str">
        <f t="shared" si="19"/>
        <v/>
      </c>
      <c r="Q51" s="127" t="str">
        <f t="shared" si="20"/>
        <v/>
      </c>
      <c r="R51" s="24" t="str">
        <f t="shared" si="21"/>
        <v/>
      </c>
      <c r="S51" s="108">
        <f>B50*0.5</f>
        <v>5</v>
      </c>
      <c r="T51" s="28">
        <f t="shared" si="22"/>
        <v>18.764705882352942</v>
      </c>
      <c r="U51" s="28">
        <f t="shared" si="23"/>
        <v>18.764705882352942</v>
      </c>
      <c r="V51" s="185">
        <f t="shared" si="24"/>
        <v>1.2509803921568627</v>
      </c>
      <c r="W51" s="28">
        <f t="shared" si="25"/>
        <v>0.6</v>
      </c>
      <c r="X51" s="186">
        <f t="shared" si="26"/>
        <v>1.3</v>
      </c>
    </row>
    <row r="52" spans="1:24">
      <c r="A52" s="19" t="s">
        <v>838</v>
      </c>
      <c r="B52" s="19">
        <v>15</v>
      </c>
      <c r="C52" s="89" t="s">
        <v>822</v>
      </c>
      <c r="D52" s="19">
        <v>12</v>
      </c>
      <c r="E52" s="89"/>
      <c r="F52" s="19"/>
      <c r="G52" s="19"/>
      <c r="H52" s="19"/>
      <c r="I52" s="26"/>
      <c r="J52" s="26"/>
      <c r="K52" s="24">
        <f t="shared" si="14"/>
        <v>1.1176470588235294</v>
      </c>
      <c r="L52" s="24">
        <f t="shared" si="15"/>
        <v>13.411764705882353</v>
      </c>
      <c r="M52" s="127" t="str">
        <f t="shared" si="16"/>
        <v/>
      </c>
      <c r="N52" s="24" t="str">
        <f t="shared" si="17"/>
        <v/>
      </c>
      <c r="O52" s="24" t="str">
        <f t="shared" si="18"/>
        <v/>
      </c>
      <c r="P52" s="24" t="str">
        <f t="shared" si="19"/>
        <v/>
      </c>
      <c r="Q52" s="24" t="str">
        <f t="shared" si="20"/>
        <v/>
      </c>
      <c r="R52" s="24" t="str">
        <f t="shared" si="21"/>
        <v/>
      </c>
      <c r="S52" s="108">
        <f t="shared" si="13"/>
        <v>1.5</v>
      </c>
      <c r="T52" s="28">
        <f t="shared" si="22"/>
        <v>14.911764705882353</v>
      </c>
      <c r="U52" s="28">
        <f t="shared" si="23"/>
        <v>14.911764705882353</v>
      </c>
      <c r="V52" s="28">
        <f t="shared" si="24"/>
        <v>0.99411764705882355</v>
      </c>
      <c r="W52" s="28">
        <f t="shared" si="25"/>
        <v>0.8</v>
      </c>
      <c r="X52" s="56">
        <f t="shared" si="26"/>
        <v>1</v>
      </c>
    </row>
    <row r="53" spans="1:24">
      <c r="A53" s="89" t="s">
        <v>839</v>
      </c>
      <c r="B53" s="89">
        <v>10</v>
      </c>
      <c r="C53" s="89" t="s">
        <v>843</v>
      </c>
      <c r="D53" s="89">
        <v>6</v>
      </c>
      <c r="E53" s="89"/>
      <c r="F53" s="89"/>
      <c r="G53" s="89"/>
      <c r="H53" s="89"/>
      <c r="I53" s="26"/>
      <c r="J53" s="26"/>
      <c r="K53" s="127" t="e">
        <f t="shared" si="14"/>
        <v>#N/A</v>
      </c>
      <c r="L53" s="24" t="str">
        <f t="shared" si="15"/>
        <v/>
      </c>
      <c r="M53" s="24" t="str">
        <f t="shared" si="16"/>
        <v/>
      </c>
      <c r="N53" s="24" t="str">
        <f t="shared" si="17"/>
        <v/>
      </c>
      <c r="O53" s="24" t="str">
        <f t="shared" si="18"/>
        <v/>
      </c>
      <c r="P53" s="24" t="str">
        <f t="shared" si="19"/>
        <v/>
      </c>
      <c r="Q53" s="24" t="str">
        <f t="shared" si="20"/>
        <v/>
      </c>
      <c r="R53" s="24" t="str">
        <f t="shared" si="21"/>
        <v/>
      </c>
      <c r="S53" s="108">
        <f t="shared" si="13"/>
        <v>1.5</v>
      </c>
      <c r="T53" s="28">
        <f t="shared" si="22"/>
        <v>1.5</v>
      </c>
      <c r="U53" s="28">
        <f t="shared" si="23"/>
        <v>1.5</v>
      </c>
      <c r="V53" s="28">
        <f t="shared" si="24"/>
        <v>0.15</v>
      </c>
      <c r="W53" s="28">
        <f t="shared" si="25"/>
        <v>0.6</v>
      </c>
      <c r="X53" s="56">
        <f t="shared" si="26"/>
        <v>0.2</v>
      </c>
    </row>
    <row r="54" spans="1:24">
      <c r="A54" s="89" t="s">
        <v>840</v>
      </c>
      <c r="B54" s="19">
        <v>10</v>
      </c>
      <c r="C54" s="89" t="s">
        <v>836</v>
      </c>
      <c r="D54" s="19">
        <v>6</v>
      </c>
      <c r="E54" s="19" t="s">
        <v>821</v>
      </c>
      <c r="F54" s="19">
        <v>0.4</v>
      </c>
      <c r="G54" s="19"/>
      <c r="H54" s="19"/>
      <c r="I54" s="26"/>
      <c r="J54" s="26"/>
      <c r="K54" s="24" t="e">
        <f t="shared" si="14"/>
        <v>#N/A</v>
      </c>
      <c r="L54" s="24" t="str">
        <f t="shared" si="15"/>
        <v/>
      </c>
      <c r="M54" s="24">
        <f t="shared" si="16"/>
        <v>2.2352941176470589</v>
      </c>
      <c r="N54" s="24">
        <f t="shared" si="17"/>
        <v>0.89411764705882357</v>
      </c>
      <c r="O54" s="24" t="str">
        <f t="shared" si="18"/>
        <v/>
      </c>
      <c r="P54" s="24" t="str">
        <f t="shared" si="19"/>
        <v/>
      </c>
      <c r="Q54" s="24" t="str">
        <f t="shared" si="20"/>
        <v/>
      </c>
      <c r="R54" s="24" t="str">
        <f t="shared" si="21"/>
        <v/>
      </c>
      <c r="S54" s="108">
        <f t="shared" si="13"/>
        <v>1</v>
      </c>
      <c r="T54" s="28">
        <f t="shared" si="22"/>
        <v>1.8941176470588235</v>
      </c>
      <c r="U54" s="28">
        <f t="shared" si="23"/>
        <v>1.8941176470588235</v>
      </c>
      <c r="V54" s="128">
        <f t="shared" si="24"/>
        <v>0.18941176470588234</v>
      </c>
      <c r="W54" s="128">
        <f t="shared" si="25"/>
        <v>0.64</v>
      </c>
      <c r="X54" s="56">
        <f t="shared" si="26"/>
        <v>0.2</v>
      </c>
    </row>
    <row r="55" spans="1:24">
      <c r="A55" s="19" t="s">
        <v>841</v>
      </c>
      <c r="B55" s="19">
        <v>10</v>
      </c>
      <c r="C55" s="20" t="s">
        <v>844</v>
      </c>
      <c r="D55" s="19">
        <v>6</v>
      </c>
      <c r="E55" s="89" t="s">
        <v>821</v>
      </c>
      <c r="F55" s="19">
        <v>0.4</v>
      </c>
      <c r="G55" s="19" t="s">
        <v>819</v>
      </c>
      <c r="H55" s="19">
        <v>0.4</v>
      </c>
      <c r="I55" s="27"/>
      <c r="J55" s="27"/>
      <c r="K55" s="24" t="e">
        <f t="shared" si="14"/>
        <v>#N/A</v>
      </c>
      <c r="L55" s="24" t="str">
        <f t="shared" si="15"/>
        <v/>
      </c>
      <c r="M55" s="24">
        <f t="shared" si="16"/>
        <v>2.2352941176470589</v>
      </c>
      <c r="N55" s="24">
        <f t="shared" si="17"/>
        <v>0.89411764705882357</v>
      </c>
      <c r="O55" s="24">
        <f t="shared" si="18"/>
        <v>8.3529411764705888</v>
      </c>
      <c r="P55" s="24">
        <f t="shared" si="19"/>
        <v>3.3411764705882359</v>
      </c>
      <c r="Q55" s="24" t="str">
        <f t="shared" si="20"/>
        <v/>
      </c>
      <c r="R55" s="24" t="str">
        <f t="shared" si="21"/>
        <v/>
      </c>
      <c r="S55" s="108">
        <f t="shared" si="13"/>
        <v>1</v>
      </c>
      <c r="T55" s="28">
        <f t="shared" si="22"/>
        <v>5.2352941176470598</v>
      </c>
      <c r="U55" s="28">
        <f t="shared" si="23"/>
        <v>5.2352941176470598</v>
      </c>
      <c r="V55" s="36">
        <f t="shared" si="24"/>
        <v>0.52352941176470602</v>
      </c>
      <c r="W55" s="36">
        <f t="shared" si="25"/>
        <v>0.68</v>
      </c>
      <c r="X55" s="56">
        <f t="shared" si="26"/>
        <v>0.6</v>
      </c>
    </row>
    <row r="56" spans="1:24">
      <c r="A56" s="89" t="s">
        <v>842</v>
      </c>
      <c r="B56" s="89">
        <v>10</v>
      </c>
      <c r="C56" s="9" t="s">
        <v>2536</v>
      </c>
      <c r="D56" s="89">
        <v>7</v>
      </c>
      <c r="E56" s="89"/>
      <c r="F56" s="89"/>
      <c r="G56" s="89"/>
      <c r="H56" s="89"/>
      <c r="I56" s="26"/>
      <c r="J56" s="26"/>
      <c r="K56" s="24" t="e">
        <f t="shared" si="14"/>
        <v>#N/A</v>
      </c>
      <c r="L56" s="24" t="str">
        <f t="shared" si="15"/>
        <v/>
      </c>
      <c r="M56" s="127" t="str">
        <f t="shared" si="16"/>
        <v/>
      </c>
      <c r="N56" s="24" t="str">
        <f t="shared" si="17"/>
        <v/>
      </c>
      <c r="O56" s="24" t="str">
        <f t="shared" si="18"/>
        <v/>
      </c>
      <c r="P56" s="24" t="str">
        <f t="shared" si="19"/>
        <v/>
      </c>
      <c r="Q56" s="24" t="str">
        <f t="shared" si="20"/>
        <v/>
      </c>
      <c r="R56" s="24" t="str">
        <f t="shared" si="21"/>
        <v/>
      </c>
      <c r="S56" s="108">
        <f>B55*0.3</f>
        <v>3</v>
      </c>
      <c r="T56" s="28">
        <f t="shared" si="22"/>
        <v>3</v>
      </c>
      <c r="U56" s="28">
        <f t="shared" si="23"/>
        <v>3</v>
      </c>
      <c r="V56" s="28">
        <f t="shared" si="24"/>
        <v>0.3</v>
      </c>
      <c r="W56" s="28">
        <f t="shared" si="25"/>
        <v>0.7</v>
      </c>
      <c r="X56" s="56">
        <f t="shared" si="26"/>
        <v>0.3</v>
      </c>
    </row>
    <row r="57" spans="1:24" ht="15">
      <c r="A57" s="97" t="s">
        <v>935</v>
      </c>
      <c r="B57" s="26">
        <v>50</v>
      </c>
      <c r="C57" s="32" t="s">
        <v>987</v>
      </c>
      <c r="D57" s="26">
        <v>1</v>
      </c>
      <c r="E57" s="26"/>
      <c r="F57" s="26"/>
      <c r="G57" s="30"/>
      <c r="H57" s="26"/>
      <c r="I57" s="26"/>
      <c r="J57" s="26"/>
      <c r="K57" s="127">
        <f t="shared" si="14"/>
        <v>15</v>
      </c>
      <c r="L57" s="24">
        <f t="shared" si="15"/>
        <v>15</v>
      </c>
      <c r="M57" s="24" t="str">
        <f t="shared" si="16"/>
        <v/>
      </c>
      <c r="N57" s="24" t="str">
        <f t="shared" si="17"/>
        <v/>
      </c>
      <c r="O57" s="24" t="str">
        <f t="shared" si="18"/>
        <v/>
      </c>
      <c r="P57" s="24" t="str">
        <f t="shared" si="19"/>
        <v/>
      </c>
      <c r="Q57" s="24" t="str">
        <f t="shared" si="20"/>
        <v/>
      </c>
      <c r="R57" s="24" t="str">
        <f t="shared" si="21"/>
        <v/>
      </c>
      <c r="S57" s="108">
        <f t="shared" si="13"/>
        <v>1</v>
      </c>
      <c r="T57" s="28">
        <f t="shared" si="22"/>
        <v>16</v>
      </c>
      <c r="U57" s="28">
        <f t="shared" si="23"/>
        <v>16</v>
      </c>
      <c r="V57" s="128">
        <f t="shared" si="24"/>
        <v>0.32</v>
      </c>
      <c r="W57" s="128">
        <f t="shared" si="25"/>
        <v>0.02</v>
      </c>
      <c r="X57" s="56">
        <f t="shared" si="26"/>
        <v>0.4</v>
      </c>
    </row>
    <row r="58" spans="1:24">
      <c r="A58" s="97" t="s">
        <v>936</v>
      </c>
      <c r="B58" s="26">
        <v>80</v>
      </c>
      <c r="C58" s="26" t="s">
        <v>988</v>
      </c>
      <c r="D58" s="26">
        <v>16</v>
      </c>
      <c r="E58" s="9"/>
      <c r="F58" s="26"/>
      <c r="G58" s="26"/>
      <c r="H58" s="26"/>
      <c r="I58" s="26"/>
      <c r="J58" s="26"/>
      <c r="K58" s="24">
        <f t="shared" si="14"/>
        <v>0.85714285714285721</v>
      </c>
      <c r="L58" s="24">
        <f t="shared" si="15"/>
        <v>13.714285714285715</v>
      </c>
      <c r="M58" s="24" t="str">
        <f t="shared" si="16"/>
        <v/>
      </c>
      <c r="N58" s="24" t="str">
        <f t="shared" si="17"/>
        <v/>
      </c>
      <c r="O58" s="24" t="str">
        <f t="shared" si="18"/>
        <v/>
      </c>
      <c r="P58" s="24" t="str">
        <f t="shared" si="19"/>
        <v/>
      </c>
      <c r="Q58" s="24" t="str">
        <f t="shared" si="20"/>
        <v/>
      </c>
      <c r="R58" s="24" t="str">
        <f t="shared" si="21"/>
        <v/>
      </c>
      <c r="S58" s="108">
        <f>B57*0.15</f>
        <v>7.5</v>
      </c>
      <c r="T58" s="28">
        <f t="shared" si="22"/>
        <v>21.214285714285715</v>
      </c>
      <c r="U58" s="28">
        <f t="shared" si="23"/>
        <v>21.214285714285715</v>
      </c>
      <c r="V58" s="28">
        <f t="shared" si="24"/>
        <v>0.26517857142857143</v>
      </c>
      <c r="W58" s="28">
        <f t="shared" si="25"/>
        <v>0.2</v>
      </c>
      <c r="X58" s="56">
        <f t="shared" si="26"/>
        <v>0.30000000000000004</v>
      </c>
    </row>
    <row r="59" spans="1:24">
      <c r="A59" s="97" t="s">
        <v>1004</v>
      </c>
      <c r="B59" s="26">
        <v>40</v>
      </c>
      <c r="C59" s="34" t="s">
        <v>997</v>
      </c>
      <c r="D59" s="26">
        <v>4</v>
      </c>
      <c r="E59" s="26" t="s">
        <v>989</v>
      </c>
      <c r="F59" s="26">
        <v>0.3</v>
      </c>
      <c r="G59" s="26"/>
      <c r="H59" s="26"/>
      <c r="I59" s="26"/>
      <c r="J59" s="26"/>
      <c r="K59" s="24" t="e">
        <f t="shared" si="14"/>
        <v>#N/A</v>
      </c>
      <c r="L59" s="24" t="str">
        <f t="shared" si="15"/>
        <v/>
      </c>
      <c r="M59" s="24">
        <f t="shared" si="16"/>
        <v>2.2352941176470589</v>
      </c>
      <c r="N59" s="24">
        <f t="shared" si="17"/>
        <v>0.6705882352941176</v>
      </c>
      <c r="O59" s="24" t="str">
        <f t="shared" si="18"/>
        <v/>
      </c>
      <c r="P59" s="24" t="str">
        <f t="shared" si="19"/>
        <v/>
      </c>
      <c r="Q59" s="24" t="str">
        <f t="shared" si="20"/>
        <v/>
      </c>
      <c r="R59" s="24" t="str">
        <f t="shared" si="21"/>
        <v/>
      </c>
      <c r="S59" s="108">
        <f t="shared" si="13"/>
        <v>8</v>
      </c>
      <c r="T59" s="28">
        <f t="shared" si="22"/>
        <v>8.670588235294117</v>
      </c>
      <c r="U59" s="28">
        <f t="shared" si="23"/>
        <v>8.670588235294117</v>
      </c>
      <c r="V59" s="28">
        <f t="shared" si="24"/>
        <v>0.21676470588235291</v>
      </c>
      <c r="W59" s="28">
        <f t="shared" si="25"/>
        <v>0.10750000000000001</v>
      </c>
      <c r="X59" s="56">
        <f t="shared" si="26"/>
        <v>0.30000000000000004</v>
      </c>
    </row>
    <row r="60" spans="1:24">
      <c r="A60" s="97" t="s">
        <v>937</v>
      </c>
      <c r="B60" s="26">
        <v>30</v>
      </c>
      <c r="C60" s="26" t="s">
        <v>990</v>
      </c>
      <c r="D60" s="26">
        <v>3</v>
      </c>
      <c r="E60" s="26" t="s">
        <v>991</v>
      </c>
      <c r="F60" s="26">
        <v>3</v>
      </c>
      <c r="G60" s="26"/>
      <c r="H60" s="26"/>
      <c r="I60" s="26"/>
      <c r="J60" s="26"/>
      <c r="K60" s="24">
        <f t="shared" si="14"/>
        <v>1.6470588235294117</v>
      </c>
      <c r="L60" s="24">
        <f t="shared" si="15"/>
        <v>4.9411764705882355</v>
      </c>
      <c r="M60" s="24">
        <f t="shared" si="16"/>
        <v>2.1176470588235294</v>
      </c>
      <c r="N60" s="24">
        <f t="shared" si="17"/>
        <v>6.3529411764705888</v>
      </c>
      <c r="O60" s="24" t="str">
        <f t="shared" si="18"/>
        <v/>
      </c>
      <c r="P60" s="24" t="str">
        <f t="shared" si="19"/>
        <v/>
      </c>
      <c r="Q60" s="24" t="str">
        <f t="shared" si="20"/>
        <v/>
      </c>
      <c r="R60" s="24" t="str">
        <f t="shared" si="21"/>
        <v/>
      </c>
      <c r="S60" s="108">
        <f t="shared" si="13"/>
        <v>4</v>
      </c>
      <c r="T60" s="28">
        <f t="shared" si="22"/>
        <v>15.294117647058824</v>
      </c>
      <c r="U60" s="28">
        <f t="shared" si="23"/>
        <v>15.294117647058824</v>
      </c>
      <c r="V60" s="28">
        <f t="shared" si="24"/>
        <v>0.50980392156862753</v>
      </c>
      <c r="W60" s="28">
        <f t="shared" si="25"/>
        <v>0.2</v>
      </c>
      <c r="X60" s="56">
        <f t="shared" si="26"/>
        <v>0.6</v>
      </c>
    </row>
    <row r="61" spans="1:24">
      <c r="A61" s="97" t="s">
        <v>938</v>
      </c>
      <c r="B61" s="26">
        <v>30</v>
      </c>
      <c r="C61" s="26" t="s">
        <v>992</v>
      </c>
      <c r="D61" s="26">
        <v>6</v>
      </c>
      <c r="E61" s="26" t="s">
        <v>989</v>
      </c>
      <c r="F61" s="26">
        <v>0.2</v>
      </c>
      <c r="G61" s="26"/>
      <c r="H61" s="26"/>
      <c r="I61" s="26"/>
      <c r="J61" s="26"/>
      <c r="K61" s="24">
        <f t="shared" si="14"/>
        <v>0.94117647058823539</v>
      </c>
      <c r="L61" s="24">
        <f t="shared" si="15"/>
        <v>5.6470588235294121</v>
      </c>
      <c r="M61" s="127">
        <f t="shared" si="16"/>
        <v>2.2352941176470589</v>
      </c>
      <c r="N61" s="24">
        <f t="shared" si="17"/>
        <v>0.44705882352941179</v>
      </c>
      <c r="O61" s="24" t="str">
        <f t="shared" si="18"/>
        <v/>
      </c>
      <c r="P61" s="24" t="str">
        <f t="shared" si="19"/>
        <v/>
      </c>
      <c r="Q61" s="80" t="str">
        <f t="shared" si="20"/>
        <v/>
      </c>
      <c r="R61" s="24" t="str">
        <f t="shared" si="21"/>
        <v/>
      </c>
      <c r="S61" s="108">
        <f t="shared" si="13"/>
        <v>3</v>
      </c>
      <c r="T61" s="28">
        <f t="shared" si="22"/>
        <v>9.0941176470588232</v>
      </c>
      <c r="U61" s="28">
        <f t="shared" si="23"/>
        <v>9.0941176470588232</v>
      </c>
      <c r="V61" s="128">
        <f t="shared" si="24"/>
        <v>0.30313725490196075</v>
      </c>
      <c r="W61" s="128">
        <f t="shared" si="25"/>
        <v>0.20666666666666667</v>
      </c>
      <c r="X61" s="56">
        <f t="shared" si="26"/>
        <v>0.4</v>
      </c>
    </row>
    <row r="62" spans="1:24">
      <c r="A62" s="97" t="s">
        <v>939</v>
      </c>
      <c r="B62" s="26">
        <v>40</v>
      </c>
      <c r="C62" s="31" t="s">
        <v>993</v>
      </c>
      <c r="D62" s="26">
        <v>8</v>
      </c>
      <c r="E62" s="26"/>
      <c r="F62" s="26"/>
      <c r="G62" s="26"/>
      <c r="H62" s="26"/>
      <c r="I62" s="26"/>
      <c r="J62" s="26"/>
      <c r="K62" s="24">
        <f t="shared" si="14"/>
        <v>1</v>
      </c>
      <c r="L62" s="24">
        <f t="shared" si="15"/>
        <v>8</v>
      </c>
      <c r="M62" s="24" t="str">
        <f t="shared" si="16"/>
        <v/>
      </c>
      <c r="N62" s="24" t="str">
        <f t="shared" si="17"/>
        <v/>
      </c>
      <c r="O62" s="24" t="str">
        <f t="shared" si="18"/>
        <v/>
      </c>
      <c r="P62" s="24" t="str">
        <f t="shared" si="19"/>
        <v/>
      </c>
      <c r="Q62" s="24" t="str">
        <f t="shared" si="20"/>
        <v/>
      </c>
      <c r="R62" s="24" t="str">
        <f t="shared" si="21"/>
        <v/>
      </c>
      <c r="S62" s="108">
        <f t="shared" ref="S62:S72" si="27">B62*0.1</f>
        <v>4</v>
      </c>
      <c r="T62" s="28">
        <f t="shared" si="22"/>
        <v>12</v>
      </c>
      <c r="U62" s="28">
        <f t="shared" si="23"/>
        <v>12</v>
      </c>
      <c r="V62" s="28">
        <f t="shared" si="24"/>
        <v>0.3</v>
      </c>
      <c r="W62" s="28">
        <f t="shared" si="25"/>
        <v>0.2</v>
      </c>
      <c r="X62" s="56">
        <f t="shared" si="26"/>
        <v>0.3</v>
      </c>
    </row>
    <row r="63" spans="1:24">
      <c r="A63" s="97" t="s">
        <v>1034</v>
      </c>
      <c r="B63" s="26">
        <v>40</v>
      </c>
      <c r="C63" s="31" t="s">
        <v>993</v>
      </c>
      <c r="D63" s="26">
        <v>8</v>
      </c>
      <c r="E63" s="26"/>
      <c r="F63" s="26"/>
      <c r="G63" s="26"/>
      <c r="H63" s="26"/>
      <c r="I63" s="26"/>
      <c r="J63" s="26"/>
      <c r="K63" s="24">
        <f t="shared" si="14"/>
        <v>1</v>
      </c>
      <c r="L63" s="24">
        <f t="shared" si="15"/>
        <v>8</v>
      </c>
      <c r="M63" s="24" t="str">
        <f t="shared" si="16"/>
        <v/>
      </c>
      <c r="N63" s="24" t="str">
        <f t="shared" si="17"/>
        <v/>
      </c>
      <c r="O63" s="24" t="str">
        <f t="shared" si="18"/>
        <v/>
      </c>
      <c r="P63" s="24" t="str">
        <f t="shared" si="19"/>
        <v/>
      </c>
      <c r="Q63" s="24" t="str">
        <f t="shared" si="20"/>
        <v/>
      </c>
      <c r="R63" s="24" t="str">
        <f t="shared" si="21"/>
        <v/>
      </c>
      <c r="S63" s="108">
        <f t="shared" si="27"/>
        <v>4</v>
      </c>
      <c r="T63" s="28">
        <f t="shared" si="22"/>
        <v>12</v>
      </c>
      <c r="U63" s="28">
        <f t="shared" si="23"/>
        <v>12</v>
      </c>
      <c r="V63" s="28">
        <f t="shared" si="24"/>
        <v>0.3</v>
      </c>
      <c r="W63" s="28">
        <f t="shared" si="25"/>
        <v>0.2</v>
      </c>
      <c r="X63" s="56">
        <f t="shared" si="26"/>
        <v>0.3</v>
      </c>
    </row>
    <row r="64" spans="1:24">
      <c r="A64" s="97" t="s">
        <v>940</v>
      </c>
      <c r="B64" s="26">
        <v>40</v>
      </c>
      <c r="C64" s="26" t="s">
        <v>996</v>
      </c>
      <c r="D64" s="26">
        <v>8</v>
      </c>
      <c r="E64" s="46" t="s">
        <v>994</v>
      </c>
      <c r="F64" s="26">
        <v>1</v>
      </c>
      <c r="G64" s="26"/>
      <c r="H64" s="26"/>
      <c r="I64" s="26"/>
      <c r="J64" s="26"/>
      <c r="K64" s="24" t="e">
        <f t="shared" si="14"/>
        <v>#N/A</v>
      </c>
      <c r="L64" s="24" t="str">
        <f t="shared" si="15"/>
        <v/>
      </c>
      <c r="M64" s="24">
        <f t="shared" si="16"/>
        <v>1.6470588235294117</v>
      </c>
      <c r="N64" s="24">
        <f t="shared" si="17"/>
        <v>1.6470588235294117</v>
      </c>
      <c r="O64" s="24" t="str">
        <f t="shared" si="18"/>
        <v/>
      </c>
      <c r="P64" s="24" t="str">
        <f t="shared" si="19"/>
        <v/>
      </c>
      <c r="Q64" s="24" t="str">
        <f t="shared" si="20"/>
        <v/>
      </c>
      <c r="R64" s="24" t="str">
        <f t="shared" si="21"/>
        <v/>
      </c>
      <c r="S64" s="108">
        <f t="shared" si="27"/>
        <v>4</v>
      </c>
      <c r="T64" s="28">
        <f t="shared" si="22"/>
        <v>5.6470588235294112</v>
      </c>
      <c r="U64" s="28">
        <f t="shared" si="23"/>
        <v>5.6470588235294112</v>
      </c>
      <c r="V64" s="28">
        <f t="shared" si="24"/>
        <v>0.14117647058823529</v>
      </c>
      <c r="W64" s="28">
        <f t="shared" si="25"/>
        <v>0.22500000000000001</v>
      </c>
      <c r="X64" s="56">
        <f t="shared" si="26"/>
        <v>0.2</v>
      </c>
    </row>
    <row r="65" spans="1:24" ht="15">
      <c r="A65" s="97" t="s">
        <v>941</v>
      </c>
      <c r="B65" s="26">
        <v>20</v>
      </c>
      <c r="C65" s="26" t="s">
        <v>995</v>
      </c>
      <c r="D65" s="26">
        <v>4</v>
      </c>
      <c r="E65" s="30"/>
      <c r="F65" s="26"/>
      <c r="G65" s="26"/>
      <c r="H65" s="26"/>
      <c r="I65" s="26"/>
      <c r="J65" s="26"/>
      <c r="K65" s="24">
        <f t="shared" si="14"/>
        <v>0.94117647058823539</v>
      </c>
      <c r="L65" s="24">
        <f t="shared" si="15"/>
        <v>3.7647058823529416</v>
      </c>
      <c r="M65" s="127" t="str">
        <f t="shared" si="16"/>
        <v/>
      </c>
      <c r="N65" s="24" t="str">
        <f t="shared" si="17"/>
        <v/>
      </c>
      <c r="O65" s="24" t="str">
        <f t="shared" si="18"/>
        <v/>
      </c>
      <c r="P65" s="24" t="str">
        <f t="shared" si="19"/>
        <v/>
      </c>
      <c r="Q65" s="24" t="str">
        <f t="shared" si="20"/>
        <v/>
      </c>
      <c r="R65" s="24" t="str">
        <f t="shared" si="21"/>
        <v/>
      </c>
      <c r="S65" s="108">
        <f t="shared" si="27"/>
        <v>2</v>
      </c>
      <c r="T65" s="28">
        <f t="shared" si="22"/>
        <v>5.764705882352942</v>
      </c>
      <c r="U65" s="28">
        <f t="shared" si="23"/>
        <v>5.764705882352942</v>
      </c>
      <c r="V65" s="28">
        <f t="shared" si="24"/>
        <v>0.28823529411764709</v>
      </c>
      <c r="W65" s="28">
        <f t="shared" si="25"/>
        <v>0.2</v>
      </c>
      <c r="X65" s="56">
        <f t="shared" si="26"/>
        <v>0.30000000000000004</v>
      </c>
    </row>
    <row r="66" spans="1:24">
      <c r="A66" s="93" t="s">
        <v>998</v>
      </c>
      <c r="B66" s="26">
        <v>20</v>
      </c>
      <c r="C66" s="32" t="s">
        <v>999</v>
      </c>
      <c r="D66" s="26">
        <v>6</v>
      </c>
      <c r="E66" s="26"/>
      <c r="F66" s="26"/>
      <c r="G66" s="26"/>
      <c r="H66" s="26"/>
      <c r="I66" s="26"/>
      <c r="J66" s="26"/>
      <c r="K66" s="24">
        <f t="shared" si="14"/>
        <v>1.1764705882352942</v>
      </c>
      <c r="L66" s="24">
        <f t="shared" si="15"/>
        <v>7.0588235294117645</v>
      </c>
      <c r="M66" s="24" t="str">
        <f t="shared" si="16"/>
        <v/>
      </c>
      <c r="N66" s="24" t="str">
        <f t="shared" si="17"/>
        <v/>
      </c>
      <c r="O66" s="24" t="str">
        <f t="shared" si="18"/>
        <v/>
      </c>
      <c r="P66" s="24" t="str">
        <f t="shared" si="19"/>
        <v/>
      </c>
      <c r="Q66" s="24" t="str">
        <f t="shared" si="20"/>
        <v/>
      </c>
      <c r="R66" s="24" t="str">
        <f t="shared" si="21"/>
        <v/>
      </c>
      <c r="S66" s="108">
        <f t="shared" si="27"/>
        <v>2</v>
      </c>
      <c r="T66" s="28">
        <f t="shared" si="22"/>
        <v>9.0588235294117645</v>
      </c>
      <c r="U66" s="28">
        <f t="shared" si="23"/>
        <v>9.0588235294117645</v>
      </c>
      <c r="V66" s="28">
        <f t="shared" si="24"/>
        <v>0.45294117647058824</v>
      </c>
      <c r="W66" s="28">
        <f t="shared" si="25"/>
        <v>0.3</v>
      </c>
      <c r="X66" s="56">
        <f t="shared" si="26"/>
        <v>0.5</v>
      </c>
    </row>
    <row r="67" spans="1:24">
      <c r="A67" s="94" t="s">
        <v>942</v>
      </c>
      <c r="B67" s="26">
        <v>30</v>
      </c>
      <c r="C67" s="32" t="s">
        <v>392</v>
      </c>
      <c r="D67" s="26">
        <v>0.1</v>
      </c>
      <c r="E67" s="26" t="s">
        <v>1000</v>
      </c>
      <c r="F67" s="26">
        <v>4</v>
      </c>
      <c r="G67" s="26"/>
      <c r="H67" s="26"/>
      <c r="I67" s="26"/>
      <c r="J67" s="26"/>
      <c r="K67" s="24">
        <f t="shared" ref="K67:K72" si="28">IF(C67="","",VLOOKUP(C67,成本单价,8,0))</f>
        <v>61.428571428571431</v>
      </c>
      <c r="L67" s="24">
        <f t="shared" ref="L67:L72" si="29">IFERROR(D67*K67,"")</f>
        <v>6.1428571428571432</v>
      </c>
      <c r="M67" s="24">
        <f t="shared" ref="M67:M72" si="30">IF(E67="","",VLOOKUP(E67,成本单价,8,0))</f>
        <v>0.88235294117647056</v>
      </c>
      <c r="N67" s="24">
        <f t="shared" ref="N67:N72" si="31">IFERROR(F67*M67,"")</f>
        <v>3.5294117647058822</v>
      </c>
      <c r="O67" s="24" t="str">
        <f t="shared" ref="O67:O72" si="32">IF(G67="","",VLOOKUP(G67,成本单价,8,0))</f>
        <v/>
      </c>
      <c r="P67" s="24" t="str">
        <f t="shared" ref="P67:P72" si="33">IFERROR(H67*O67,"")</f>
        <v/>
      </c>
      <c r="Q67" s="24" t="str">
        <f t="shared" ref="Q67:Q72" si="34">IF(I67="","",VLOOKUP(I67,成本单价,8,0))</f>
        <v/>
      </c>
      <c r="R67" s="24" t="str">
        <f t="shared" ref="R67:R72" si="35">IFERROR(J67*Q67,"")</f>
        <v/>
      </c>
      <c r="S67" s="108">
        <f t="shared" si="27"/>
        <v>3</v>
      </c>
      <c r="T67" s="28">
        <f t="shared" ref="T67:T72" si="36">IFERROR(SUM(L67,N67,P67,R67,S67),"")</f>
        <v>12.672268907563026</v>
      </c>
      <c r="U67" s="28">
        <f t="shared" ref="U67:U72" si="37">T67*(1+凉菜物料)</f>
        <v>12.672268907563026</v>
      </c>
      <c r="V67" s="28">
        <f t="shared" ref="V67:V72" si="38">U67/B67</f>
        <v>0.42240896358543423</v>
      </c>
      <c r="W67" s="28">
        <f t="shared" ref="W67:W72" si="39">D67/B67+F67/B67+H67/B67+J67/B67</f>
        <v>0.13666666666666666</v>
      </c>
      <c r="X67" s="56">
        <f t="shared" ref="X67:X72" si="40">ROUNDUP(V67*(1+凉菜毛利),1)</f>
        <v>0.5</v>
      </c>
    </row>
    <row r="68" spans="1:24">
      <c r="A68" s="94" t="s">
        <v>1032</v>
      </c>
      <c r="B68" s="26">
        <v>30</v>
      </c>
      <c r="C68" s="32" t="s">
        <v>392</v>
      </c>
      <c r="D68" s="26">
        <v>0.1</v>
      </c>
      <c r="E68" s="26" t="s">
        <v>1033</v>
      </c>
      <c r="F68" s="26">
        <v>4</v>
      </c>
      <c r="G68" s="26"/>
      <c r="H68" s="26"/>
      <c r="I68" s="26"/>
      <c r="J68" s="26"/>
      <c r="K68" s="24">
        <f t="shared" si="28"/>
        <v>61.428571428571431</v>
      </c>
      <c r="L68" s="24">
        <f t="shared" si="29"/>
        <v>6.1428571428571432</v>
      </c>
      <c r="M68" s="24">
        <f t="shared" si="30"/>
        <v>0.94117647058823539</v>
      </c>
      <c r="N68" s="24">
        <f t="shared" si="31"/>
        <v>3.7647058823529416</v>
      </c>
      <c r="O68" s="24" t="str">
        <f t="shared" si="32"/>
        <v/>
      </c>
      <c r="P68" s="24" t="str">
        <f t="shared" si="33"/>
        <v/>
      </c>
      <c r="Q68" s="24" t="str">
        <f t="shared" si="34"/>
        <v/>
      </c>
      <c r="R68" s="24" t="str">
        <f t="shared" si="35"/>
        <v/>
      </c>
      <c r="S68" s="108">
        <f t="shared" si="27"/>
        <v>3</v>
      </c>
      <c r="T68" s="28">
        <f t="shared" si="36"/>
        <v>12.907563025210084</v>
      </c>
      <c r="U68" s="28">
        <f t="shared" si="37"/>
        <v>12.907563025210084</v>
      </c>
      <c r="V68" s="128">
        <f t="shared" si="38"/>
        <v>0.43025210084033616</v>
      </c>
      <c r="W68" s="128">
        <f t="shared" si="39"/>
        <v>0.13666666666666666</v>
      </c>
      <c r="X68" s="56">
        <f t="shared" si="40"/>
        <v>0.5</v>
      </c>
    </row>
    <row r="69" spans="1:24">
      <c r="A69" s="94" t="s">
        <v>943</v>
      </c>
      <c r="B69" s="26">
        <v>40</v>
      </c>
      <c r="C69" s="32" t="s">
        <v>1001</v>
      </c>
      <c r="D69" s="26">
        <v>12</v>
      </c>
      <c r="E69" s="26" t="s">
        <v>478</v>
      </c>
      <c r="F69" s="26">
        <v>0.3</v>
      </c>
      <c r="G69" s="26"/>
      <c r="H69" s="26"/>
      <c r="I69" s="26"/>
      <c r="J69" s="26"/>
      <c r="K69" s="24">
        <f t="shared" si="28"/>
        <v>1.8823529411764708</v>
      </c>
      <c r="L69" s="24">
        <f t="shared" si="29"/>
        <v>22.588235294117649</v>
      </c>
      <c r="M69" s="24">
        <f t="shared" si="30"/>
        <v>8.3529411764705888</v>
      </c>
      <c r="N69" s="24">
        <f t="shared" si="31"/>
        <v>2.5058823529411764</v>
      </c>
      <c r="O69" s="24" t="str">
        <f t="shared" si="32"/>
        <v/>
      </c>
      <c r="P69" s="24" t="str">
        <f t="shared" si="33"/>
        <v/>
      </c>
      <c r="Q69" s="24" t="str">
        <f t="shared" si="34"/>
        <v/>
      </c>
      <c r="R69" s="24" t="str">
        <f t="shared" si="35"/>
        <v/>
      </c>
      <c r="S69" s="108">
        <f t="shared" si="27"/>
        <v>4</v>
      </c>
      <c r="T69" s="28">
        <f t="shared" si="36"/>
        <v>29.094117647058823</v>
      </c>
      <c r="U69" s="28">
        <f t="shared" si="37"/>
        <v>29.094117647058823</v>
      </c>
      <c r="V69" s="28">
        <f t="shared" si="38"/>
        <v>0.72735294117647054</v>
      </c>
      <c r="W69" s="28">
        <f t="shared" si="39"/>
        <v>0.3075</v>
      </c>
      <c r="X69" s="56">
        <f t="shared" si="40"/>
        <v>0.79999999999999993</v>
      </c>
    </row>
    <row r="70" spans="1:24" ht="15">
      <c r="A70" s="93" t="s">
        <v>1005</v>
      </c>
      <c r="B70" s="26">
        <v>40</v>
      </c>
      <c r="C70" s="26" t="s">
        <v>1002</v>
      </c>
      <c r="D70" s="26">
        <v>8</v>
      </c>
      <c r="E70" s="30"/>
      <c r="F70" s="26"/>
      <c r="G70" s="26"/>
      <c r="H70" s="26"/>
      <c r="I70" s="26"/>
      <c r="J70" s="26"/>
      <c r="K70" s="24">
        <f t="shared" si="28"/>
        <v>2.7142857142857144</v>
      </c>
      <c r="L70" s="24">
        <f t="shared" si="29"/>
        <v>21.714285714285715</v>
      </c>
      <c r="M70" s="80" t="str">
        <f t="shared" si="30"/>
        <v/>
      </c>
      <c r="N70" s="24" t="str">
        <f t="shared" si="31"/>
        <v/>
      </c>
      <c r="O70" s="24" t="str">
        <f t="shared" si="32"/>
        <v/>
      </c>
      <c r="P70" s="24" t="str">
        <f t="shared" si="33"/>
        <v/>
      </c>
      <c r="Q70" s="24" t="str">
        <f t="shared" si="34"/>
        <v/>
      </c>
      <c r="R70" s="24" t="str">
        <f t="shared" si="35"/>
        <v/>
      </c>
      <c r="S70" s="108">
        <f t="shared" si="27"/>
        <v>4</v>
      </c>
      <c r="T70" s="28">
        <f t="shared" si="36"/>
        <v>25.714285714285715</v>
      </c>
      <c r="U70" s="28">
        <f t="shared" si="37"/>
        <v>25.714285714285715</v>
      </c>
      <c r="V70" s="28">
        <f t="shared" si="38"/>
        <v>0.6428571428571429</v>
      </c>
      <c r="W70" s="28">
        <f t="shared" si="39"/>
        <v>0.2</v>
      </c>
      <c r="X70" s="56">
        <f t="shared" si="40"/>
        <v>0.7</v>
      </c>
    </row>
    <row r="71" spans="1:24">
      <c r="A71" s="94" t="s">
        <v>944</v>
      </c>
      <c r="B71" s="26">
        <v>50</v>
      </c>
      <c r="C71" s="26" t="s">
        <v>992</v>
      </c>
      <c r="D71" s="26">
        <v>10</v>
      </c>
      <c r="E71" s="26"/>
      <c r="F71" s="26"/>
      <c r="G71" s="26"/>
      <c r="H71" s="26"/>
      <c r="I71" s="26"/>
      <c r="J71" s="26"/>
      <c r="K71" s="24">
        <f t="shared" si="28"/>
        <v>0.94117647058823539</v>
      </c>
      <c r="L71" s="24">
        <f t="shared" si="29"/>
        <v>9.4117647058823533</v>
      </c>
      <c r="M71" s="80" t="str">
        <f t="shared" si="30"/>
        <v/>
      </c>
      <c r="N71" s="24" t="str">
        <f t="shared" si="31"/>
        <v/>
      </c>
      <c r="O71" s="24" t="str">
        <f t="shared" si="32"/>
        <v/>
      </c>
      <c r="P71" s="24" t="str">
        <f t="shared" si="33"/>
        <v/>
      </c>
      <c r="Q71" s="24" t="str">
        <f t="shared" si="34"/>
        <v/>
      </c>
      <c r="R71" s="24" t="str">
        <f t="shared" si="35"/>
        <v/>
      </c>
      <c r="S71" s="108">
        <f t="shared" si="27"/>
        <v>5</v>
      </c>
      <c r="T71" s="28">
        <f t="shared" si="36"/>
        <v>14.411764705882353</v>
      </c>
      <c r="U71" s="28">
        <f t="shared" si="37"/>
        <v>14.411764705882353</v>
      </c>
      <c r="V71" s="28">
        <f t="shared" si="38"/>
        <v>0.28823529411764709</v>
      </c>
      <c r="W71" s="28">
        <f t="shared" si="39"/>
        <v>0.2</v>
      </c>
      <c r="X71" s="56">
        <f t="shared" si="40"/>
        <v>0.30000000000000004</v>
      </c>
    </row>
    <row r="72" spans="1:24">
      <c r="A72" s="94" t="s">
        <v>945</v>
      </c>
      <c r="B72" s="26">
        <v>20</v>
      </c>
      <c r="C72" s="26" t="s">
        <v>1003</v>
      </c>
      <c r="D72" s="26">
        <v>6</v>
      </c>
      <c r="E72" s="26"/>
      <c r="F72" s="26"/>
      <c r="G72" s="26"/>
      <c r="H72" s="26"/>
      <c r="I72" s="26"/>
      <c r="J72" s="26"/>
      <c r="K72" s="24">
        <f t="shared" si="28"/>
        <v>0.94117647058823539</v>
      </c>
      <c r="L72" s="24">
        <f t="shared" si="29"/>
        <v>5.6470588235294121</v>
      </c>
      <c r="M72" s="80" t="str">
        <f t="shared" si="30"/>
        <v/>
      </c>
      <c r="N72" s="24" t="str">
        <f t="shared" si="31"/>
        <v/>
      </c>
      <c r="O72" s="24" t="str">
        <f t="shared" si="32"/>
        <v/>
      </c>
      <c r="P72" s="24" t="str">
        <f t="shared" si="33"/>
        <v/>
      </c>
      <c r="Q72" s="24" t="str">
        <f t="shared" si="34"/>
        <v/>
      </c>
      <c r="R72" s="24" t="str">
        <f t="shared" si="35"/>
        <v/>
      </c>
      <c r="S72" s="108">
        <f t="shared" si="27"/>
        <v>2</v>
      </c>
      <c r="T72" s="28">
        <f t="shared" si="36"/>
        <v>7.6470588235294121</v>
      </c>
      <c r="U72" s="28">
        <f t="shared" si="37"/>
        <v>7.6470588235294121</v>
      </c>
      <c r="V72" s="128">
        <f t="shared" si="38"/>
        <v>0.38235294117647062</v>
      </c>
      <c r="W72" s="128">
        <f t="shared" si="39"/>
        <v>0.3</v>
      </c>
      <c r="X72" s="56">
        <f t="shared" si="40"/>
        <v>0.4</v>
      </c>
    </row>
    <row r="73" spans="1:24">
      <c r="A73" s="26" t="s">
        <v>1323</v>
      </c>
      <c r="B73" s="26">
        <v>50</v>
      </c>
      <c r="C73" s="26" t="s">
        <v>346</v>
      </c>
      <c r="D73" s="26">
        <v>15</v>
      </c>
      <c r="E73" s="26"/>
      <c r="F73" s="26"/>
      <c r="G73" s="26"/>
      <c r="H73" s="26"/>
      <c r="I73" s="26"/>
      <c r="J73" s="26"/>
      <c r="K73" s="24">
        <f t="shared" ref="K73:K104" si="41">IF(C73="","",VLOOKUP(C73,成本单价,8,0))</f>
        <v>0.85714285714285721</v>
      </c>
      <c r="L73" s="24">
        <f t="shared" ref="L73:L105" si="42">IFERROR(D73*K73,"")</f>
        <v>12.857142857142858</v>
      </c>
      <c r="M73" s="24" t="str">
        <f t="shared" ref="M73:M104" si="43">IF(E73="","",VLOOKUP(E73,成本单价,8,0))</f>
        <v/>
      </c>
      <c r="N73" s="24" t="str">
        <f t="shared" ref="N73:N105" si="44">IFERROR(F73*M73,"")</f>
        <v/>
      </c>
      <c r="O73" s="24" t="str">
        <f t="shared" ref="O73:O104" si="45">IF(G73="","",VLOOKUP(G73,成本单价,8,0))</f>
        <v/>
      </c>
      <c r="P73" s="24" t="str">
        <f t="shared" ref="P73:P106" si="46">IFERROR(H73*O73,"")</f>
        <v/>
      </c>
      <c r="Q73" s="24" t="str">
        <f t="shared" ref="Q73:Q104" si="47">IF(I73="","",VLOOKUP(I73,成本单价,8,0))</f>
        <v/>
      </c>
      <c r="R73" s="24" t="str">
        <f t="shared" ref="R73:R105" si="48">IFERROR(J73*Q73,"")</f>
        <v/>
      </c>
      <c r="S73" s="108">
        <f t="shared" ref="S73:S119" si="49">B73*0.1</f>
        <v>5</v>
      </c>
      <c r="T73" s="28">
        <f t="shared" ref="T73:T105" si="50">IFERROR(SUM(L73,N73,P73,R73,S73),"")</f>
        <v>17.857142857142858</v>
      </c>
      <c r="U73" s="28">
        <f t="shared" ref="U73:U103" si="51">T73*(1+凉菜物料)</f>
        <v>17.857142857142858</v>
      </c>
      <c r="V73" s="28">
        <f t="shared" ref="V73:V104" si="52">U73/B73</f>
        <v>0.35714285714285715</v>
      </c>
      <c r="W73" s="28">
        <f t="shared" ref="W73:W104" si="53">D73/B73+F73/B73+H73/B73+J73/B73</f>
        <v>0.3</v>
      </c>
      <c r="X73" s="56">
        <f t="shared" ref="X73:X103" si="54">ROUNDUP(V73*(1+凉菜毛利),1)</f>
        <v>0.4</v>
      </c>
    </row>
    <row r="74" spans="1:24">
      <c r="A74" s="26" t="s">
        <v>1399</v>
      </c>
      <c r="B74" s="26">
        <v>10</v>
      </c>
      <c r="C74" s="26" t="s">
        <v>1400</v>
      </c>
      <c r="D74" s="26">
        <v>5</v>
      </c>
      <c r="E74" s="26" t="s">
        <v>1401</v>
      </c>
      <c r="F74" s="26">
        <v>3</v>
      </c>
      <c r="G74" s="26" t="s">
        <v>1402</v>
      </c>
      <c r="H74" s="26">
        <v>1</v>
      </c>
      <c r="I74" s="27"/>
      <c r="J74" s="27"/>
      <c r="K74" s="24">
        <f t="shared" si="41"/>
        <v>1.375</v>
      </c>
      <c r="L74" s="24">
        <f t="shared" si="42"/>
        <v>6.875</v>
      </c>
      <c r="M74" s="24">
        <f t="shared" si="43"/>
        <v>3.75</v>
      </c>
      <c r="N74" s="24">
        <f t="shared" si="44"/>
        <v>11.25</v>
      </c>
      <c r="O74" s="24">
        <f t="shared" si="45"/>
        <v>6.25</v>
      </c>
      <c r="P74" s="24">
        <f t="shared" si="46"/>
        <v>6.25</v>
      </c>
      <c r="Q74" s="24" t="str">
        <f t="shared" si="47"/>
        <v/>
      </c>
      <c r="R74" s="24" t="str">
        <f t="shared" si="48"/>
        <v/>
      </c>
      <c r="S74" s="108">
        <f t="shared" si="49"/>
        <v>1</v>
      </c>
      <c r="T74" s="28">
        <f t="shared" si="50"/>
        <v>25.375</v>
      </c>
      <c r="U74" s="28">
        <f t="shared" si="51"/>
        <v>25.375</v>
      </c>
      <c r="V74" s="36">
        <f t="shared" si="52"/>
        <v>2.5375000000000001</v>
      </c>
      <c r="W74" s="36">
        <f t="shared" si="53"/>
        <v>0.9</v>
      </c>
      <c r="X74" s="56">
        <f t="shared" si="54"/>
        <v>2.6</v>
      </c>
    </row>
    <row r="75" spans="1:24">
      <c r="A75" s="90" t="s">
        <v>1332</v>
      </c>
      <c r="B75" s="26">
        <v>15</v>
      </c>
      <c r="C75" s="240" t="s">
        <v>2140</v>
      </c>
      <c r="D75" s="26">
        <v>10</v>
      </c>
      <c r="E75" s="26" t="s">
        <v>14</v>
      </c>
      <c r="F75" s="26">
        <v>0.2</v>
      </c>
      <c r="G75" s="26"/>
      <c r="H75" s="26"/>
      <c r="I75" s="26"/>
      <c r="J75" s="26"/>
      <c r="K75" s="24">
        <f t="shared" si="41"/>
        <v>3.6</v>
      </c>
      <c r="L75" s="24">
        <f t="shared" si="42"/>
        <v>36</v>
      </c>
      <c r="M75" s="24">
        <f t="shared" si="43"/>
        <v>2.2352941176470589</v>
      </c>
      <c r="N75" s="24">
        <f t="shared" si="44"/>
        <v>0.44705882352941179</v>
      </c>
      <c r="O75" s="24" t="str">
        <f t="shared" si="45"/>
        <v/>
      </c>
      <c r="P75" s="24" t="str">
        <f t="shared" si="46"/>
        <v/>
      </c>
      <c r="Q75" s="24" t="str">
        <f t="shared" si="47"/>
        <v/>
      </c>
      <c r="R75" s="24" t="str">
        <f t="shared" si="48"/>
        <v/>
      </c>
      <c r="S75" s="108">
        <f t="shared" si="49"/>
        <v>1.5</v>
      </c>
      <c r="T75" s="28">
        <f t="shared" si="50"/>
        <v>37.94705882352941</v>
      </c>
      <c r="U75" s="28">
        <f t="shared" si="51"/>
        <v>37.94705882352941</v>
      </c>
      <c r="V75" s="28">
        <f t="shared" si="52"/>
        <v>2.5298039215686274</v>
      </c>
      <c r="W75" s="28">
        <f t="shared" si="53"/>
        <v>0.67999999999999994</v>
      </c>
      <c r="X75" s="56">
        <f t="shared" si="54"/>
        <v>2.6</v>
      </c>
    </row>
    <row r="76" spans="1:24">
      <c r="A76" s="90" t="s">
        <v>1334</v>
      </c>
      <c r="B76" s="26">
        <v>10</v>
      </c>
      <c r="C76" s="26" t="s">
        <v>1403</v>
      </c>
      <c r="D76" s="26">
        <v>2</v>
      </c>
      <c r="E76" s="26" t="s">
        <v>66</v>
      </c>
      <c r="F76" s="26">
        <v>3</v>
      </c>
      <c r="G76" s="121" t="s">
        <v>111</v>
      </c>
      <c r="H76" s="26">
        <v>0.3</v>
      </c>
      <c r="I76" s="26"/>
      <c r="J76" s="26"/>
      <c r="K76" s="24">
        <f t="shared" si="41"/>
        <v>9</v>
      </c>
      <c r="L76" s="24">
        <f t="shared" si="42"/>
        <v>18</v>
      </c>
      <c r="M76" s="24">
        <f t="shared" si="43"/>
        <v>2.3529411764705883</v>
      </c>
      <c r="N76" s="24">
        <f t="shared" si="44"/>
        <v>7.0588235294117645</v>
      </c>
      <c r="O76" s="24">
        <f t="shared" si="45"/>
        <v>17.647058823529413</v>
      </c>
      <c r="P76" s="24">
        <f t="shared" si="46"/>
        <v>5.2941176470588234</v>
      </c>
      <c r="Q76" s="24" t="str">
        <f t="shared" si="47"/>
        <v/>
      </c>
      <c r="R76" s="24" t="str">
        <f t="shared" si="48"/>
        <v/>
      </c>
      <c r="S76" s="108">
        <f t="shared" si="49"/>
        <v>1</v>
      </c>
      <c r="T76" s="28">
        <f t="shared" si="50"/>
        <v>31.352941176470587</v>
      </c>
      <c r="U76" s="28">
        <f t="shared" si="51"/>
        <v>31.352941176470587</v>
      </c>
      <c r="V76" s="28">
        <f t="shared" si="52"/>
        <v>3.1352941176470588</v>
      </c>
      <c r="W76" s="28">
        <f t="shared" si="53"/>
        <v>0.53</v>
      </c>
      <c r="X76" s="56">
        <f t="shared" si="54"/>
        <v>3.2</v>
      </c>
    </row>
    <row r="77" spans="1:24" ht="15">
      <c r="A77" s="131" t="s">
        <v>1404</v>
      </c>
      <c r="B77" s="27">
        <v>12</v>
      </c>
      <c r="C77" s="27" t="s">
        <v>2141</v>
      </c>
      <c r="D77" s="27">
        <v>7</v>
      </c>
      <c r="E77" s="27" t="s">
        <v>1405</v>
      </c>
      <c r="F77" s="27">
        <v>0.3</v>
      </c>
      <c r="G77" s="30"/>
      <c r="H77" s="26"/>
      <c r="I77" s="26"/>
      <c r="J77" s="26"/>
      <c r="K77" s="24">
        <f t="shared" si="41"/>
        <v>3.4666666666666668</v>
      </c>
      <c r="L77" s="24">
        <f t="shared" si="42"/>
        <v>24.266666666666666</v>
      </c>
      <c r="M77" s="24">
        <f t="shared" si="43"/>
        <v>2.2352941176470589</v>
      </c>
      <c r="N77" s="24">
        <f t="shared" si="44"/>
        <v>0.6705882352941176</v>
      </c>
      <c r="O77" s="24" t="str">
        <f t="shared" si="45"/>
        <v/>
      </c>
      <c r="P77" s="24" t="str">
        <f t="shared" si="46"/>
        <v/>
      </c>
      <c r="Q77" s="24" t="str">
        <f t="shared" si="47"/>
        <v/>
      </c>
      <c r="R77" s="24" t="str">
        <f t="shared" si="48"/>
        <v/>
      </c>
      <c r="S77" s="108">
        <f t="shared" si="49"/>
        <v>1.2000000000000002</v>
      </c>
      <c r="T77" s="28">
        <f t="shared" si="50"/>
        <v>26.137254901960784</v>
      </c>
      <c r="U77" s="28">
        <f t="shared" si="51"/>
        <v>26.137254901960784</v>
      </c>
      <c r="V77" s="28">
        <f t="shared" si="52"/>
        <v>2.1781045751633985</v>
      </c>
      <c r="W77" s="28">
        <f t="shared" si="53"/>
        <v>0.60833333333333339</v>
      </c>
      <c r="X77" s="56">
        <f t="shared" si="54"/>
        <v>2.2000000000000002</v>
      </c>
    </row>
    <row r="78" spans="1:24">
      <c r="A78" s="90" t="s">
        <v>1325</v>
      </c>
      <c r="B78" s="26">
        <v>10</v>
      </c>
      <c r="C78" s="26" t="s">
        <v>1412</v>
      </c>
      <c r="D78" s="26">
        <v>1.5</v>
      </c>
      <c r="E78" s="26" t="s">
        <v>1413</v>
      </c>
      <c r="F78" s="26">
        <v>0.5</v>
      </c>
      <c r="G78" s="26"/>
      <c r="H78" s="26"/>
      <c r="I78" s="26"/>
      <c r="J78" s="26"/>
      <c r="K78" s="24">
        <f t="shared" si="41"/>
        <v>0.88235294117647056</v>
      </c>
      <c r="L78" s="24">
        <f t="shared" si="42"/>
        <v>1.3235294117647058</v>
      </c>
      <c r="M78" s="24">
        <f t="shared" si="43"/>
        <v>2.1176470588235294</v>
      </c>
      <c r="N78" s="24">
        <f t="shared" si="44"/>
        <v>1.0588235294117647</v>
      </c>
      <c r="O78" s="24" t="str">
        <f t="shared" si="45"/>
        <v/>
      </c>
      <c r="P78" s="24" t="str">
        <f t="shared" si="46"/>
        <v/>
      </c>
      <c r="Q78" s="24" t="str">
        <f t="shared" si="47"/>
        <v/>
      </c>
      <c r="R78" s="24" t="str">
        <f t="shared" si="48"/>
        <v/>
      </c>
      <c r="S78" s="108">
        <f t="shared" si="49"/>
        <v>1</v>
      </c>
      <c r="T78" s="28">
        <f t="shared" si="50"/>
        <v>3.3823529411764706</v>
      </c>
      <c r="U78" s="28">
        <f t="shared" si="51"/>
        <v>3.3823529411764706</v>
      </c>
      <c r="V78" s="28">
        <f t="shared" si="52"/>
        <v>0.33823529411764708</v>
      </c>
      <c r="W78" s="36">
        <f t="shared" si="53"/>
        <v>0.2</v>
      </c>
      <c r="X78" s="56">
        <f t="shared" si="54"/>
        <v>0.4</v>
      </c>
    </row>
    <row r="79" spans="1:24">
      <c r="A79" s="90" t="s">
        <v>1326</v>
      </c>
      <c r="B79" s="26">
        <v>10</v>
      </c>
      <c r="C79" s="26" t="s">
        <v>1414</v>
      </c>
      <c r="D79" s="26">
        <v>2</v>
      </c>
      <c r="E79" s="26"/>
      <c r="F79" s="26"/>
      <c r="G79" s="26"/>
      <c r="H79" s="26"/>
      <c r="I79" s="26"/>
      <c r="J79" s="26"/>
      <c r="K79" s="24">
        <f t="shared" si="41"/>
        <v>0.70588235294117652</v>
      </c>
      <c r="L79" s="24">
        <f t="shared" si="42"/>
        <v>1.411764705882353</v>
      </c>
      <c r="M79" s="24" t="str">
        <f t="shared" si="43"/>
        <v/>
      </c>
      <c r="N79" s="24" t="str">
        <f t="shared" si="44"/>
        <v/>
      </c>
      <c r="O79" s="24" t="str">
        <f t="shared" si="45"/>
        <v/>
      </c>
      <c r="P79" s="24" t="str">
        <f t="shared" si="46"/>
        <v/>
      </c>
      <c r="Q79" s="24" t="str">
        <f t="shared" si="47"/>
        <v/>
      </c>
      <c r="R79" s="24" t="str">
        <f t="shared" si="48"/>
        <v/>
      </c>
      <c r="S79" s="108">
        <f t="shared" si="49"/>
        <v>1</v>
      </c>
      <c r="T79" s="28">
        <f t="shared" si="50"/>
        <v>2.4117647058823533</v>
      </c>
      <c r="U79" s="28">
        <f t="shared" si="51"/>
        <v>2.4117647058823533</v>
      </c>
      <c r="V79" s="28">
        <f t="shared" si="52"/>
        <v>0.24117647058823533</v>
      </c>
      <c r="W79" s="28">
        <f t="shared" si="53"/>
        <v>0.2</v>
      </c>
      <c r="X79" s="56">
        <f t="shared" si="54"/>
        <v>0.30000000000000004</v>
      </c>
    </row>
    <row r="80" spans="1:24">
      <c r="A80" s="90" t="s">
        <v>1324</v>
      </c>
      <c r="B80" s="26">
        <v>52</v>
      </c>
      <c r="C80" s="26" t="s">
        <v>1409</v>
      </c>
      <c r="D80" s="26">
        <v>1</v>
      </c>
      <c r="E80" s="26"/>
      <c r="F80" s="26"/>
      <c r="G80" s="26"/>
      <c r="H80" s="26"/>
      <c r="I80" s="26"/>
      <c r="J80" s="26"/>
      <c r="K80" s="24">
        <v>15</v>
      </c>
      <c r="L80" s="24">
        <v>15</v>
      </c>
      <c r="M80" s="24" t="s">
        <v>1411</v>
      </c>
      <c r="N80" s="24" t="s">
        <v>1411</v>
      </c>
      <c r="O80" s="24" t="s">
        <v>1411</v>
      </c>
      <c r="P80" s="24" t="s">
        <v>1411</v>
      </c>
      <c r="Q80" s="24" t="s">
        <v>1411</v>
      </c>
      <c r="R80" s="24" t="s">
        <v>1411</v>
      </c>
      <c r="S80" s="108">
        <f>B80*0.0001</f>
        <v>5.2000000000000006E-3</v>
      </c>
      <c r="T80" s="28">
        <v>15.05</v>
      </c>
      <c r="U80" s="28">
        <f t="shared" si="51"/>
        <v>15.05</v>
      </c>
      <c r="V80" s="28">
        <f t="shared" si="52"/>
        <v>0.28942307692307695</v>
      </c>
      <c r="W80" s="28">
        <f t="shared" si="53"/>
        <v>1.9230769230769232E-2</v>
      </c>
      <c r="X80" s="56">
        <f t="shared" si="54"/>
        <v>0.30000000000000004</v>
      </c>
    </row>
    <row r="81" spans="1:24">
      <c r="A81" s="26" t="s">
        <v>1329</v>
      </c>
      <c r="B81" s="26">
        <v>10</v>
      </c>
      <c r="C81" s="14" t="s">
        <v>2136</v>
      </c>
      <c r="D81" s="26">
        <v>6</v>
      </c>
      <c r="E81" s="26" t="s">
        <v>1419</v>
      </c>
      <c r="F81" s="26">
        <v>0.1</v>
      </c>
      <c r="G81" s="26"/>
      <c r="H81" s="26"/>
      <c r="I81" s="26"/>
      <c r="J81" s="26"/>
      <c r="K81" s="24">
        <f t="shared" si="41"/>
        <v>4.5333333333333332</v>
      </c>
      <c r="L81" s="24">
        <f t="shared" si="42"/>
        <v>27.2</v>
      </c>
      <c r="M81" s="24">
        <f t="shared" si="43"/>
        <v>2.2352941176470589</v>
      </c>
      <c r="N81" s="24">
        <f t="shared" si="44"/>
        <v>0.22352941176470589</v>
      </c>
      <c r="O81" s="24" t="str">
        <f t="shared" si="45"/>
        <v/>
      </c>
      <c r="P81" s="24" t="str">
        <f t="shared" si="46"/>
        <v/>
      </c>
      <c r="Q81" s="24" t="str">
        <f t="shared" si="47"/>
        <v/>
      </c>
      <c r="R81" s="24" t="str">
        <f t="shared" si="48"/>
        <v/>
      </c>
      <c r="S81" s="108">
        <v>0.3</v>
      </c>
      <c r="T81" s="28">
        <f t="shared" si="50"/>
        <v>27.723529411764705</v>
      </c>
      <c r="U81" s="28">
        <f t="shared" si="51"/>
        <v>27.723529411764705</v>
      </c>
      <c r="V81" s="28">
        <f t="shared" si="52"/>
        <v>2.7723529411764707</v>
      </c>
      <c r="W81" s="28">
        <f t="shared" si="53"/>
        <v>0.61</v>
      </c>
      <c r="X81" s="56">
        <f t="shared" si="54"/>
        <v>2.8000000000000003</v>
      </c>
    </row>
    <row r="82" spans="1:24">
      <c r="A82" s="26" t="s">
        <v>1330</v>
      </c>
      <c r="B82" s="26">
        <v>1</v>
      </c>
      <c r="C82" s="31" t="s">
        <v>1420</v>
      </c>
      <c r="D82" s="26">
        <v>0.6</v>
      </c>
      <c r="E82" s="26"/>
      <c r="F82" s="26"/>
      <c r="G82" s="26"/>
      <c r="H82" s="26"/>
      <c r="I82" s="26"/>
      <c r="J82" s="26"/>
      <c r="K82" s="24">
        <f t="shared" si="41"/>
        <v>7</v>
      </c>
      <c r="L82" s="24">
        <f t="shared" si="42"/>
        <v>4.2</v>
      </c>
      <c r="M82" s="24" t="str">
        <f t="shared" si="43"/>
        <v/>
      </c>
      <c r="N82" s="24" t="str">
        <f t="shared" si="44"/>
        <v/>
      </c>
      <c r="O82" s="24" t="str">
        <f t="shared" si="45"/>
        <v/>
      </c>
      <c r="P82" s="24" t="str">
        <f t="shared" si="46"/>
        <v/>
      </c>
      <c r="Q82" s="24" t="str">
        <f t="shared" si="47"/>
        <v/>
      </c>
      <c r="R82" s="24" t="str">
        <f t="shared" si="48"/>
        <v/>
      </c>
      <c r="S82" s="108">
        <f t="shared" si="49"/>
        <v>0.1</v>
      </c>
      <c r="T82" s="28">
        <f t="shared" si="50"/>
        <v>4.3</v>
      </c>
      <c r="U82" s="28">
        <f t="shared" si="51"/>
        <v>4.3</v>
      </c>
      <c r="V82" s="28">
        <f t="shared" si="52"/>
        <v>4.3</v>
      </c>
      <c r="W82" s="28">
        <f t="shared" si="53"/>
        <v>0.6</v>
      </c>
      <c r="X82" s="56">
        <f t="shared" si="54"/>
        <v>4.3</v>
      </c>
    </row>
    <row r="83" spans="1:24">
      <c r="A83" s="26" t="s">
        <v>1331</v>
      </c>
      <c r="B83" s="26">
        <v>1</v>
      </c>
      <c r="C83" s="33" t="s">
        <v>1331</v>
      </c>
      <c r="D83" s="26">
        <v>0.5</v>
      </c>
      <c r="E83" s="26" t="s">
        <v>1422</v>
      </c>
      <c r="F83" s="26">
        <v>0.3</v>
      </c>
      <c r="G83" s="26"/>
      <c r="H83" s="26"/>
      <c r="I83" s="26"/>
      <c r="J83" s="26"/>
      <c r="K83" s="24">
        <f t="shared" si="41"/>
        <v>6.8</v>
      </c>
      <c r="L83" s="24">
        <f t="shared" si="42"/>
        <v>3.4</v>
      </c>
      <c r="M83" s="24">
        <f t="shared" si="43"/>
        <v>1.1176470588235294</v>
      </c>
      <c r="N83" s="24">
        <f t="shared" si="44"/>
        <v>0.3352941176470588</v>
      </c>
      <c r="O83" s="24" t="str">
        <f t="shared" si="45"/>
        <v/>
      </c>
      <c r="P83" s="24" t="str">
        <f t="shared" si="46"/>
        <v/>
      </c>
      <c r="Q83" s="24" t="str">
        <f t="shared" si="47"/>
        <v/>
      </c>
      <c r="R83" s="24" t="str">
        <f t="shared" si="48"/>
        <v/>
      </c>
      <c r="S83" s="108">
        <f t="shared" si="49"/>
        <v>0.1</v>
      </c>
      <c r="T83" s="28">
        <f t="shared" si="50"/>
        <v>3.835294117647059</v>
      </c>
      <c r="U83" s="28">
        <f t="shared" si="51"/>
        <v>3.835294117647059</v>
      </c>
      <c r="V83" s="28">
        <f t="shared" si="52"/>
        <v>3.835294117647059</v>
      </c>
      <c r="W83" s="28">
        <f t="shared" si="53"/>
        <v>0.8</v>
      </c>
      <c r="X83" s="56">
        <f t="shared" si="54"/>
        <v>3.9</v>
      </c>
    </row>
    <row r="84" spans="1:24">
      <c r="A84" s="26" t="s">
        <v>1424</v>
      </c>
      <c r="B84" s="26">
        <v>1</v>
      </c>
      <c r="C84" s="26" t="s">
        <v>1423</v>
      </c>
      <c r="D84" s="26">
        <v>0.6</v>
      </c>
      <c r="E84" s="26" t="s">
        <v>1419</v>
      </c>
      <c r="F84" s="26">
        <v>0.03</v>
      </c>
      <c r="G84" s="26"/>
      <c r="H84" s="26"/>
      <c r="I84" s="26"/>
      <c r="J84" s="26"/>
      <c r="K84" s="24">
        <f t="shared" si="41"/>
        <v>0.94117647058823539</v>
      </c>
      <c r="L84" s="24">
        <f t="shared" si="42"/>
        <v>0.56470588235294117</v>
      </c>
      <c r="M84" s="24">
        <f t="shared" si="43"/>
        <v>2.2352941176470589</v>
      </c>
      <c r="N84" s="24">
        <f t="shared" si="44"/>
        <v>6.7058823529411768E-2</v>
      </c>
      <c r="O84" s="24" t="str">
        <f t="shared" si="45"/>
        <v/>
      </c>
      <c r="P84" s="24" t="str">
        <f t="shared" si="46"/>
        <v/>
      </c>
      <c r="Q84" s="24" t="str">
        <f t="shared" si="47"/>
        <v/>
      </c>
      <c r="R84" s="24" t="str">
        <f t="shared" si="48"/>
        <v/>
      </c>
      <c r="S84" s="108">
        <f>B84*0.4</f>
        <v>0.4</v>
      </c>
      <c r="T84" s="28">
        <f t="shared" si="50"/>
        <v>1.0317647058823529</v>
      </c>
      <c r="U84" s="28">
        <f t="shared" si="51"/>
        <v>1.0317647058823529</v>
      </c>
      <c r="V84" s="28">
        <f t="shared" si="52"/>
        <v>1.0317647058823529</v>
      </c>
      <c r="W84" s="28">
        <f t="shared" si="53"/>
        <v>0.63</v>
      </c>
      <c r="X84" s="56">
        <f t="shared" si="54"/>
        <v>1.1000000000000001</v>
      </c>
    </row>
    <row r="85" spans="1:24">
      <c r="A85" s="26" t="s">
        <v>1333</v>
      </c>
      <c r="B85" s="26">
        <v>1</v>
      </c>
      <c r="C85" s="26" t="s">
        <v>1427</v>
      </c>
      <c r="D85" s="26">
        <v>1</v>
      </c>
      <c r="E85" s="26"/>
      <c r="F85" s="26"/>
      <c r="G85" s="33"/>
      <c r="H85" s="26"/>
      <c r="I85" s="26"/>
      <c r="J85" s="26"/>
      <c r="K85" s="24">
        <f t="shared" si="41"/>
        <v>1.8823529411764708</v>
      </c>
      <c r="L85" s="24">
        <f t="shared" si="42"/>
        <v>1.8823529411764708</v>
      </c>
      <c r="M85" s="24" t="str">
        <f t="shared" si="43"/>
        <v/>
      </c>
      <c r="N85" s="24" t="str">
        <f t="shared" si="44"/>
        <v/>
      </c>
      <c r="O85" s="24" t="str">
        <f t="shared" si="45"/>
        <v/>
      </c>
      <c r="P85" s="24" t="str">
        <f t="shared" si="46"/>
        <v/>
      </c>
      <c r="Q85" s="24" t="str">
        <f t="shared" si="47"/>
        <v/>
      </c>
      <c r="R85" s="24" t="str">
        <f t="shared" si="48"/>
        <v/>
      </c>
      <c r="S85" s="108">
        <f>B85*0.1</f>
        <v>0.1</v>
      </c>
      <c r="T85" s="28">
        <f t="shared" si="50"/>
        <v>1.9823529411764709</v>
      </c>
      <c r="U85" s="28">
        <f t="shared" si="51"/>
        <v>1.9823529411764709</v>
      </c>
      <c r="V85" s="28">
        <f t="shared" si="52"/>
        <v>1.9823529411764709</v>
      </c>
      <c r="W85" s="28">
        <f t="shared" si="53"/>
        <v>1</v>
      </c>
      <c r="X85" s="56">
        <f t="shared" si="54"/>
        <v>2</v>
      </c>
    </row>
    <row r="86" spans="1:24">
      <c r="A86" s="26" t="s">
        <v>1428</v>
      </c>
      <c r="B86" s="26">
        <v>1</v>
      </c>
      <c r="C86" s="26" t="s">
        <v>1429</v>
      </c>
      <c r="D86" s="26">
        <v>0.2</v>
      </c>
      <c r="E86" s="26"/>
      <c r="F86" s="26"/>
      <c r="G86" s="26"/>
      <c r="H86" s="26"/>
      <c r="I86" s="26"/>
      <c r="J86" s="26"/>
      <c r="K86" s="24">
        <f t="shared" si="41"/>
        <v>2.3529411764705883</v>
      </c>
      <c r="L86" s="24">
        <f t="shared" si="42"/>
        <v>0.4705882352941177</v>
      </c>
      <c r="M86" s="24" t="str">
        <f t="shared" si="43"/>
        <v/>
      </c>
      <c r="N86" s="24" t="str">
        <f t="shared" si="44"/>
        <v/>
      </c>
      <c r="O86" s="24" t="str">
        <f t="shared" si="45"/>
        <v/>
      </c>
      <c r="P86" s="24" t="str">
        <f t="shared" si="46"/>
        <v/>
      </c>
      <c r="Q86" s="24" t="str">
        <f t="shared" si="47"/>
        <v/>
      </c>
      <c r="R86" s="24" t="str">
        <f t="shared" si="48"/>
        <v/>
      </c>
      <c r="S86" s="108">
        <f t="shared" si="49"/>
        <v>0.1</v>
      </c>
      <c r="T86" s="28">
        <f t="shared" si="50"/>
        <v>0.57058823529411773</v>
      </c>
      <c r="U86" s="28">
        <f t="shared" si="51"/>
        <v>0.57058823529411773</v>
      </c>
      <c r="V86" s="28">
        <f t="shared" si="52"/>
        <v>0.57058823529411773</v>
      </c>
      <c r="W86" s="28">
        <f t="shared" si="53"/>
        <v>0.2</v>
      </c>
      <c r="X86" s="56">
        <f t="shared" si="54"/>
        <v>0.6</v>
      </c>
    </row>
    <row r="87" spans="1:24">
      <c r="A87" s="26" t="s">
        <v>1343</v>
      </c>
      <c r="B87" s="27">
        <v>1</v>
      </c>
      <c r="C87" s="27" t="s">
        <v>1446</v>
      </c>
      <c r="D87" s="27">
        <v>0.2</v>
      </c>
      <c r="E87" s="27"/>
      <c r="F87" s="27"/>
      <c r="G87" s="27"/>
      <c r="H87" s="27"/>
      <c r="I87" s="27"/>
      <c r="J87" s="27"/>
      <c r="K87" s="24">
        <f t="shared" si="41"/>
        <v>0.94117647058823539</v>
      </c>
      <c r="L87" s="24">
        <f t="shared" si="42"/>
        <v>0.18823529411764708</v>
      </c>
      <c r="M87" s="24" t="str">
        <f t="shared" si="43"/>
        <v/>
      </c>
      <c r="N87" s="24" t="str">
        <f t="shared" si="44"/>
        <v/>
      </c>
      <c r="O87" s="24" t="str">
        <f t="shared" si="45"/>
        <v/>
      </c>
      <c r="P87" s="24" t="str">
        <f t="shared" si="46"/>
        <v/>
      </c>
      <c r="Q87" s="24" t="str">
        <f t="shared" si="47"/>
        <v/>
      </c>
      <c r="R87" s="24" t="str">
        <f t="shared" si="48"/>
        <v/>
      </c>
      <c r="S87" s="108">
        <f t="shared" si="49"/>
        <v>0.1</v>
      </c>
      <c r="T87" s="28">
        <f t="shared" si="50"/>
        <v>0.28823529411764709</v>
      </c>
      <c r="U87" s="28">
        <f t="shared" si="51"/>
        <v>0.28823529411764709</v>
      </c>
      <c r="V87" s="36">
        <f t="shared" si="52"/>
        <v>0.28823529411764709</v>
      </c>
      <c r="W87" s="36">
        <f t="shared" si="53"/>
        <v>0.2</v>
      </c>
      <c r="X87" s="56">
        <f t="shared" si="54"/>
        <v>0.30000000000000004</v>
      </c>
    </row>
    <row r="88" spans="1:24" ht="15">
      <c r="A88" s="26" t="s">
        <v>1344</v>
      </c>
      <c r="B88" s="26">
        <v>1</v>
      </c>
      <c r="C88" s="26" t="s">
        <v>1447</v>
      </c>
      <c r="D88" s="26">
        <v>0.2</v>
      </c>
      <c r="E88" s="9"/>
      <c r="F88" s="26"/>
      <c r="G88" s="30"/>
      <c r="H88" s="26"/>
      <c r="I88" s="26"/>
      <c r="J88" s="26"/>
      <c r="K88" s="24">
        <f t="shared" si="41"/>
        <v>0.94117647058823539</v>
      </c>
      <c r="L88" s="24">
        <f t="shared" si="42"/>
        <v>0.18823529411764708</v>
      </c>
      <c r="M88" s="24" t="str">
        <f t="shared" si="43"/>
        <v/>
      </c>
      <c r="N88" s="24" t="str">
        <f t="shared" si="44"/>
        <v/>
      </c>
      <c r="O88" s="24" t="str">
        <f t="shared" si="45"/>
        <v/>
      </c>
      <c r="P88" s="24" t="str">
        <f t="shared" si="46"/>
        <v/>
      </c>
      <c r="Q88" s="24" t="str">
        <f t="shared" si="47"/>
        <v/>
      </c>
      <c r="R88" s="24" t="str">
        <f t="shared" si="48"/>
        <v/>
      </c>
      <c r="S88" s="108">
        <f>B88*0.4</f>
        <v>0.4</v>
      </c>
      <c r="T88" s="28">
        <f t="shared" si="50"/>
        <v>0.58823529411764708</v>
      </c>
      <c r="U88" s="28">
        <f t="shared" si="51"/>
        <v>0.58823529411764708</v>
      </c>
      <c r="V88" s="28">
        <f t="shared" si="52"/>
        <v>0.58823529411764708</v>
      </c>
      <c r="W88" s="28">
        <f t="shared" si="53"/>
        <v>0.2</v>
      </c>
      <c r="X88" s="56">
        <f t="shared" si="54"/>
        <v>0.6</v>
      </c>
    </row>
    <row r="89" spans="1:24" ht="28.5">
      <c r="A89" s="26" t="s">
        <v>1611</v>
      </c>
      <c r="B89" s="26">
        <v>1</v>
      </c>
      <c r="C89" s="32" t="s">
        <v>1448</v>
      </c>
      <c r="D89" s="26">
        <v>0.2</v>
      </c>
      <c r="E89" s="26" t="s">
        <v>1449</v>
      </c>
      <c r="F89" s="26">
        <v>1E-3</v>
      </c>
      <c r="G89" s="26"/>
      <c r="H89" s="26"/>
      <c r="I89" s="26"/>
      <c r="J89" s="26"/>
      <c r="K89" s="24">
        <f t="shared" si="41"/>
        <v>2.1176470588235294</v>
      </c>
      <c r="L89" s="24">
        <f t="shared" si="42"/>
        <v>0.42352941176470593</v>
      </c>
      <c r="M89" s="24">
        <f t="shared" si="43"/>
        <v>2.2352941176470589</v>
      </c>
      <c r="N89" s="24">
        <f t="shared" si="44"/>
        <v>2.2352941176470588E-3</v>
      </c>
      <c r="O89" s="24" t="str">
        <f t="shared" si="45"/>
        <v/>
      </c>
      <c r="P89" s="24" t="str">
        <f t="shared" si="46"/>
        <v/>
      </c>
      <c r="Q89" s="24" t="str">
        <f t="shared" si="47"/>
        <v/>
      </c>
      <c r="R89" s="24" t="str">
        <f t="shared" si="48"/>
        <v/>
      </c>
      <c r="S89" s="108">
        <f>B89*0.2</f>
        <v>0.2</v>
      </c>
      <c r="T89" s="28">
        <f t="shared" si="50"/>
        <v>0.625764705882353</v>
      </c>
      <c r="U89" s="28">
        <f t="shared" si="51"/>
        <v>0.625764705882353</v>
      </c>
      <c r="V89" s="28">
        <f t="shared" si="52"/>
        <v>0.625764705882353</v>
      </c>
      <c r="W89" s="28">
        <f t="shared" si="53"/>
        <v>0.20100000000000001</v>
      </c>
      <c r="X89" s="56">
        <f t="shared" si="54"/>
        <v>0.7</v>
      </c>
    </row>
    <row r="90" spans="1:24">
      <c r="A90" s="26" t="s">
        <v>1518</v>
      </c>
      <c r="B90" s="26">
        <v>1</v>
      </c>
      <c r="C90" s="9" t="s">
        <v>1519</v>
      </c>
      <c r="D90" s="26">
        <v>0.3</v>
      </c>
      <c r="E90" s="26" t="s">
        <v>1448</v>
      </c>
      <c r="F90" s="26">
        <v>0.1</v>
      </c>
      <c r="G90" s="26" t="s">
        <v>1450</v>
      </c>
      <c r="H90" s="26">
        <v>0.2</v>
      </c>
      <c r="I90" s="26"/>
      <c r="J90" s="26"/>
      <c r="K90" s="24">
        <f t="shared" si="41"/>
        <v>7</v>
      </c>
      <c r="L90" s="24">
        <f t="shared" si="42"/>
        <v>2.1</v>
      </c>
      <c r="M90" s="24">
        <f t="shared" si="43"/>
        <v>2.1176470588235294</v>
      </c>
      <c r="N90" s="24">
        <f t="shared" si="44"/>
        <v>0.21176470588235297</v>
      </c>
      <c r="O90" s="24">
        <f t="shared" si="45"/>
        <v>1.6470588235294117</v>
      </c>
      <c r="P90" s="24">
        <f t="shared" si="46"/>
        <v>0.32941176470588235</v>
      </c>
      <c r="Q90" s="24" t="str">
        <f t="shared" si="47"/>
        <v/>
      </c>
      <c r="R90" s="24" t="str">
        <f t="shared" si="48"/>
        <v/>
      </c>
      <c r="S90" s="108">
        <f>B90*0.2</f>
        <v>0.2</v>
      </c>
      <c r="T90" s="28">
        <f t="shared" si="50"/>
        <v>2.8411764705882359</v>
      </c>
      <c r="U90" s="28">
        <f t="shared" si="51"/>
        <v>2.8411764705882359</v>
      </c>
      <c r="V90" s="28">
        <f t="shared" si="52"/>
        <v>2.8411764705882359</v>
      </c>
      <c r="W90" s="36">
        <f t="shared" si="53"/>
        <v>0.60000000000000009</v>
      </c>
      <c r="X90" s="56">
        <f t="shared" si="54"/>
        <v>2.9</v>
      </c>
    </row>
    <row r="91" spans="1:24">
      <c r="A91" s="26" t="s">
        <v>1335</v>
      </c>
      <c r="B91" s="26">
        <v>10</v>
      </c>
      <c r="C91" s="26" t="s">
        <v>1009</v>
      </c>
      <c r="D91" s="26">
        <v>0.7</v>
      </c>
      <c r="E91" s="26" t="s">
        <v>1451</v>
      </c>
      <c r="F91" s="26">
        <v>0.1</v>
      </c>
      <c r="G91" s="26"/>
      <c r="H91" s="26"/>
      <c r="I91" s="26"/>
      <c r="J91" s="26"/>
      <c r="K91" s="24">
        <f t="shared" si="41"/>
        <v>61.428571428571431</v>
      </c>
      <c r="L91" s="24">
        <f t="shared" si="42"/>
        <v>43</v>
      </c>
      <c r="M91" s="24">
        <f t="shared" si="43"/>
        <v>2.2352941176470589</v>
      </c>
      <c r="N91" s="24">
        <f t="shared" si="44"/>
        <v>0.22352941176470589</v>
      </c>
      <c r="O91" s="24" t="str">
        <f t="shared" si="45"/>
        <v/>
      </c>
      <c r="P91" s="24" t="str">
        <f t="shared" si="46"/>
        <v/>
      </c>
      <c r="Q91" s="24" t="str">
        <f t="shared" si="47"/>
        <v/>
      </c>
      <c r="R91" s="24" t="str">
        <f t="shared" si="48"/>
        <v/>
      </c>
      <c r="S91" s="108">
        <f t="shared" si="49"/>
        <v>1</v>
      </c>
      <c r="T91" s="28">
        <f t="shared" si="50"/>
        <v>44.223529411764709</v>
      </c>
      <c r="U91" s="28">
        <f t="shared" si="51"/>
        <v>44.223529411764709</v>
      </c>
      <c r="V91" s="28">
        <f t="shared" si="52"/>
        <v>4.422352941176471</v>
      </c>
      <c r="W91" s="28">
        <f t="shared" si="53"/>
        <v>7.9999999999999988E-2</v>
      </c>
      <c r="X91" s="56">
        <f t="shared" si="54"/>
        <v>4.5</v>
      </c>
    </row>
    <row r="92" spans="1:24">
      <c r="A92" s="26" t="s">
        <v>1475</v>
      </c>
      <c r="B92" s="26">
        <v>1</v>
      </c>
      <c r="C92" s="26" t="s">
        <v>1477</v>
      </c>
      <c r="D92" s="26">
        <v>0.2</v>
      </c>
      <c r="E92" s="26"/>
      <c r="F92" s="26"/>
      <c r="G92" s="26"/>
      <c r="H92" s="26"/>
      <c r="I92" s="26"/>
      <c r="J92" s="26"/>
      <c r="K92" s="24">
        <f t="shared" si="41"/>
        <v>0.70588235294117652</v>
      </c>
      <c r="L92" s="24">
        <f t="shared" si="42"/>
        <v>0.14117647058823532</v>
      </c>
      <c r="M92" s="24" t="str">
        <f t="shared" si="43"/>
        <v/>
      </c>
      <c r="N92" s="24" t="str">
        <f t="shared" si="44"/>
        <v/>
      </c>
      <c r="O92" s="24" t="str">
        <f t="shared" si="45"/>
        <v/>
      </c>
      <c r="P92" s="24" t="str">
        <f t="shared" si="46"/>
        <v/>
      </c>
      <c r="Q92" s="24" t="str">
        <f t="shared" si="47"/>
        <v/>
      </c>
      <c r="R92" s="24" t="str">
        <f t="shared" si="48"/>
        <v/>
      </c>
      <c r="S92" s="108">
        <f t="shared" si="49"/>
        <v>0.1</v>
      </c>
      <c r="T92" s="28">
        <f t="shared" si="50"/>
        <v>0.24117647058823533</v>
      </c>
      <c r="U92" s="28">
        <f t="shared" si="51"/>
        <v>0.24117647058823533</v>
      </c>
      <c r="V92" s="28">
        <f t="shared" si="52"/>
        <v>0.24117647058823533</v>
      </c>
      <c r="W92" s="28">
        <f t="shared" si="53"/>
        <v>0.2</v>
      </c>
      <c r="X92" s="56">
        <f t="shared" si="54"/>
        <v>0.30000000000000004</v>
      </c>
    </row>
    <row r="93" spans="1:24">
      <c r="A93" s="26" t="s">
        <v>1476</v>
      </c>
      <c r="B93" s="26">
        <v>1</v>
      </c>
      <c r="C93" s="31" t="s">
        <v>1478</v>
      </c>
      <c r="D93" s="26">
        <v>0.2</v>
      </c>
      <c r="E93" s="26"/>
      <c r="F93" s="26"/>
      <c r="G93" s="26"/>
      <c r="H93" s="26"/>
      <c r="I93" s="26"/>
      <c r="J93" s="26"/>
      <c r="K93" s="24">
        <f t="shared" si="41"/>
        <v>1.0588235294117647</v>
      </c>
      <c r="L93" s="24">
        <f t="shared" si="42"/>
        <v>0.21176470588235297</v>
      </c>
      <c r="M93" s="24" t="str">
        <f t="shared" si="43"/>
        <v/>
      </c>
      <c r="N93" s="24" t="str">
        <f t="shared" si="44"/>
        <v/>
      </c>
      <c r="O93" s="24" t="str">
        <f t="shared" si="45"/>
        <v/>
      </c>
      <c r="P93" s="24" t="str">
        <f t="shared" si="46"/>
        <v/>
      </c>
      <c r="Q93" s="24" t="str">
        <f t="shared" si="47"/>
        <v/>
      </c>
      <c r="R93" s="24" t="str">
        <f t="shared" si="48"/>
        <v/>
      </c>
      <c r="S93" s="108">
        <f t="shared" si="49"/>
        <v>0.1</v>
      </c>
      <c r="T93" s="28">
        <f t="shared" si="50"/>
        <v>0.31176470588235294</v>
      </c>
      <c r="U93" s="28">
        <f t="shared" si="51"/>
        <v>0.31176470588235294</v>
      </c>
      <c r="V93" s="28">
        <f t="shared" si="52"/>
        <v>0.31176470588235294</v>
      </c>
      <c r="W93" s="28">
        <f t="shared" si="53"/>
        <v>0.2</v>
      </c>
      <c r="X93" s="56">
        <f t="shared" si="54"/>
        <v>0.4</v>
      </c>
    </row>
    <row r="94" spans="1:24">
      <c r="A94" s="26" t="s">
        <v>1482</v>
      </c>
      <c r="B94" s="26">
        <v>1</v>
      </c>
      <c r="C94" s="26" t="s">
        <v>1479</v>
      </c>
      <c r="D94" s="26">
        <v>0.7</v>
      </c>
      <c r="E94" s="31"/>
      <c r="F94" s="26"/>
      <c r="G94" s="26"/>
      <c r="H94" s="26"/>
      <c r="I94" s="26"/>
      <c r="J94" s="26"/>
      <c r="K94" s="24" t="e">
        <f t="shared" si="41"/>
        <v>#N/A</v>
      </c>
      <c r="L94" s="24" t="str">
        <f t="shared" si="42"/>
        <v/>
      </c>
      <c r="M94" s="24" t="str">
        <f t="shared" si="43"/>
        <v/>
      </c>
      <c r="N94" s="24" t="str">
        <f t="shared" si="44"/>
        <v/>
      </c>
      <c r="O94" s="24" t="str">
        <f t="shared" si="45"/>
        <v/>
      </c>
      <c r="P94" s="24" t="str">
        <f t="shared" si="46"/>
        <v/>
      </c>
      <c r="Q94" s="24" t="str">
        <f t="shared" si="47"/>
        <v/>
      </c>
      <c r="R94" s="24" t="str">
        <f t="shared" si="48"/>
        <v/>
      </c>
      <c r="S94" s="108">
        <f>B94*0.3</f>
        <v>0.3</v>
      </c>
      <c r="T94" s="28">
        <f t="shared" si="50"/>
        <v>0.3</v>
      </c>
      <c r="U94" s="28">
        <f t="shared" si="51"/>
        <v>0.3</v>
      </c>
      <c r="V94" s="28">
        <f t="shared" si="52"/>
        <v>0.3</v>
      </c>
      <c r="W94" s="28">
        <f t="shared" si="53"/>
        <v>0.7</v>
      </c>
      <c r="X94" s="134">
        <f t="shared" si="54"/>
        <v>0.3</v>
      </c>
    </row>
    <row r="95" spans="1:24">
      <c r="A95" s="26" t="s">
        <v>1340</v>
      </c>
      <c r="B95" s="26">
        <v>1</v>
      </c>
      <c r="C95" s="26" t="s">
        <v>1480</v>
      </c>
      <c r="D95" s="26">
        <v>0.8</v>
      </c>
      <c r="E95" s="26" t="s">
        <v>1481</v>
      </c>
      <c r="F95" s="26">
        <v>0.2</v>
      </c>
      <c r="G95" s="26"/>
      <c r="H95" s="26"/>
      <c r="I95" s="26"/>
      <c r="J95" s="26"/>
      <c r="K95" s="24">
        <f t="shared" si="41"/>
        <v>1.8823529411764708</v>
      </c>
      <c r="L95" s="24">
        <f t="shared" si="42"/>
        <v>1.5058823529411767</v>
      </c>
      <c r="M95" s="24">
        <f t="shared" si="43"/>
        <v>4.2352941176470589</v>
      </c>
      <c r="N95" s="24">
        <f t="shared" si="44"/>
        <v>0.84705882352941186</v>
      </c>
      <c r="O95" s="24" t="str">
        <f t="shared" si="45"/>
        <v/>
      </c>
      <c r="P95" s="24" t="str">
        <f t="shared" si="46"/>
        <v/>
      </c>
      <c r="Q95" s="24" t="str">
        <f t="shared" si="47"/>
        <v/>
      </c>
      <c r="R95" s="24" t="str">
        <f t="shared" si="48"/>
        <v/>
      </c>
      <c r="S95" s="108">
        <f t="shared" si="49"/>
        <v>0.1</v>
      </c>
      <c r="T95" s="28">
        <f t="shared" si="50"/>
        <v>2.4529411764705888</v>
      </c>
      <c r="U95" s="28">
        <f t="shared" si="51"/>
        <v>2.4529411764705888</v>
      </c>
      <c r="V95" s="28">
        <f t="shared" si="52"/>
        <v>2.4529411764705888</v>
      </c>
      <c r="W95" s="28">
        <f t="shared" si="53"/>
        <v>1</v>
      </c>
      <c r="X95" s="134">
        <f t="shared" si="54"/>
        <v>2.5</v>
      </c>
    </row>
    <row r="96" spans="1:24">
      <c r="A96" s="26" t="s">
        <v>1342</v>
      </c>
      <c r="B96" s="27">
        <v>1</v>
      </c>
      <c r="C96" s="27" t="s">
        <v>321</v>
      </c>
      <c r="D96" s="27">
        <v>0.6</v>
      </c>
      <c r="E96" s="27"/>
      <c r="F96" s="27"/>
      <c r="G96" s="27"/>
      <c r="H96" s="27"/>
      <c r="I96" s="27"/>
      <c r="J96" s="27"/>
      <c r="K96" s="24">
        <f t="shared" si="41"/>
        <v>9.4285714285714288</v>
      </c>
      <c r="L96" s="24">
        <f t="shared" si="42"/>
        <v>5.6571428571428575</v>
      </c>
      <c r="M96" s="24" t="str">
        <f t="shared" si="43"/>
        <v/>
      </c>
      <c r="N96" s="24" t="str">
        <f t="shared" si="44"/>
        <v/>
      </c>
      <c r="O96" s="24" t="str">
        <f t="shared" si="45"/>
        <v/>
      </c>
      <c r="P96" s="24" t="str">
        <f t="shared" si="46"/>
        <v/>
      </c>
      <c r="Q96" s="24" t="str">
        <f t="shared" si="47"/>
        <v/>
      </c>
      <c r="R96" s="24" t="str">
        <f t="shared" si="48"/>
        <v/>
      </c>
      <c r="S96" s="108">
        <f t="shared" si="49"/>
        <v>0.1</v>
      </c>
      <c r="T96" s="28">
        <f t="shared" si="50"/>
        <v>5.7571428571428571</v>
      </c>
      <c r="U96" s="28">
        <f t="shared" si="51"/>
        <v>5.7571428571428571</v>
      </c>
      <c r="V96" s="36">
        <f t="shared" si="52"/>
        <v>5.7571428571428571</v>
      </c>
      <c r="W96" s="36">
        <f t="shared" si="53"/>
        <v>0.6</v>
      </c>
      <c r="X96" s="56">
        <f t="shared" si="54"/>
        <v>5.8</v>
      </c>
    </row>
    <row r="97" spans="1:24">
      <c r="A97" s="26" t="s">
        <v>1517</v>
      </c>
      <c r="B97" s="27">
        <v>1</v>
      </c>
      <c r="C97" s="27" t="s">
        <v>1520</v>
      </c>
      <c r="D97" s="27">
        <v>2</v>
      </c>
      <c r="E97" s="27"/>
      <c r="F97" s="27"/>
      <c r="G97" s="27"/>
      <c r="H97" s="27"/>
      <c r="I97" s="27"/>
      <c r="J97" s="27"/>
      <c r="K97" s="24">
        <f t="shared" si="41"/>
        <v>2.15</v>
      </c>
      <c r="L97" s="24">
        <f t="shared" si="42"/>
        <v>4.3</v>
      </c>
      <c r="M97" s="24" t="str">
        <f t="shared" si="43"/>
        <v/>
      </c>
      <c r="N97" s="24" t="str">
        <f t="shared" si="44"/>
        <v/>
      </c>
      <c r="O97" s="24" t="str">
        <f t="shared" si="45"/>
        <v/>
      </c>
      <c r="P97" s="24" t="str">
        <f t="shared" si="46"/>
        <v/>
      </c>
      <c r="Q97" s="24" t="str">
        <f t="shared" si="47"/>
        <v/>
      </c>
      <c r="R97" s="24" t="str">
        <f t="shared" si="48"/>
        <v/>
      </c>
      <c r="S97" s="108">
        <f t="shared" si="49"/>
        <v>0.1</v>
      </c>
      <c r="T97" s="28">
        <f t="shared" si="50"/>
        <v>4.3999999999999995</v>
      </c>
      <c r="U97" s="28">
        <f t="shared" si="51"/>
        <v>4.3999999999999995</v>
      </c>
      <c r="V97" s="36">
        <f t="shared" si="52"/>
        <v>4.3999999999999995</v>
      </c>
      <c r="W97" s="36">
        <f t="shared" si="53"/>
        <v>2</v>
      </c>
      <c r="X97" s="56">
        <f t="shared" si="54"/>
        <v>4.4000000000000004</v>
      </c>
    </row>
    <row r="98" spans="1:24">
      <c r="A98" s="26" t="s">
        <v>1522</v>
      </c>
      <c r="B98" s="27">
        <v>1</v>
      </c>
      <c r="C98" s="27" t="s">
        <v>1523</v>
      </c>
      <c r="D98" s="27">
        <v>0.3</v>
      </c>
      <c r="E98" s="27"/>
      <c r="F98" s="27"/>
      <c r="G98" s="27"/>
      <c r="H98" s="27"/>
      <c r="I98" s="27"/>
      <c r="J98" s="27"/>
      <c r="K98" s="24" t="e">
        <f t="shared" si="41"/>
        <v>#N/A</v>
      </c>
      <c r="L98" s="24" t="str">
        <f t="shared" si="42"/>
        <v/>
      </c>
      <c r="M98" s="24" t="str">
        <f t="shared" si="43"/>
        <v/>
      </c>
      <c r="N98" s="24" t="str">
        <f t="shared" si="44"/>
        <v/>
      </c>
      <c r="O98" s="24" t="str">
        <f t="shared" si="45"/>
        <v/>
      </c>
      <c r="P98" s="24" t="str">
        <f t="shared" si="46"/>
        <v/>
      </c>
      <c r="Q98" s="24" t="str">
        <f t="shared" si="47"/>
        <v/>
      </c>
      <c r="R98" s="24" t="str">
        <f t="shared" si="48"/>
        <v/>
      </c>
      <c r="S98" s="108">
        <f>B98*0.2</f>
        <v>0.2</v>
      </c>
      <c r="T98" s="28">
        <f t="shared" si="50"/>
        <v>0.2</v>
      </c>
      <c r="U98" s="28">
        <f t="shared" si="51"/>
        <v>0.2</v>
      </c>
      <c r="V98" s="36">
        <f t="shared" si="52"/>
        <v>0.2</v>
      </c>
      <c r="W98" s="36">
        <f t="shared" si="53"/>
        <v>0.3</v>
      </c>
      <c r="X98" s="56">
        <f t="shared" si="54"/>
        <v>0.2</v>
      </c>
    </row>
    <row r="99" spans="1:24">
      <c r="A99" s="26" t="s">
        <v>1351</v>
      </c>
      <c r="B99" s="27">
        <v>1</v>
      </c>
      <c r="C99" s="27" t="s">
        <v>1524</v>
      </c>
      <c r="D99" s="27">
        <v>0.3</v>
      </c>
      <c r="E99" s="27"/>
      <c r="F99" s="27"/>
      <c r="G99" s="27"/>
      <c r="H99" s="27"/>
      <c r="I99" s="27"/>
      <c r="J99" s="27"/>
      <c r="K99" s="24">
        <f t="shared" si="41"/>
        <v>0.94117647058823539</v>
      </c>
      <c r="L99" s="24">
        <f t="shared" si="42"/>
        <v>0.28235294117647058</v>
      </c>
      <c r="M99" s="24" t="str">
        <f t="shared" si="43"/>
        <v/>
      </c>
      <c r="N99" s="24" t="str">
        <f t="shared" si="44"/>
        <v/>
      </c>
      <c r="O99" s="24" t="str">
        <f t="shared" si="45"/>
        <v/>
      </c>
      <c r="P99" s="24" t="str">
        <f t="shared" si="46"/>
        <v/>
      </c>
      <c r="Q99" s="24" t="str">
        <f t="shared" si="47"/>
        <v/>
      </c>
      <c r="R99" s="24" t="str">
        <f t="shared" si="48"/>
        <v/>
      </c>
      <c r="S99" s="108">
        <f t="shared" si="49"/>
        <v>0.1</v>
      </c>
      <c r="T99" s="28">
        <f t="shared" si="50"/>
        <v>0.38235294117647056</v>
      </c>
      <c r="U99" s="28">
        <f t="shared" si="51"/>
        <v>0.38235294117647056</v>
      </c>
      <c r="V99" s="36">
        <f t="shared" si="52"/>
        <v>0.38235294117647056</v>
      </c>
      <c r="W99" s="36">
        <f t="shared" si="53"/>
        <v>0.3</v>
      </c>
      <c r="X99" s="56">
        <f t="shared" si="54"/>
        <v>0.4</v>
      </c>
    </row>
    <row r="100" spans="1:24">
      <c r="A100" s="26" t="s">
        <v>1526</v>
      </c>
      <c r="B100" s="27">
        <v>1</v>
      </c>
      <c r="C100" s="27" t="s">
        <v>1525</v>
      </c>
      <c r="D100" s="27">
        <v>0.2</v>
      </c>
      <c r="E100" s="27"/>
      <c r="F100" s="27"/>
      <c r="G100" s="27"/>
      <c r="H100" s="27"/>
      <c r="I100" s="27"/>
      <c r="J100" s="27"/>
      <c r="K100" s="24">
        <f t="shared" si="41"/>
        <v>1.1176470588235294</v>
      </c>
      <c r="L100" s="24">
        <f t="shared" si="42"/>
        <v>0.22352941176470589</v>
      </c>
      <c r="M100" s="24" t="str">
        <f t="shared" si="43"/>
        <v/>
      </c>
      <c r="N100" s="24" t="str">
        <f t="shared" si="44"/>
        <v/>
      </c>
      <c r="O100" s="24" t="str">
        <f t="shared" si="45"/>
        <v/>
      </c>
      <c r="P100" s="24" t="str">
        <f t="shared" si="46"/>
        <v/>
      </c>
      <c r="Q100" s="24" t="str">
        <f t="shared" si="47"/>
        <v/>
      </c>
      <c r="R100" s="24" t="str">
        <f t="shared" si="48"/>
        <v/>
      </c>
      <c r="S100" s="108">
        <f t="shared" si="49"/>
        <v>0.1</v>
      </c>
      <c r="T100" s="28">
        <f t="shared" si="50"/>
        <v>0.3235294117647059</v>
      </c>
      <c r="U100" s="28">
        <f t="shared" si="51"/>
        <v>0.3235294117647059</v>
      </c>
      <c r="V100" s="36">
        <f t="shared" si="52"/>
        <v>0.3235294117647059</v>
      </c>
      <c r="W100" s="36">
        <f t="shared" si="53"/>
        <v>0.2</v>
      </c>
      <c r="X100" s="56">
        <f t="shared" si="54"/>
        <v>0.4</v>
      </c>
    </row>
    <row r="101" spans="1:24" ht="28.5">
      <c r="A101" s="26" t="s">
        <v>1527</v>
      </c>
      <c r="B101" s="27">
        <v>1</v>
      </c>
      <c r="C101" s="27" t="s">
        <v>1528</v>
      </c>
      <c r="D101" s="27">
        <v>0.1</v>
      </c>
      <c r="E101" s="27" t="s">
        <v>1529</v>
      </c>
      <c r="F101" s="27">
        <v>0.05</v>
      </c>
      <c r="G101" s="27" t="s">
        <v>1530</v>
      </c>
      <c r="H101" s="27">
        <v>0.05</v>
      </c>
      <c r="I101" s="27"/>
      <c r="J101" s="27"/>
      <c r="K101" s="24">
        <f t="shared" si="41"/>
        <v>7</v>
      </c>
      <c r="L101" s="24">
        <f t="shared" si="42"/>
        <v>0.70000000000000007</v>
      </c>
      <c r="M101" s="24">
        <f t="shared" si="43"/>
        <v>2.1176470588235294</v>
      </c>
      <c r="N101" s="24">
        <f t="shared" si="44"/>
        <v>0.10588235294117648</v>
      </c>
      <c r="O101" s="24">
        <f t="shared" si="45"/>
        <v>1.6470588235294117</v>
      </c>
      <c r="P101" s="24">
        <f t="shared" si="46"/>
        <v>8.2352941176470587E-2</v>
      </c>
      <c r="Q101" s="24" t="str">
        <f t="shared" si="47"/>
        <v/>
      </c>
      <c r="R101" s="24" t="str">
        <f t="shared" si="48"/>
        <v/>
      </c>
      <c r="S101" s="108">
        <f t="shared" si="49"/>
        <v>0.1</v>
      </c>
      <c r="T101" s="28">
        <f t="shared" si="50"/>
        <v>0.9882352941176471</v>
      </c>
      <c r="U101" s="28">
        <f t="shared" si="51"/>
        <v>0.9882352941176471</v>
      </c>
      <c r="V101" s="36">
        <f t="shared" si="52"/>
        <v>0.9882352941176471</v>
      </c>
      <c r="W101" s="36">
        <f t="shared" si="53"/>
        <v>0.2</v>
      </c>
      <c r="X101" s="56">
        <f t="shared" si="54"/>
        <v>1</v>
      </c>
    </row>
    <row r="102" spans="1:24">
      <c r="A102" s="26" t="s">
        <v>1353</v>
      </c>
      <c r="B102" s="27">
        <v>1</v>
      </c>
      <c r="C102" s="27" t="s">
        <v>1531</v>
      </c>
      <c r="D102" s="27">
        <v>0.8</v>
      </c>
      <c r="E102" s="27" t="s">
        <v>1532</v>
      </c>
      <c r="F102" s="27">
        <v>0.01</v>
      </c>
      <c r="G102" s="27"/>
      <c r="H102" s="27"/>
      <c r="I102" s="27"/>
      <c r="J102" s="27"/>
      <c r="K102" s="24">
        <f t="shared" si="41"/>
        <v>1.8823529411764708</v>
      </c>
      <c r="L102" s="24">
        <f t="shared" si="42"/>
        <v>1.5058823529411767</v>
      </c>
      <c r="M102" s="24">
        <f t="shared" si="43"/>
        <v>6</v>
      </c>
      <c r="N102" s="24">
        <f t="shared" si="44"/>
        <v>0.06</v>
      </c>
      <c r="O102" s="24" t="str">
        <f t="shared" si="45"/>
        <v/>
      </c>
      <c r="P102" s="24" t="str">
        <f t="shared" si="46"/>
        <v/>
      </c>
      <c r="Q102" s="24" t="str">
        <f t="shared" si="47"/>
        <v/>
      </c>
      <c r="R102" s="24" t="str">
        <f t="shared" si="48"/>
        <v/>
      </c>
      <c r="S102" s="108">
        <f>B102*0.3</f>
        <v>0.3</v>
      </c>
      <c r="T102" s="28">
        <f t="shared" si="50"/>
        <v>1.8658823529411768</v>
      </c>
      <c r="U102" s="28">
        <f t="shared" si="51"/>
        <v>1.8658823529411768</v>
      </c>
      <c r="V102" s="36">
        <f t="shared" si="52"/>
        <v>1.8658823529411768</v>
      </c>
      <c r="W102" s="36">
        <f t="shared" si="53"/>
        <v>0.81</v>
      </c>
      <c r="X102" s="56">
        <f t="shared" si="54"/>
        <v>1.9000000000000001</v>
      </c>
    </row>
    <row r="103" spans="1:24">
      <c r="A103" s="26" t="s">
        <v>1356</v>
      </c>
      <c r="B103" s="27">
        <v>1</v>
      </c>
      <c r="C103" s="27" t="s">
        <v>1538</v>
      </c>
      <c r="D103" s="27">
        <v>0.7</v>
      </c>
      <c r="E103" s="27"/>
      <c r="F103" s="27"/>
      <c r="G103" s="27"/>
      <c r="H103" s="27"/>
      <c r="I103" s="27"/>
      <c r="J103" s="27"/>
      <c r="K103" s="24" t="e">
        <f t="shared" si="41"/>
        <v>#N/A</v>
      </c>
      <c r="L103" s="24" t="str">
        <f t="shared" si="42"/>
        <v/>
      </c>
      <c r="M103" s="24" t="str">
        <f t="shared" si="43"/>
        <v/>
      </c>
      <c r="N103" s="24" t="str">
        <f t="shared" si="44"/>
        <v/>
      </c>
      <c r="O103" s="24" t="str">
        <f t="shared" si="45"/>
        <v/>
      </c>
      <c r="P103" s="24" t="str">
        <f t="shared" si="46"/>
        <v/>
      </c>
      <c r="Q103" s="24" t="str">
        <f t="shared" si="47"/>
        <v/>
      </c>
      <c r="R103" s="24" t="str">
        <f t="shared" si="48"/>
        <v/>
      </c>
      <c r="S103" s="108">
        <f>B103*0.2</f>
        <v>0.2</v>
      </c>
      <c r="T103" s="28">
        <f t="shared" si="50"/>
        <v>0.2</v>
      </c>
      <c r="U103" s="28">
        <f t="shared" si="51"/>
        <v>0.2</v>
      </c>
      <c r="V103" s="36">
        <f t="shared" si="52"/>
        <v>0.2</v>
      </c>
      <c r="W103" s="36">
        <f t="shared" si="53"/>
        <v>0.7</v>
      </c>
      <c r="X103" s="56">
        <f t="shared" si="54"/>
        <v>0.2</v>
      </c>
    </row>
    <row r="104" spans="1:24">
      <c r="A104" s="26" t="s">
        <v>1358</v>
      </c>
      <c r="B104" s="27">
        <v>1</v>
      </c>
      <c r="C104" s="27" t="s">
        <v>1539</v>
      </c>
      <c r="D104" s="27">
        <v>0.6</v>
      </c>
      <c r="E104" s="27"/>
      <c r="F104" s="27"/>
      <c r="G104" s="27"/>
      <c r="H104" s="27"/>
      <c r="I104" s="27"/>
      <c r="J104" s="27"/>
      <c r="K104" s="24">
        <f t="shared" si="41"/>
        <v>4</v>
      </c>
      <c r="L104" s="24">
        <f t="shared" si="42"/>
        <v>2.4</v>
      </c>
      <c r="M104" s="24" t="str">
        <f t="shared" si="43"/>
        <v/>
      </c>
      <c r="N104" s="24" t="str">
        <f t="shared" si="44"/>
        <v/>
      </c>
      <c r="O104" s="24" t="str">
        <f t="shared" si="45"/>
        <v/>
      </c>
      <c r="P104" s="24" t="str">
        <f t="shared" si="46"/>
        <v/>
      </c>
      <c r="Q104" s="24" t="str">
        <f t="shared" si="47"/>
        <v/>
      </c>
      <c r="R104" s="24" t="str">
        <f t="shared" si="48"/>
        <v/>
      </c>
      <c r="S104" s="108">
        <f t="shared" si="49"/>
        <v>0.1</v>
      </c>
      <c r="T104" s="28">
        <f t="shared" si="50"/>
        <v>2.5</v>
      </c>
      <c r="U104" s="28">
        <f t="shared" ref="U104:U162" si="55">T104*(1+凉菜物料)</f>
        <v>2.5</v>
      </c>
      <c r="V104" s="36">
        <f t="shared" si="52"/>
        <v>2.5</v>
      </c>
      <c r="W104" s="36">
        <f t="shared" si="53"/>
        <v>0.6</v>
      </c>
      <c r="X104" s="56">
        <f t="shared" ref="X104:X162" si="56">ROUNDUP(V104*(1+凉菜毛利),1)</f>
        <v>2.5</v>
      </c>
    </row>
    <row r="105" spans="1:24">
      <c r="A105" s="26" t="s">
        <v>1357</v>
      </c>
      <c r="B105" s="27">
        <v>1</v>
      </c>
      <c r="C105" s="27" t="s">
        <v>1540</v>
      </c>
      <c r="D105" s="27">
        <v>0.6</v>
      </c>
      <c r="E105" s="27"/>
      <c r="F105" s="27"/>
      <c r="G105" s="27"/>
      <c r="H105" s="27"/>
      <c r="I105" s="27"/>
      <c r="J105" s="27"/>
      <c r="K105" s="24" t="e">
        <f t="shared" ref="K105:K163" si="57">IF(C105="","",VLOOKUP(C105,成本单价,8,0))</f>
        <v>#N/A</v>
      </c>
      <c r="L105" s="24" t="str">
        <f t="shared" si="42"/>
        <v/>
      </c>
      <c r="M105" s="24" t="str">
        <f t="shared" ref="M105:M163" si="58">IF(E105="","",VLOOKUP(E105,成本单价,8,0))</f>
        <v/>
      </c>
      <c r="N105" s="24" t="str">
        <f t="shared" si="44"/>
        <v/>
      </c>
      <c r="O105" s="24" t="str">
        <f t="shared" ref="O105:O163" si="59">IF(G105="","",VLOOKUP(G105,成本单价,8,0))</f>
        <v/>
      </c>
      <c r="P105" s="24" t="str">
        <f t="shared" si="46"/>
        <v/>
      </c>
      <c r="Q105" s="24" t="str">
        <f t="shared" ref="Q105:Q163" si="60">IF(I105="","",VLOOKUP(I105,成本单价,8,0))</f>
        <v/>
      </c>
      <c r="R105" s="24" t="str">
        <f t="shared" si="48"/>
        <v/>
      </c>
      <c r="S105" s="108">
        <f t="shared" si="49"/>
        <v>0.1</v>
      </c>
      <c r="T105" s="28">
        <f t="shared" si="50"/>
        <v>0.1</v>
      </c>
      <c r="U105" s="28">
        <f t="shared" si="55"/>
        <v>0.1</v>
      </c>
      <c r="V105" s="36">
        <f t="shared" ref="V105:V163" si="61">U105/B105</f>
        <v>0.1</v>
      </c>
      <c r="W105" s="36">
        <f t="shared" ref="W105:W163" si="62">D105/B105+F105/B105+H105/B105+J105/B105</f>
        <v>0.6</v>
      </c>
      <c r="X105" s="56">
        <f t="shared" si="56"/>
        <v>0.1</v>
      </c>
    </row>
    <row r="106" spans="1:24">
      <c r="A106" s="26" t="s">
        <v>1361</v>
      </c>
      <c r="B106" s="27">
        <v>10</v>
      </c>
      <c r="C106" s="27" t="s">
        <v>73</v>
      </c>
      <c r="D106" s="27">
        <v>2</v>
      </c>
      <c r="E106" s="27" t="s">
        <v>1594</v>
      </c>
      <c r="F106" s="27">
        <v>1</v>
      </c>
      <c r="G106" s="27"/>
      <c r="H106" s="27"/>
      <c r="I106" s="27"/>
      <c r="J106" s="27"/>
      <c r="K106" s="24">
        <f t="shared" si="57"/>
        <v>1.2857142857142858</v>
      </c>
      <c r="L106" s="24">
        <f t="shared" ref="L106:L164" si="63">IFERROR(D106*K106,"")</f>
        <v>2.5714285714285716</v>
      </c>
      <c r="M106" s="24">
        <f t="shared" si="58"/>
        <v>2.5</v>
      </c>
      <c r="N106" s="24">
        <f t="shared" ref="N106:N164" si="64">IFERROR(F106*M106,"")</f>
        <v>2.5</v>
      </c>
      <c r="O106" s="24" t="str">
        <f t="shared" si="59"/>
        <v/>
      </c>
      <c r="P106" s="24" t="str">
        <f t="shared" si="46"/>
        <v/>
      </c>
      <c r="Q106" s="24" t="str">
        <f t="shared" si="60"/>
        <v/>
      </c>
      <c r="R106" s="24" t="str">
        <f t="shared" ref="R106:R164" si="65">IFERROR(J106*Q106,"")</f>
        <v/>
      </c>
      <c r="S106" s="108">
        <f t="shared" si="49"/>
        <v>1</v>
      </c>
      <c r="T106" s="28">
        <f t="shared" ref="T106:T164" si="66">IFERROR(SUM(L106,N106,P106,R106,S106),"")</f>
        <v>6.0714285714285712</v>
      </c>
      <c r="U106" s="28">
        <f t="shared" si="55"/>
        <v>6.0714285714285712</v>
      </c>
      <c r="V106" s="36">
        <f t="shared" si="61"/>
        <v>0.6071428571428571</v>
      </c>
      <c r="W106" s="36">
        <f t="shared" si="62"/>
        <v>0.30000000000000004</v>
      </c>
      <c r="X106" s="56">
        <f t="shared" si="56"/>
        <v>0.7</v>
      </c>
    </row>
    <row r="107" spans="1:24">
      <c r="A107" s="26" t="s">
        <v>1600</v>
      </c>
      <c r="B107" s="27">
        <v>10</v>
      </c>
      <c r="C107" s="27" t="s">
        <v>1009</v>
      </c>
      <c r="D107" s="27">
        <v>0.2</v>
      </c>
      <c r="E107" s="27" t="s">
        <v>1601</v>
      </c>
      <c r="F107" s="27">
        <v>0.1</v>
      </c>
      <c r="G107" s="27"/>
      <c r="H107" s="27"/>
      <c r="I107" s="27"/>
      <c r="J107" s="27"/>
      <c r="K107" s="24">
        <f t="shared" si="57"/>
        <v>61.428571428571431</v>
      </c>
      <c r="L107" s="24">
        <f t="shared" si="63"/>
        <v>12.285714285714286</v>
      </c>
      <c r="M107" s="24">
        <f t="shared" si="58"/>
        <v>2.2352941176470589</v>
      </c>
      <c r="N107" s="24">
        <f t="shared" si="64"/>
        <v>0.22352941176470589</v>
      </c>
      <c r="O107" s="24" t="str">
        <f t="shared" si="59"/>
        <v/>
      </c>
      <c r="P107" s="24" t="str">
        <f t="shared" ref="P107:P165" si="67">IFERROR(H107*O107,"")</f>
        <v/>
      </c>
      <c r="Q107" s="24" t="str">
        <f t="shared" si="60"/>
        <v/>
      </c>
      <c r="R107" s="24" t="str">
        <f t="shared" si="65"/>
        <v/>
      </c>
      <c r="S107" s="108">
        <f t="shared" si="49"/>
        <v>1</v>
      </c>
      <c r="T107" s="28">
        <f t="shared" si="66"/>
        <v>13.509243697478992</v>
      </c>
      <c r="U107" s="28">
        <f t="shared" si="55"/>
        <v>13.509243697478992</v>
      </c>
      <c r="V107" s="36">
        <f t="shared" si="61"/>
        <v>1.3509243697478992</v>
      </c>
      <c r="W107" s="36">
        <f t="shared" si="62"/>
        <v>0.03</v>
      </c>
      <c r="X107" s="56">
        <f t="shared" si="56"/>
        <v>1.4000000000000001</v>
      </c>
    </row>
    <row r="108" spans="1:24">
      <c r="A108" s="26" t="s">
        <v>1363</v>
      </c>
      <c r="B108" s="27">
        <v>10</v>
      </c>
      <c r="C108" s="27" t="s">
        <v>1607</v>
      </c>
      <c r="D108" s="27">
        <v>2</v>
      </c>
      <c r="E108" s="27" t="s">
        <v>2171</v>
      </c>
      <c r="F108" s="27">
        <v>4</v>
      </c>
      <c r="G108" s="27" t="s">
        <v>1608</v>
      </c>
      <c r="H108" s="27">
        <v>0.3</v>
      </c>
      <c r="I108" s="27"/>
      <c r="J108" s="27"/>
      <c r="K108" s="24">
        <f t="shared" si="57"/>
        <v>9.4117647058823533</v>
      </c>
      <c r="L108" s="24">
        <f t="shared" si="63"/>
        <v>18.823529411764707</v>
      </c>
      <c r="M108" s="24">
        <f t="shared" si="58"/>
        <v>4.5333333333333332</v>
      </c>
      <c r="N108" s="24">
        <f t="shared" si="64"/>
        <v>18.133333333333333</v>
      </c>
      <c r="O108" s="24">
        <f t="shared" si="59"/>
        <v>2.2352941176470589</v>
      </c>
      <c r="P108" s="24">
        <f t="shared" si="67"/>
        <v>0.6705882352941176</v>
      </c>
      <c r="Q108" s="24" t="str">
        <f t="shared" si="60"/>
        <v/>
      </c>
      <c r="R108" s="24" t="str">
        <f t="shared" si="65"/>
        <v/>
      </c>
      <c r="S108" s="108">
        <f t="shared" si="49"/>
        <v>1</v>
      </c>
      <c r="T108" s="28">
        <f t="shared" si="66"/>
        <v>38.627450980392155</v>
      </c>
      <c r="U108" s="28">
        <f t="shared" si="55"/>
        <v>38.627450980392155</v>
      </c>
      <c r="V108" s="36">
        <f t="shared" si="61"/>
        <v>3.8627450980392153</v>
      </c>
      <c r="W108" s="36">
        <f t="shared" si="62"/>
        <v>0.63000000000000012</v>
      </c>
      <c r="X108" s="56">
        <f t="shared" si="56"/>
        <v>3.9</v>
      </c>
    </row>
    <row r="109" spans="1:24">
      <c r="A109" s="26" t="s">
        <v>1364</v>
      </c>
      <c r="B109" s="27">
        <v>10</v>
      </c>
      <c r="C109" s="27" t="s">
        <v>1609</v>
      </c>
      <c r="D109" s="27">
        <v>6</v>
      </c>
      <c r="E109" s="27"/>
      <c r="F109" s="27"/>
      <c r="G109" s="27"/>
      <c r="H109" s="27"/>
      <c r="I109" s="27"/>
      <c r="J109" s="27"/>
      <c r="K109" s="24">
        <f t="shared" si="57"/>
        <v>7</v>
      </c>
      <c r="L109" s="24">
        <f t="shared" si="63"/>
        <v>42</v>
      </c>
      <c r="M109" s="178" t="str">
        <f t="shared" si="58"/>
        <v/>
      </c>
      <c r="N109" s="24" t="str">
        <f t="shared" si="64"/>
        <v/>
      </c>
      <c r="O109" s="24" t="str">
        <f t="shared" si="59"/>
        <v/>
      </c>
      <c r="P109" s="24" t="str">
        <f t="shared" si="67"/>
        <v/>
      </c>
      <c r="Q109" s="24" t="str">
        <f t="shared" si="60"/>
        <v/>
      </c>
      <c r="R109" s="24" t="str">
        <f t="shared" si="65"/>
        <v/>
      </c>
      <c r="S109" s="108">
        <f t="shared" si="49"/>
        <v>1</v>
      </c>
      <c r="T109" s="28">
        <f t="shared" si="66"/>
        <v>43</v>
      </c>
      <c r="U109" s="28">
        <f t="shared" si="55"/>
        <v>43</v>
      </c>
      <c r="V109" s="36">
        <f t="shared" si="61"/>
        <v>4.3</v>
      </c>
      <c r="W109" s="36">
        <f t="shared" si="62"/>
        <v>0.6</v>
      </c>
      <c r="X109" s="56">
        <f t="shared" si="56"/>
        <v>4.3</v>
      </c>
    </row>
    <row r="110" spans="1:24">
      <c r="A110" s="26" t="s">
        <v>1366</v>
      </c>
      <c r="B110" s="27">
        <v>10</v>
      </c>
      <c r="C110" s="27" t="s">
        <v>1610</v>
      </c>
      <c r="D110" s="27">
        <v>7</v>
      </c>
      <c r="E110" s="27"/>
      <c r="F110" s="27"/>
      <c r="G110" s="27"/>
      <c r="H110" s="27"/>
      <c r="I110" s="27"/>
      <c r="J110" s="27"/>
      <c r="K110" s="24">
        <f t="shared" si="57"/>
        <v>1.5294117647058825</v>
      </c>
      <c r="L110" s="24">
        <f t="shared" si="63"/>
        <v>10.705882352941178</v>
      </c>
      <c r="M110" s="178" t="str">
        <f t="shared" si="58"/>
        <v/>
      </c>
      <c r="N110" s="24" t="str">
        <f t="shared" si="64"/>
        <v/>
      </c>
      <c r="O110" s="24" t="str">
        <f t="shared" si="59"/>
        <v/>
      </c>
      <c r="P110" s="24" t="str">
        <f t="shared" si="67"/>
        <v/>
      </c>
      <c r="Q110" s="24" t="str">
        <f t="shared" si="60"/>
        <v/>
      </c>
      <c r="R110" s="24" t="str">
        <f t="shared" si="65"/>
        <v/>
      </c>
      <c r="S110" s="108">
        <f>B110*0.2</f>
        <v>2</v>
      </c>
      <c r="T110" s="28">
        <f t="shared" si="66"/>
        <v>12.705882352941178</v>
      </c>
      <c r="U110" s="28">
        <f t="shared" si="55"/>
        <v>12.705882352941178</v>
      </c>
      <c r="V110" s="36">
        <f t="shared" si="61"/>
        <v>1.2705882352941178</v>
      </c>
      <c r="W110" s="36">
        <f t="shared" si="62"/>
        <v>0.7</v>
      </c>
      <c r="X110" s="56">
        <f t="shared" si="56"/>
        <v>1.3</v>
      </c>
    </row>
    <row r="111" spans="1:24">
      <c r="A111" s="26" t="s">
        <v>1345</v>
      </c>
      <c r="B111" s="27">
        <v>10</v>
      </c>
      <c r="C111" s="27" t="s">
        <v>1612</v>
      </c>
      <c r="D111" s="27">
        <v>6</v>
      </c>
      <c r="E111" s="27" t="s">
        <v>1608</v>
      </c>
      <c r="F111" s="27">
        <v>0.5</v>
      </c>
      <c r="G111" s="27"/>
      <c r="H111" s="27"/>
      <c r="I111" s="27"/>
      <c r="J111" s="27"/>
      <c r="K111" s="24">
        <f t="shared" si="57"/>
        <v>1.1764705882352942</v>
      </c>
      <c r="L111" s="24">
        <f t="shared" si="63"/>
        <v>7.0588235294117645</v>
      </c>
      <c r="M111" s="24">
        <f t="shared" si="58"/>
        <v>2.2352941176470589</v>
      </c>
      <c r="N111" s="24">
        <f t="shared" si="64"/>
        <v>1.1176470588235294</v>
      </c>
      <c r="O111" s="24" t="str">
        <f t="shared" si="59"/>
        <v/>
      </c>
      <c r="P111" s="24" t="str">
        <f t="shared" si="67"/>
        <v/>
      </c>
      <c r="Q111" s="24" t="str">
        <f t="shared" si="60"/>
        <v/>
      </c>
      <c r="R111" s="24" t="str">
        <f t="shared" si="65"/>
        <v/>
      </c>
      <c r="S111" s="108">
        <f t="shared" si="49"/>
        <v>1</v>
      </c>
      <c r="T111" s="28">
        <f t="shared" si="66"/>
        <v>9.1764705882352935</v>
      </c>
      <c r="U111" s="28">
        <f t="shared" si="55"/>
        <v>9.1764705882352935</v>
      </c>
      <c r="V111" s="36">
        <f t="shared" si="61"/>
        <v>0.91764705882352937</v>
      </c>
      <c r="W111" s="36">
        <f t="shared" si="62"/>
        <v>0.65</v>
      </c>
      <c r="X111" s="56">
        <f t="shared" si="56"/>
        <v>1</v>
      </c>
    </row>
    <row r="112" spans="1:24" ht="28.5">
      <c r="A112" s="26" t="s">
        <v>1617</v>
      </c>
      <c r="B112" s="27">
        <v>10</v>
      </c>
      <c r="C112" s="27" t="s">
        <v>1620</v>
      </c>
      <c r="D112" s="27">
        <v>0.5</v>
      </c>
      <c r="E112" s="27" t="s">
        <v>1621</v>
      </c>
      <c r="F112" s="27">
        <v>0.5</v>
      </c>
      <c r="G112" s="27" t="s">
        <v>1622</v>
      </c>
      <c r="H112" s="27">
        <v>1</v>
      </c>
      <c r="I112" s="27"/>
      <c r="J112" s="27"/>
      <c r="K112" s="24">
        <f t="shared" si="57"/>
        <v>7</v>
      </c>
      <c r="L112" s="24">
        <f t="shared" si="63"/>
        <v>3.5</v>
      </c>
      <c r="M112" s="24">
        <f t="shared" si="58"/>
        <v>1.6470588235294117</v>
      </c>
      <c r="N112" s="24">
        <f t="shared" si="64"/>
        <v>0.82352941176470584</v>
      </c>
      <c r="O112" s="24">
        <f t="shared" si="59"/>
        <v>1.1176470588235294</v>
      </c>
      <c r="P112" s="24">
        <f t="shared" si="67"/>
        <v>1.1176470588235294</v>
      </c>
      <c r="Q112" s="24" t="str">
        <f t="shared" si="60"/>
        <v/>
      </c>
      <c r="R112" s="24" t="str">
        <f t="shared" si="65"/>
        <v/>
      </c>
      <c r="S112" s="108">
        <f t="shared" si="49"/>
        <v>1</v>
      </c>
      <c r="T112" s="28">
        <f t="shared" si="66"/>
        <v>6.4411764705882355</v>
      </c>
      <c r="U112" s="28">
        <f t="shared" si="55"/>
        <v>6.4411764705882355</v>
      </c>
      <c r="V112" s="36">
        <f t="shared" si="61"/>
        <v>0.64411764705882357</v>
      </c>
      <c r="W112" s="36">
        <f t="shared" si="62"/>
        <v>0.2</v>
      </c>
      <c r="X112" s="56">
        <f t="shared" si="56"/>
        <v>0.7</v>
      </c>
    </row>
    <row r="113" spans="1:24">
      <c r="A113" s="26" t="s">
        <v>1618</v>
      </c>
      <c r="B113" s="27">
        <v>10</v>
      </c>
      <c r="C113" s="27" t="s">
        <v>1623</v>
      </c>
      <c r="D113" s="27">
        <v>3</v>
      </c>
      <c r="E113" s="27" t="s">
        <v>1608</v>
      </c>
      <c r="F113" s="27">
        <v>0.2</v>
      </c>
      <c r="G113" s="27"/>
      <c r="H113" s="27"/>
      <c r="I113" s="27"/>
      <c r="J113" s="27"/>
      <c r="K113" s="24">
        <f t="shared" si="57"/>
        <v>1.1764705882352942</v>
      </c>
      <c r="L113" s="24">
        <f t="shared" si="63"/>
        <v>3.5294117647058822</v>
      </c>
      <c r="M113" s="24">
        <f t="shared" si="58"/>
        <v>2.2352941176470589</v>
      </c>
      <c r="N113" s="24">
        <f t="shared" si="64"/>
        <v>0.44705882352941179</v>
      </c>
      <c r="O113" s="24" t="str">
        <f t="shared" si="59"/>
        <v/>
      </c>
      <c r="P113" s="24" t="str">
        <f t="shared" si="67"/>
        <v/>
      </c>
      <c r="Q113" s="24" t="str">
        <f t="shared" si="60"/>
        <v/>
      </c>
      <c r="R113" s="24" t="str">
        <f t="shared" si="65"/>
        <v/>
      </c>
      <c r="S113" s="108">
        <f t="shared" si="49"/>
        <v>1</v>
      </c>
      <c r="T113" s="28">
        <f t="shared" si="66"/>
        <v>4.9764705882352942</v>
      </c>
      <c r="U113" s="28">
        <f t="shared" si="55"/>
        <v>4.9764705882352942</v>
      </c>
      <c r="V113" s="36">
        <f t="shared" si="61"/>
        <v>0.49764705882352944</v>
      </c>
      <c r="W113" s="36">
        <f t="shared" si="62"/>
        <v>0.32</v>
      </c>
      <c r="X113" s="56">
        <f t="shared" si="56"/>
        <v>0.5</v>
      </c>
    </row>
    <row r="114" spans="1:24">
      <c r="A114" s="26" t="s">
        <v>1619</v>
      </c>
      <c r="B114" s="27">
        <v>10</v>
      </c>
      <c r="C114" s="27" t="s">
        <v>337</v>
      </c>
      <c r="D114" s="27">
        <v>1</v>
      </c>
      <c r="E114" s="27" t="s">
        <v>1624</v>
      </c>
      <c r="F114" s="27">
        <v>0.3</v>
      </c>
      <c r="G114" s="27" t="s">
        <v>1622</v>
      </c>
      <c r="H114" s="27">
        <v>0.7</v>
      </c>
      <c r="I114" s="27"/>
      <c r="J114" s="27"/>
      <c r="K114" s="24" t="e">
        <f t="shared" si="57"/>
        <v>#N/A</v>
      </c>
      <c r="L114" s="24" t="str">
        <f t="shared" si="63"/>
        <v/>
      </c>
      <c r="M114" s="24">
        <f t="shared" si="58"/>
        <v>2.1176470588235294</v>
      </c>
      <c r="N114" s="24">
        <f t="shared" si="64"/>
        <v>0.63529411764705879</v>
      </c>
      <c r="O114" s="24">
        <f t="shared" si="59"/>
        <v>1.1176470588235294</v>
      </c>
      <c r="P114" s="24">
        <f t="shared" si="67"/>
        <v>0.78235294117647058</v>
      </c>
      <c r="Q114" s="24" t="str">
        <f t="shared" si="60"/>
        <v/>
      </c>
      <c r="R114" s="24" t="str">
        <f t="shared" si="65"/>
        <v/>
      </c>
      <c r="S114" s="108">
        <f t="shared" si="49"/>
        <v>1</v>
      </c>
      <c r="T114" s="28">
        <f t="shared" si="66"/>
        <v>2.4176470588235293</v>
      </c>
      <c r="U114" s="28">
        <f t="shared" si="55"/>
        <v>2.4176470588235293</v>
      </c>
      <c r="V114" s="36">
        <f t="shared" si="61"/>
        <v>0.24176470588235294</v>
      </c>
      <c r="W114" s="36">
        <f t="shared" si="62"/>
        <v>0.2</v>
      </c>
      <c r="X114" s="56">
        <f t="shared" si="56"/>
        <v>0.30000000000000004</v>
      </c>
    </row>
    <row r="115" spans="1:24">
      <c r="A115" s="26" t="s">
        <v>1365</v>
      </c>
      <c r="B115" s="27">
        <v>10</v>
      </c>
      <c r="C115" s="27" t="s">
        <v>1520</v>
      </c>
      <c r="D115" s="27">
        <v>15</v>
      </c>
      <c r="E115" s="27" t="s">
        <v>1631</v>
      </c>
      <c r="F115" s="27">
        <v>0.5</v>
      </c>
      <c r="G115" s="27"/>
      <c r="H115" s="27"/>
      <c r="I115" s="27"/>
      <c r="J115" s="27"/>
      <c r="K115" s="24">
        <f t="shared" si="57"/>
        <v>2.15</v>
      </c>
      <c r="L115" s="24">
        <f t="shared" si="63"/>
        <v>32.25</v>
      </c>
      <c r="M115" s="24">
        <f t="shared" si="58"/>
        <v>17.647058823529413</v>
      </c>
      <c r="N115" s="24">
        <f t="shared" si="64"/>
        <v>8.8235294117647065</v>
      </c>
      <c r="O115" s="24" t="str">
        <f t="shared" si="59"/>
        <v/>
      </c>
      <c r="P115" s="24" t="str">
        <f t="shared" si="67"/>
        <v/>
      </c>
      <c r="Q115" s="24" t="str">
        <f t="shared" si="60"/>
        <v/>
      </c>
      <c r="R115" s="24" t="str">
        <f t="shared" si="65"/>
        <v/>
      </c>
      <c r="S115" s="108">
        <f t="shared" si="49"/>
        <v>1</v>
      </c>
      <c r="T115" s="28">
        <f t="shared" si="66"/>
        <v>42.07352941176471</v>
      </c>
      <c r="U115" s="28">
        <f t="shared" si="55"/>
        <v>42.07352941176471</v>
      </c>
      <c r="V115" s="36">
        <f t="shared" si="61"/>
        <v>4.2073529411764712</v>
      </c>
      <c r="W115" s="36">
        <f t="shared" si="62"/>
        <v>1.55</v>
      </c>
      <c r="X115" s="56">
        <f t="shared" si="56"/>
        <v>4.3</v>
      </c>
    </row>
    <row r="116" spans="1:24">
      <c r="A116" s="26" t="s">
        <v>1632</v>
      </c>
      <c r="B116" s="27">
        <v>10</v>
      </c>
      <c r="C116" s="27" t="s">
        <v>1621</v>
      </c>
      <c r="D116" s="27">
        <v>3</v>
      </c>
      <c r="E116" s="27"/>
      <c r="F116" s="27"/>
      <c r="G116" s="27"/>
      <c r="H116" s="27"/>
      <c r="I116" s="27"/>
      <c r="J116" s="27"/>
      <c r="K116" s="24">
        <f t="shared" si="57"/>
        <v>1.6470588235294117</v>
      </c>
      <c r="L116" s="24">
        <f t="shared" si="63"/>
        <v>4.9411764705882355</v>
      </c>
      <c r="M116" s="24" t="str">
        <f t="shared" si="58"/>
        <v/>
      </c>
      <c r="N116" s="24" t="str">
        <f t="shared" si="64"/>
        <v/>
      </c>
      <c r="O116" s="24" t="str">
        <f t="shared" si="59"/>
        <v/>
      </c>
      <c r="P116" s="24" t="str">
        <f t="shared" si="67"/>
        <v/>
      </c>
      <c r="Q116" s="24" t="str">
        <f t="shared" si="60"/>
        <v/>
      </c>
      <c r="R116" s="24" t="str">
        <f t="shared" si="65"/>
        <v/>
      </c>
      <c r="S116" s="108">
        <f t="shared" si="49"/>
        <v>1</v>
      </c>
      <c r="T116" s="28">
        <f t="shared" si="66"/>
        <v>5.9411764705882355</v>
      </c>
      <c r="U116" s="28">
        <f t="shared" si="55"/>
        <v>5.9411764705882355</v>
      </c>
      <c r="V116" s="36">
        <f t="shared" si="61"/>
        <v>0.59411764705882353</v>
      </c>
      <c r="W116" s="36">
        <f t="shared" si="62"/>
        <v>0.3</v>
      </c>
      <c r="X116" s="56">
        <f t="shared" si="56"/>
        <v>0.6</v>
      </c>
    </row>
    <row r="117" spans="1:24">
      <c r="A117" s="26" t="s">
        <v>1633</v>
      </c>
      <c r="B117" s="27">
        <v>10</v>
      </c>
      <c r="C117" s="27" t="s">
        <v>1649</v>
      </c>
      <c r="D117" s="27">
        <v>2.5</v>
      </c>
      <c r="E117" s="27"/>
      <c r="F117" s="27"/>
      <c r="G117" s="27"/>
      <c r="H117" s="27"/>
      <c r="I117" s="27"/>
      <c r="J117" s="27"/>
      <c r="K117" s="24">
        <f t="shared" si="57"/>
        <v>1.7647058823529411</v>
      </c>
      <c r="L117" s="24">
        <f t="shared" si="63"/>
        <v>4.4117647058823533</v>
      </c>
      <c r="M117" s="24" t="str">
        <f t="shared" si="58"/>
        <v/>
      </c>
      <c r="N117" s="24" t="str">
        <f t="shared" si="64"/>
        <v/>
      </c>
      <c r="O117" s="24" t="str">
        <f t="shared" si="59"/>
        <v/>
      </c>
      <c r="P117" s="24" t="str">
        <f t="shared" si="67"/>
        <v/>
      </c>
      <c r="Q117" s="24" t="str">
        <f t="shared" si="60"/>
        <v/>
      </c>
      <c r="R117" s="24" t="str">
        <f t="shared" si="65"/>
        <v/>
      </c>
      <c r="S117" s="108">
        <f t="shared" si="49"/>
        <v>1</v>
      </c>
      <c r="T117" s="28">
        <f t="shared" si="66"/>
        <v>5.4117647058823533</v>
      </c>
      <c r="U117" s="28">
        <f t="shared" si="55"/>
        <v>5.4117647058823533</v>
      </c>
      <c r="V117" s="36">
        <f t="shared" si="61"/>
        <v>0.54117647058823537</v>
      </c>
      <c r="W117" s="36">
        <f t="shared" si="62"/>
        <v>0.25</v>
      </c>
      <c r="X117" s="56">
        <f t="shared" si="56"/>
        <v>0.6</v>
      </c>
    </row>
    <row r="118" spans="1:24" ht="28.5">
      <c r="A118" s="26" t="s">
        <v>1634</v>
      </c>
      <c r="B118" s="27">
        <v>10</v>
      </c>
      <c r="C118" s="27" t="s">
        <v>1650</v>
      </c>
      <c r="D118" s="27">
        <v>2</v>
      </c>
      <c r="E118" s="27"/>
      <c r="F118" s="27"/>
      <c r="G118" s="27"/>
      <c r="H118" s="27"/>
      <c r="I118" s="27"/>
      <c r="J118" s="27"/>
      <c r="K118" s="24">
        <f t="shared" si="57"/>
        <v>0.94117647058823539</v>
      </c>
      <c r="L118" s="24">
        <f t="shared" si="63"/>
        <v>1.8823529411764708</v>
      </c>
      <c r="M118" s="24" t="str">
        <f t="shared" si="58"/>
        <v/>
      </c>
      <c r="N118" s="24" t="str">
        <f t="shared" si="64"/>
        <v/>
      </c>
      <c r="O118" s="24" t="str">
        <f t="shared" si="59"/>
        <v/>
      </c>
      <c r="P118" s="24" t="str">
        <f t="shared" si="67"/>
        <v/>
      </c>
      <c r="Q118" s="24" t="str">
        <f t="shared" si="60"/>
        <v/>
      </c>
      <c r="R118" s="24" t="str">
        <f t="shared" si="65"/>
        <v/>
      </c>
      <c r="S118" s="108">
        <f>B118*0.3</f>
        <v>3</v>
      </c>
      <c r="T118" s="28">
        <f t="shared" si="66"/>
        <v>4.882352941176471</v>
      </c>
      <c r="U118" s="28">
        <f t="shared" si="55"/>
        <v>4.882352941176471</v>
      </c>
      <c r="V118" s="36">
        <f t="shared" si="61"/>
        <v>0.4882352941176471</v>
      </c>
      <c r="W118" s="36">
        <f t="shared" si="62"/>
        <v>0.2</v>
      </c>
      <c r="X118" s="56">
        <f t="shared" si="56"/>
        <v>0.5</v>
      </c>
    </row>
    <row r="119" spans="1:24">
      <c r="A119" s="26" t="s">
        <v>1635</v>
      </c>
      <c r="B119" s="27">
        <v>10</v>
      </c>
      <c r="C119" s="27" t="s">
        <v>1651</v>
      </c>
      <c r="D119" s="27">
        <v>2</v>
      </c>
      <c r="E119" s="27"/>
      <c r="F119" s="27"/>
      <c r="G119" s="27"/>
      <c r="H119" s="27"/>
      <c r="I119" s="27"/>
      <c r="J119" s="27"/>
      <c r="K119" s="24">
        <f t="shared" si="57"/>
        <v>3.2941176470588234</v>
      </c>
      <c r="L119" s="24">
        <f t="shared" si="63"/>
        <v>6.5882352941176467</v>
      </c>
      <c r="M119" s="24" t="str">
        <f t="shared" si="58"/>
        <v/>
      </c>
      <c r="N119" s="24" t="str">
        <f t="shared" si="64"/>
        <v/>
      </c>
      <c r="O119" s="24" t="str">
        <f t="shared" si="59"/>
        <v/>
      </c>
      <c r="P119" s="24" t="str">
        <f t="shared" si="67"/>
        <v/>
      </c>
      <c r="Q119" s="24" t="str">
        <f t="shared" si="60"/>
        <v/>
      </c>
      <c r="R119" s="24" t="str">
        <f t="shared" si="65"/>
        <v/>
      </c>
      <c r="S119" s="108">
        <f t="shared" si="49"/>
        <v>1</v>
      </c>
      <c r="T119" s="28">
        <f t="shared" si="66"/>
        <v>7.5882352941176467</v>
      </c>
      <c r="U119" s="28">
        <f t="shared" si="55"/>
        <v>7.5882352941176467</v>
      </c>
      <c r="V119" s="36">
        <f t="shared" si="61"/>
        <v>0.75882352941176467</v>
      </c>
      <c r="W119" s="36">
        <f t="shared" si="62"/>
        <v>0.2</v>
      </c>
      <c r="X119" s="56">
        <f t="shared" si="56"/>
        <v>0.79999999999999993</v>
      </c>
    </row>
    <row r="120" spans="1:24">
      <c r="A120" s="26" t="s">
        <v>1636</v>
      </c>
      <c r="B120" s="27">
        <v>10</v>
      </c>
      <c r="C120" s="27" t="s">
        <v>1652</v>
      </c>
      <c r="D120" s="27">
        <v>2</v>
      </c>
      <c r="E120" s="27" t="s">
        <v>1009</v>
      </c>
      <c r="F120" s="27">
        <v>0.05</v>
      </c>
      <c r="G120" s="27"/>
      <c r="H120" s="27"/>
      <c r="I120" s="27"/>
      <c r="J120" s="27"/>
      <c r="K120" s="24">
        <f t="shared" si="57"/>
        <v>0.94117647058823539</v>
      </c>
      <c r="L120" s="24">
        <f t="shared" si="63"/>
        <v>1.8823529411764708</v>
      </c>
      <c r="M120" s="24">
        <f t="shared" si="58"/>
        <v>61.428571428571431</v>
      </c>
      <c r="N120" s="24">
        <f t="shared" si="64"/>
        <v>3.0714285714285716</v>
      </c>
      <c r="O120" s="24" t="str">
        <f t="shared" si="59"/>
        <v/>
      </c>
      <c r="P120" s="24" t="str">
        <f t="shared" si="67"/>
        <v/>
      </c>
      <c r="Q120" s="24" t="str">
        <f t="shared" si="60"/>
        <v/>
      </c>
      <c r="R120" s="24" t="str">
        <f t="shared" si="65"/>
        <v/>
      </c>
      <c r="S120" s="108">
        <f t="shared" ref="S120:S181" si="68">B120*0.1</f>
        <v>1</v>
      </c>
      <c r="T120" s="28">
        <f t="shared" si="66"/>
        <v>5.9537815126050422</v>
      </c>
      <c r="U120" s="28">
        <f t="shared" si="55"/>
        <v>5.9537815126050422</v>
      </c>
      <c r="V120" s="36">
        <f t="shared" si="61"/>
        <v>0.5953781512605042</v>
      </c>
      <c r="W120" s="36">
        <f t="shared" si="62"/>
        <v>0.20500000000000002</v>
      </c>
      <c r="X120" s="56">
        <f t="shared" si="56"/>
        <v>0.6</v>
      </c>
    </row>
    <row r="121" spans="1:24" ht="28.5">
      <c r="A121" s="26" t="s">
        <v>1637</v>
      </c>
      <c r="B121" s="27">
        <v>10</v>
      </c>
      <c r="C121" s="27" t="s">
        <v>1653</v>
      </c>
      <c r="D121" s="27">
        <v>3</v>
      </c>
      <c r="E121" s="27" t="s">
        <v>1654</v>
      </c>
      <c r="F121" s="27">
        <v>0.5</v>
      </c>
      <c r="G121" s="27"/>
      <c r="H121" s="27"/>
      <c r="I121" s="27"/>
      <c r="J121" s="27"/>
      <c r="K121" s="24" t="e">
        <f t="shared" si="57"/>
        <v>#N/A</v>
      </c>
      <c r="L121" s="24" t="str">
        <f t="shared" si="63"/>
        <v/>
      </c>
      <c r="M121" s="24">
        <f t="shared" si="58"/>
        <v>1.6470588235294117</v>
      </c>
      <c r="N121" s="24">
        <f t="shared" si="64"/>
        <v>0.82352941176470584</v>
      </c>
      <c r="O121" s="24" t="str">
        <f t="shared" si="59"/>
        <v/>
      </c>
      <c r="P121" s="24" t="str">
        <f t="shared" si="67"/>
        <v/>
      </c>
      <c r="Q121" s="24" t="str">
        <f t="shared" si="60"/>
        <v/>
      </c>
      <c r="R121" s="24" t="str">
        <f t="shared" si="65"/>
        <v/>
      </c>
      <c r="S121" s="108">
        <f t="shared" si="68"/>
        <v>1</v>
      </c>
      <c r="T121" s="28">
        <f t="shared" si="66"/>
        <v>1.8235294117647058</v>
      </c>
      <c r="U121" s="28">
        <f t="shared" si="55"/>
        <v>1.8235294117647058</v>
      </c>
      <c r="V121" s="36">
        <f t="shared" si="61"/>
        <v>0.18235294117647058</v>
      </c>
      <c r="W121" s="36">
        <f t="shared" si="62"/>
        <v>0.35</v>
      </c>
      <c r="X121" s="56">
        <f t="shared" si="56"/>
        <v>0.2</v>
      </c>
    </row>
    <row r="122" spans="1:24">
      <c r="A122" s="26" t="s">
        <v>1638</v>
      </c>
      <c r="B122" s="27">
        <v>10</v>
      </c>
      <c r="C122" s="27" t="s">
        <v>1652</v>
      </c>
      <c r="D122" s="27">
        <v>3</v>
      </c>
      <c r="E122" s="27"/>
      <c r="F122" s="27"/>
      <c r="G122" s="27"/>
      <c r="H122" s="27"/>
      <c r="I122" s="27"/>
      <c r="J122" s="27"/>
      <c r="K122" s="24">
        <f t="shared" si="57"/>
        <v>0.94117647058823539</v>
      </c>
      <c r="L122" s="24">
        <f t="shared" si="63"/>
        <v>2.8235294117647061</v>
      </c>
      <c r="M122" s="24" t="str">
        <f t="shared" si="58"/>
        <v/>
      </c>
      <c r="N122" s="24" t="str">
        <f t="shared" si="64"/>
        <v/>
      </c>
      <c r="O122" s="24" t="str">
        <f t="shared" si="59"/>
        <v/>
      </c>
      <c r="P122" s="24" t="str">
        <f t="shared" si="67"/>
        <v/>
      </c>
      <c r="Q122" s="24" t="str">
        <f t="shared" si="60"/>
        <v/>
      </c>
      <c r="R122" s="24" t="str">
        <f t="shared" si="65"/>
        <v/>
      </c>
      <c r="S122" s="108">
        <f>B122*0.2</f>
        <v>2</v>
      </c>
      <c r="T122" s="28">
        <f t="shared" si="66"/>
        <v>4.8235294117647065</v>
      </c>
      <c r="U122" s="28">
        <f t="shared" si="55"/>
        <v>4.8235294117647065</v>
      </c>
      <c r="V122" s="36">
        <f t="shared" si="61"/>
        <v>0.48235294117647065</v>
      </c>
      <c r="W122" s="36">
        <f t="shared" si="62"/>
        <v>0.3</v>
      </c>
      <c r="X122" s="56">
        <f t="shared" si="56"/>
        <v>0.5</v>
      </c>
    </row>
    <row r="123" spans="1:24">
      <c r="A123" s="26" t="s">
        <v>1639</v>
      </c>
      <c r="B123" s="27">
        <v>10</v>
      </c>
      <c r="C123" s="27" t="s">
        <v>1655</v>
      </c>
      <c r="D123" s="27">
        <v>2</v>
      </c>
      <c r="E123" s="27"/>
      <c r="F123" s="27"/>
      <c r="G123" s="27"/>
      <c r="H123" s="27"/>
      <c r="I123" s="27"/>
      <c r="J123" s="27"/>
      <c r="K123" s="24">
        <f t="shared" si="57"/>
        <v>0.88235294117647056</v>
      </c>
      <c r="L123" s="24">
        <f t="shared" si="63"/>
        <v>1.7647058823529411</v>
      </c>
      <c r="M123" s="24" t="str">
        <f t="shared" si="58"/>
        <v/>
      </c>
      <c r="N123" s="24" t="str">
        <f t="shared" si="64"/>
        <v/>
      </c>
      <c r="O123" s="24" t="str">
        <f t="shared" si="59"/>
        <v/>
      </c>
      <c r="P123" s="24" t="str">
        <f t="shared" si="67"/>
        <v/>
      </c>
      <c r="Q123" s="24" t="str">
        <f t="shared" si="60"/>
        <v/>
      </c>
      <c r="R123" s="24" t="str">
        <f t="shared" si="65"/>
        <v/>
      </c>
      <c r="S123" s="108">
        <f t="shared" si="68"/>
        <v>1</v>
      </c>
      <c r="T123" s="28">
        <f t="shared" si="66"/>
        <v>2.7647058823529411</v>
      </c>
      <c r="U123" s="28">
        <f t="shared" si="55"/>
        <v>2.7647058823529411</v>
      </c>
      <c r="V123" s="36">
        <f t="shared" si="61"/>
        <v>0.27647058823529413</v>
      </c>
      <c r="W123" s="36">
        <f t="shared" si="62"/>
        <v>0.2</v>
      </c>
      <c r="X123" s="56">
        <f t="shared" si="56"/>
        <v>0.30000000000000004</v>
      </c>
    </row>
    <row r="124" spans="1:24">
      <c r="A124" s="26" t="s">
        <v>1640</v>
      </c>
      <c r="B124" s="27">
        <v>10</v>
      </c>
      <c r="C124" s="27" t="s">
        <v>1656</v>
      </c>
      <c r="D124" s="27">
        <v>3</v>
      </c>
      <c r="E124" s="27"/>
      <c r="F124" s="27"/>
      <c r="G124" s="27"/>
      <c r="H124" s="27"/>
      <c r="I124" s="27"/>
      <c r="J124" s="27"/>
      <c r="K124" s="24">
        <f t="shared" si="57"/>
        <v>1.2941176470588236</v>
      </c>
      <c r="L124" s="24">
        <f t="shared" si="63"/>
        <v>3.882352941176471</v>
      </c>
      <c r="M124" s="24" t="str">
        <f t="shared" si="58"/>
        <v/>
      </c>
      <c r="N124" s="24" t="str">
        <f t="shared" si="64"/>
        <v/>
      </c>
      <c r="O124" s="24" t="str">
        <f t="shared" si="59"/>
        <v/>
      </c>
      <c r="P124" s="24" t="str">
        <f t="shared" si="67"/>
        <v/>
      </c>
      <c r="Q124" s="24" t="str">
        <f t="shared" si="60"/>
        <v/>
      </c>
      <c r="R124" s="24" t="str">
        <f t="shared" si="65"/>
        <v/>
      </c>
      <c r="S124" s="108">
        <f t="shared" si="68"/>
        <v>1</v>
      </c>
      <c r="T124" s="28">
        <f t="shared" si="66"/>
        <v>4.882352941176471</v>
      </c>
      <c r="U124" s="28">
        <f t="shared" si="55"/>
        <v>4.882352941176471</v>
      </c>
      <c r="V124" s="36">
        <f t="shared" si="61"/>
        <v>0.4882352941176471</v>
      </c>
      <c r="W124" s="36">
        <f t="shared" si="62"/>
        <v>0.3</v>
      </c>
      <c r="X124" s="56">
        <f t="shared" si="56"/>
        <v>0.5</v>
      </c>
    </row>
    <row r="125" spans="1:24">
      <c r="A125" s="26" t="s">
        <v>1641</v>
      </c>
      <c r="B125" s="27">
        <v>10</v>
      </c>
      <c r="C125" s="27" t="s">
        <v>1657</v>
      </c>
      <c r="D125" s="27">
        <v>3</v>
      </c>
      <c r="E125" s="27"/>
      <c r="F125" s="27"/>
      <c r="G125" s="27"/>
      <c r="H125" s="27"/>
      <c r="I125" s="27"/>
      <c r="J125" s="27"/>
      <c r="K125" s="24">
        <f t="shared" si="57"/>
        <v>1</v>
      </c>
      <c r="L125" s="24">
        <f t="shared" si="63"/>
        <v>3</v>
      </c>
      <c r="M125" s="24" t="str">
        <f t="shared" si="58"/>
        <v/>
      </c>
      <c r="N125" s="24" t="str">
        <f t="shared" si="64"/>
        <v/>
      </c>
      <c r="O125" s="24" t="str">
        <f t="shared" si="59"/>
        <v/>
      </c>
      <c r="P125" s="24" t="str">
        <f t="shared" si="67"/>
        <v/>
      </c>
      <c r="Q125" s="24" t="str">
        <f t="shared" si="60"/>
        <v/>
      </c>
      <c r="R125" s="24" t="str">
        <f t="shared" si="65"/>
        <v/>
      </c>
      <c r="S125" s="108">
        <f t="shared" si="68"/>
        <v>1</v>
      </c>
      <c r="T125" s="28">
        <f t="shared" si="66"/>
        <v>4</v>
      </c>
      <c r="U125" s="28">
        <f t="shared" si="55"/>
        <v>4</v>
      </c>
      <c r="V125" s="36">
        <f t="shared" si="61"/>
        <v>0.4</v>
      </c>
      <c r="W125" s="36">
        <f t="shared" si="62"/>
        <v>0.3</v>
      </c>
      <c r="X125" s="56">
        <f t="shared" si="56"/>
        <v>0.4</v>
      </c>
    </row>
    <row r="126" spans="1:24">
      <c r="A126" s="26" t="s">
        <v>1642</v>
      </c>
      <c r="B126" s="27">
        <v>20</v>
      </c>
      <c r="C126" s="27" t="s">
        <v>1649</v>
      </c>
      <c r="D126" s="27">
        <v>5</v>
      </c>
      <c r="E126" s="27" t="s">
        <v>1292</v>
      </c>
      <c r="F126" s="27">
        <v>1</v>
      </c>
      <c r="G126" s="27"/>
      <c r="H126" s="27"/>
      <c r="I126" s="27"/>
      <c r="J126" s="27"/>
      <c r="K126" s="24">
        <f t="shared" si="57"/>
        <v>1.7647058823529411</v>
      </c>
      <c r="L126" s="24">
        <f t="shared" si="63"/>
        <v>8.8235294117647065</v>
      </c>
      <c r="M126" s="24">
        <f t="shared" si="58"/>
        <v>2.8571428571428572</v>
      </c>
      <c r="N126" s="24">
        <f t="shared" si="64"/>
        <v>2.8571428571428572</v>
      </c>
      <c r="O126" s="24" t="str">
        <f t="shared" si="59"/>
        <v/>
      </c>
      <c r="P126" s="24" t="str">
        <f t="shared" si="67"/>
        <v/>
      </c>
      <c r="Q126" s="24" t="str">
        <f t="shared" si="60"/>
        <v/>
      </c>
      <c r="R126" s="24" t="str">
        <f t="shared" si="65"/>
        <v/>
      </c>
      <c r="S126" s="108">
        <f t="shared" si="68"/>
        <v>2</v>
      </c>
      <c r="T126" s="28">
        <f t="shared" si="66"/>
        <v>13.680672268907564</v>
      </c>
      <c r="U126" s="28">
        <f t="shared" si="55"/>
        <v>13.680672268907564</v>
      </c>
      <c r="V126" s="36">
        <f t="shared" si="61"/>
        <v>0.68403361344537816</v>
      </c>
      <c r="W126" s="36">
        <f t="shared" si="62"/>
        <v>0.3</v>
      </c>
      <c r="X126" s="56">
        <f t="shared" si="56"/>
        <v>0.7</v>
      </c>
    </row>
    <row r="127" spans="1:24" ht="28.5">
      <c r="A127" s="26" t="s">
        <v>1643</v>
      </c>
      <c r="B127" s="27">
        <v>10</v>
      </c>
      <c r="C127" s="27" t="s">
        <v>1652</v>
      </c>
      <c r="D127" s="27">
        <v>3</v>
      </c>
      <c r="E127" s="27"/>
      <c r="F127" s="27"/>
      <c r="G127" s="27"/>
      <c r="H127" s="27"/>
      <c r="I127" s="27"/>
      <c r="J127" s="27"/>
      <c r="K127" s="24">
        <f t="shared" si="57"/>
        <v>0.94117647058823539</v>
      </c>
      <c r="L127" s="24">
        <f t="shared" si="63"/>
        <v>2.8235294117647061</v>
      </c>
      <c r="M127" s="24" t="str">
        <f t="shared" si="58"/>
        <v/>
      </c>
      <c r="N127" s="24" t="str">
        <f t="shared" si="64"/>
        <v/>
      </c>
      <c r="O127" s="24" t="str">
        <f t="shared" si="59"/>
        <v/>
      </c>
      <c r="P127" s="24" t="str">
        <f t="shared" si="67"/>
        <v/>
      </c>
      <c r="Q127" s="24" t="str">
        <f t="shared" si="60"/>
        <v/>
      </c>
      <c r="R127" s="24" t="str">
        <f t="shared" si="65"/>
        <v/>
      </c>
      <c r="S127" s="108">
        <f>B127*0.4</f>
        <v>4</v>
      </c>
      <c r="T127" s="28">
        <f t="shared" si="66"/>
        <v>6.8235294117647065</v>
      </c>
      <c r="U127" s="28">
        <f t="shared" si="55"/>
        <v>6.8235294117647065</v>
      </c>
      <c r="V127" s="36">
        <f t="shared" si="61"/>
        <v>0.68235294117647061</v>
      </c>
      <c r="W127" s="36">
        <f t="shared" si="62"/>
        <v>0.3</v>
      </c>
      <c r="X127" s="56">
        <f t="shared" si="56"/>
        <v>0.7</v>
      </c>
    </row>
    <row r="128" spans="1:24" ht="28.5">
      <c r="A128" s="26" t="s">
        <v>1644</v>
      </c>
      <c r="B128" s="27">
        <v>10</v>
      </c>
      <c r="C128" s="27" t="s">
        <v>2758</v>
      </c>
      <c r="D128" s="27">
        <v>3</v>
      </c>
      <c r="E128" s="27"/>
      <c r="F128" s="27"/>
      <c r="G128" s="27"/>
      <c r="H128" s="27"/>
      <c r="I128" s="27"/>
      <c r="J128" s="27"/>
      <c r="K128" s="24">
        <f t="shared" si="57"/>
        <v>1.6235294117647059</v>
      </c>
      <c r="L128" s="24">
        <f t="shared" si="63"/>
        <v>4.8705882352941181</v>
      </c>
      <c r="M128" s="24" t="str">
        <f t="shared" si="58"/>
        <v/>
      </c>
      <c r="N128" s="24" t="str">
        <f t="shared" si="64"/>
        <v/>
      </c>
      <c r="O128" s="24" t="str">
        <f t="shared" si="59"/>
        <v/>
      </c>
      <c r="P128" s="24" t="str">
        <f t="shared" si="67"/>
        <v/>
      </c>
      <c r="Q128" s="24" t="str">
        <f t="shared" si="60"/>
        <v/>
      </c>
      <c r="R128" s="24" t="str">
        <f t="shared" si="65"/>
        <v/>
      </c>
      <c r="S128" s="108">
        <f>B128*0.4</f>
        <v>4</v>
      </c>
      <c r="T128" s="28">
        <f t="shared" si="66"/>
        <v>8.8705882352941181</v>
      </c>
      <c r="U128" s="28">
        <f t="shared" si="55"/>
        <v>8.8705882352941181</v>
      </c>
      <c r="V128" s="36">
        <f t="shared" si="61"/>
        <v>0.88705882352941179</v>
      </c>
      <c r="W128" s="36">
        <f t="shared" si="62"/>
        <v>0.3</v>
      </c>
      <c r="X128" s="180">
        <f t="shared" si="56"/>
        <v>0.9</v>
      </c>
    </row>
    <row r="129" spans="1:24" ht="28.5">
      <c r="A129" s="26" t="s">
        <v>1645</v>
      </c>
      <c r="B129" s="27">
        <v>10</v>
      </c>
      <c r="C129" s="27" t="s">
        <v>1658</v>
      </c>
      <c r="D129" s="27">
        <v>1.5</v>
      </c>
      <c r="E129" s="27" t="s">
        <v>1659</v>
      </c>
      <c r="F129" s="27">
        <v>1</v>
      </c>
      <c r="G129" s="27"/>
      <c r="H129" s="27"/>
      <c r="I129" s="27"/>
      <c r="J129" s="27"/>
      <c r="K129" s="24">
        <f t="shared" si="57"/>
        <v>1.2857142857142858</v>
      </c>
      <c r="L129" s="24">
        <f t="shared" si="63"/>
        <v>1.9285714285714288</v>
      </c>
      <c r="M129" s="24">
        <f t="shared" si="58"/>
        <v>2.5</v>
      </c>
      <c r="N129" s="24">
        <f t="shared" si="64"/>
        <v>2.5</v>
      </c>
      <c r="O129" s="24" t="str">
        <f t="shared" si="59"/>
        <v/>
      </c>
      <c r="P129" s="24" t="str">
        <f t="shared" si="67"/>
        <v/>
      </c>
      <c r="Q129" s="24" t="str">
        <f t="shared" si="60"/>
        <v/>
      </c>
      <c r="R129" s="24" t="str">
        <f t="shared" si="65"/>
        <v/>
      </c>
      <c r="S129" s="108">
        <f t="shared" si="68"/>
        <v>1</v>
      </c>
      <c r="T129" s="28">
        <f t="shared" si="66"/>
        <v>5.4285714285714288</v>
      </c>
      <c r="U129" s="28">
        <f t="shared" si="55"/>
        <v>5.4285714285714288</v>
      </c>
      <c r="V129" s="36">
        <f t="shared" si="61"/>
        <v>0.54285714285714293</v>
      </c>
      <c r="W129" s="36">
        <f t="shared" si="62"/>
        <v>0.25</v>
      </c>
      <c r="X129" s="56">
        <f t="shared" si="56"/>
        <v>0.6</v>
      </c>
    </row>
    <row r="130" spans="1:24">
      <c r="A130" s="26" t="s">
        <v>1633</v>
      </c>
      <c r="B130" s="27">
        <v>10</v>
      </c>
      <c r="C130" s="27" t="s">
        <v>1649</v>
      </c>
      <c r="D130" s="27">
        <v>3</v>
      </c>
      <c r="E130" s="27"/>
      <c r="F130" s="27"/>
      <c r="G130" s="27"/>
      <c r="H130" s="27"/>
      <c r="I130" s="27"/>
      <c r="J130" s="27"/>
      <c r="K130" s="24">
        <f t="shared" si="57"/>
        <v>1.7647058823529411</v>
      </c>
      <c r="L130" s="24">
        <f t="shared" si="63"/>
        <v>5.2941176470588234</v>
      </c>
      <c r="M130" s="24" t="str">
        <f t="shared" si="58"/>
        <v/>
      </c>
      <c r="N130" s="24" t="str">
        <f t="shared" si="64"/>
        <v/>
      </c>
      <c r="O130" s="24" t="str">
        <f t="shared" si="59"/>
        <v/>
      </c>
      <c r="P130" s="24" t="str">
        <f t="shared" si="67"/>
        <v/>
      </c>
      <c r="Q130" s="24" t="str">
        <f t="shared" si="60"/>
        <v/>
      </c>
      <c r="R130" s="24" t="str">
        <f t="shared" si="65"/>
        <v/>
      </c>
      <c r="S130" s="108">
        <f t="shared" si="68"/>
        <v>1</v>
      </c>
      <c r="T130" s="28">
        <f t="shared" si="66"/>
        <v>6.2941176470588234</v>
      </c>
      <c r="U130" s="28">
        <f t="shared" si="55"/>
        <v>6.2941176470588234</v>
      </c>
      <c r="V130" s="36">
        <f t="shared" si="61"/>
        <v>0.62941176470588234</v>
      </c>
      <c r="W130" s="36">
        <f t="shared" si="62"/>
        <v>0.3</v>
      </c>
      <c r="X130" s="56">
        <f t="shared" si="56"/>
        <v>0.7</v>
      </c>
    </row>
    <row r="131" spans="1:24">
      <c r="A131" s="26" t="s">
        <v>1385</v>
      </c>
      <c r="B131" s="27">
        <v>20</v>
      </c>
      <c r="C131" s="27" t="s">
        <v>351</v>
      </c>
      <c r="D131" s="27">
        <v>1</v>
      </c>
      <c r="E131" s="27" t="s">
        <v>1608</v>
      </c>
      <c r="F131" s="27">
        <v>0.5</v>
      </c>
      <c r="G131" s="27"/>
      <c r="H131" s="27"/>
      <c r="I131" s="27"/>
      <c r="J131" s="27"/>
      <c r="K131" s="24" t="e">
        <f t="shared" si="57"/>
        <v>#N/A</v>
      </c>
      <c r="L131" s="24" t="str">
        <f t="shared" si="63"/>
        <v/>
      </c>
      <c r="M131" s="24">
        <f t="shared" si="58"/>
        <v>2.2352941176470589</v>
      </c>
      <c r="N131" s="24">
        <f t="shared" si="64"/>
        <v>1.1176470588235294</v>
      </c>
      <c r="O131" s="24" t="str">
        <f t="shared" si="59"/>
        <v/>
      </c>
      <c r="P131" s="24" t="str">
        <f t="shared" si="67"/>
        <v/>
      </c>
      <c r="Q131" s="24" t="str">
        <f t="shared" si="60"/>
        <v/>
      </c>
      <c r="R131" s="24" t="str">
        <f t="shared" si="65"/>
        <v/>
      </c>
      <c r="S131" s="108">
        <f t="shared" si="68"/>
        <v>2</v>
      </c>
      <c r="T131" s="28">
        <f t="shared" si="66"/>
        <v>3.1176470588235294</v>
      </c>
      <c r="U131" s="28">
        <f t="shared" si="55"/>
        <v>3.1176470588235294</v>
      </c>
      <c r="V131" s="36">
        <f t="shared" si="61"/>
        <v>0.15588235294117647</v>
      </c>
      <c r="W131" s="36">
        <f t="shared" si="62"/>
        <v>7.5000000000000011E-2</v>
      </c>
      <c r="X131" s="180">
        <f t="shared" si="56"/>
        <v>0.2</v>
      </c>
    </row>
    <row r="132" spans="1:24">
      <c r="A132" s="26" t="s">
        <v>1394</v>
      </c>
      <c r="B132" s="27">
        <v>10</v>
      </c>
      <c r="C132" s="27" t="s">
        <v>1660</v>
      </c>
      <c r="D132" s="27">
        <v>10</v>
      </c>
      <c r="E132" s="27" t="s">
        <v>1661</v>
      </c>
      <c r="F132" s="27">
        <v>1</v>
      </c>
      <c r="G132" s="27"/>
      <c r="H132" s="27"/>
      <c r="I132" s="27"/>
      <c r="J132" s="27"/>
      <c r="K132" s="24">
        <f t="shared" si="57"/>
        <v>1.8823529411764708</v>
      </c>
      <c r="L132" s="24">
        <f t="shared" si="63"/>
        <v>18.823529411764707</v>
      </c>
      <c r="M132" s="24">
        <f t="shared" si="58"/>
        <v>4.3</v>
      </c>
      <c r="N132" s="24">
        <f t="shared" si="64"/>
        <v>4.3</v>
      </c>
      <c r="O132" s="24" t="str">
        <f t="shared" si="59"/>
        <v/>
      </c>
      <c r="P132" s="24" t="str">
        <f t="shared" si="67"/>
        <v/>
      </c>
      <c r="Q132" s="24" t="str">
        <f t="shared" si="60"/>
        <v/>
      </c>
      <c r="R132" s="24" t="str">
        <f t="shared" si="65"/>
        <v/>
      </c>
      <c r="S132" s="108">
        <f t="shared" si="68"/>
        <v>1</v>
      </c>
      <c r="T132" s="28">
        <f t="shared" si="66"/>
        <v>24.123529411764707</v>
      </c>
      <c r="U132" s="28">
        <f t="shared" si="55"/>
        <v>24.123529411764707</v>
      </c>
      <c r="V132" s="36">
        <f t="shared" si="61"/>
        <v>2.4123529411764708</v>
      </c>
      <c r="W132" s="36">
        <f t="shared" si="62"/>
        <v>1.1000000000000001</v>
      </c>
      <c r="X132" s="180">
        <f t="shared" si="56"/>
        <v>2.5</v>
      </c>
    </row>
    <row r="133" spans="1:24">
      <c r="A133" s="26" t="s">
        <v>1354</v>
      </c>
      <c r="B133" s="27">
        <v>10</v>
      </c>
      <c r="C133" s="27" t="s">
        <v>1662</v>
      </c>
      <c r="D133" s="27">
        <v>6</v>
      </c>
      <c r="E133" s="27" t="s">
        <v>1294</v>
      </c>
      <c r="F133" s="27">
        <v>1</v>
      </c>
      <c r="G133" s="27"/>
      <c r="H133" s="27"/>
      <c r="I133" s="27"/>
      <c r="J133" s="27"/>
      <c r="K133" s="24">
        <f t="shared" si="57"/>
        <v>1.2941176470588236</v>
      </c>
      <c r="L133" s="24">
        <f t="shared" si="63"/>
        <v>7.764705882352942</v>
      </c>
      <c r="M133" s="24">
        <f t="shared" si="58"/>
        <v>8.5714285714285712</v>
      </c>
      <c r="N133" s="24">
        <f t="shared" si="64"/>
        <v>8.5714285714285712</v>
      </c>
      <c r="O133" s="24" t="str">
        <f t="shared" si="59"/>
        <v/>
      </c>
      <c r="P133" s="24" t="str">
        <f t="shared" si="67"/>
        <v/>
      </c>
      <c r="Q133" s="24" t="str">
        <f t="shared" si="60"/>
        <v/>
      </c>
      <c r="R133" s="24" t="str">
        <f t="shared" si="65"/>
        <v/>
      </c>
      <c r="S133" s="108">
        <f t="shared" si="68"/>
        <v>1</v>
      </c>
      <c r="T133" s="28">
        <f t="shared" si="66"/>
        <v>17.336134453781511</v>
      </c>
      <c r="U133" s="28">
        <f t="shared" si="55"/>
        <v>17.336134453781511</v>
      </c>
      <c r="V133" s="36">
        <f t="shared" si="61"/>
        <v>1.7336134453781511</v>
      </c>
      <c r="W133" s="36">
        <f t="shared" si="62"/>
        <v>0.7</v>
      </c>
      <c r="X133" s="180">
        <f t="shared" si="56"/>
        <v>1.8</v>
      </c>
    </row>
    <row r="134" spans="1:24">
      <c r="A134" s="26" t="s">
        <v>1671</v>
      </c>
      <c r="B134" s="27">
        <v>10</v>
      </c>
      <c r="C134" s="27" t="s">
        <v>1670</v>
      </c>
      <c r="D134" s="27">
        <v>7</v>
      </c>
      <c r="E134" s="27"/>
      <c r="F134" s="27"/>
      <c r="G134" s="27"/>
      <c r="H134" s="27"/>
      <c r="I134" s="27"/>
      <c r="J134" s="27"/>
      <c r="K134" s="24">
        <f t="shared" si="57"/>
        <v>2.3529411764705883</v>
      </c>
      <c r="L134" s="24">
        <f t="shared" si="63"/>
        <v>16.47058823529412</v>
      </c>
      <c r="M134" s="24" t="str">
        <f t="shared" si="58"/>
        <v/>
      </c>
      <c r="N134" s="24" t="str">
        <f t="shared" si="64"/>
        <v/>
      </c>
      <c r="O134" s="24" t="str">
        <f t="shared" si="59"/>
        <v/>
      </c>
      <c r="P134" s="24" t="str">
        <f t="shared" si="67"/>
        <v/>
      </c>
      <c r="Q134" s="24" t="str">
        <f t="shared" si="60"/>
        <v/>
      </c>
      <c r="R134" s="24" t="str">
        <f t="shared" si="65"/>
        <v/>
      </c>
      <c r="S134" s="108">
        <f>B134*0.2</f>
        <v>2</v>
      </c>
      <c r="T134" s="28">
        <f t="shared" si="66"/>
        <v>18.47058823529412</v>
      </c>
      <c r="U134" s="28">
        <f t="shared" si="55"/>
        <v>18.47058823529412</v>
      </c>
      <c r="V134" s="36">
        <f t="shared" si="61"/>
        <v>1.8470588235294119</v>
      </c>
      <c r="W134" s="36">
        <f t="shared" si="62"/>
        <v>0.7</v>
      </c>
      <c r="X134" s="180">
        <f t="shared" si="56"/>
        <v>1.9000000000000001</v>
      </c>
    </row>
    <row r="135" spans="1:24">
      <c r="A135" s="26" t="s">
        <v>268</v>
      </c>
      <c r="B135" s="27">
        <v>1</v>
      </c>
      <c r="C135" s="27" t="s">
        <v>1673</v>
      </c>
      <c r="D135" s="27">
        <v>0.45</v>
      </c>
      <c r="E135" s="27"/>
      <c r="F135" s="27"/>
      <c r="G135" s="27"/>
      <c r="H135" s="27"/>
      <c r="I135" s="27"/>
      <c r="J135" s="27"/>
      <c r="K135" s="24">
        <f t="shared" si="57"/>
        <v>10.571428571428573</v>
      </c>
      <c r="L135" s="24">
        <f t="shared" si="63"/>
        <v>4.757142857142858</v>
      </c>
      <c r="M135" s="24" t="str">
        <f t="shared" si="58"/>
        <v/>
      </c>
      <c r="N135" s="24" t="str">
        <f t="shared" si="64"/>
        <v/>
      </c>
      <c r="O135" s="24" t="str">
        <f t="shared" si="59"/>
        <v/>
      </c>
      <c r="P135" s="24" t="str">
        <f t="shared" si="67"/>
        <v/>
      </c>
      <c r="Q135" s="24" t="str">
        <f t="shared" si="60"/>
        <v/>
      </c>
      <c r="R135" s="24" t="str">
        <f t="shared" si="65"/>
        <v/>
      </c>
      <c r="S135" s="108">
        <f>B135*0.2</f>
        <v>0.2</v>
      </c>
      <c r="T135" s="28">
        <f t="shared" si="66"/>
        <v>4.9571428571428582</v>
      </c>
      <c r="U135" s="28">
        <f t="shared" si="55"/>
        <v>4.9571428571428582</v>
      </c>
      <c r="V135" s="36">
        <f t="shared" si="61"/>
        <v>4.9571428571428582</v>
      </c>
      <c r="W135" s="36">
        <f t="shared" si="62"/>
        <v>0.45</v>
      </c>
      <c r="X135" s="56">
        <f t="shared" si="56"/>
        <v>5</v>
      </c>
    </row>
    <row r="136" spans="1:24">
      <c r="A136" s="26" t="s">
        <v>265</v>
      </c>
      <c r="B136" s="27">
        <v>1</v>
      </c>
      <c r="C136" s="27" t="s">
        <v>1674</v>
      </c>
      <c r="D136" s="27">
        <v>0.2</v>
      </c>
      <c r="E136" s="27"/>
      <c r="F136" s="27"/>
      <c r="G136" s="27"/>
      <c r="H136" s="27"/>
      <c r="I136" s="27"/>
      <c r="J136" s="27"/>
      <c r="K136" s="24">
        <f t="shared" si="57"/>
        <v>7.8571428571428577</v>
      </c>
      <c r="L136" s="24">
        <f t="shared" si="63"/>
        <v>1.5714285714285716</v>
      </c>
      <c r="M136" s="24" t="str">
        <f t="shared" si="58"/>
        <v/>
      </c>
      <c r="N136" s="24" t="str">
        <f t="shared" si="64"/>
        <v/>
      </c>
      <c r="O136" s="24" t="str">
        <f t="shared" si="59"/>
        <v/>
      </c>
      <c r="P136" s="24" t="str">
        <f t="shared" si="67"/>
        <v/>
      </c>
      <c r="Q136" s="24" t="str">
        <f t="shared" si="60"/>
        <v/>
      </c>
      <c r="R136" s="24" t="str">
        <f t="shared" si="65"/>
        <v/>
      </c>
      <c r="S136" s="108">
        <f>B136*0.2</f>
        <v>0.2</v>
      </c>
      <c r="T136" s="28">
        <f t="shared" si="66"/>
        <v>1.7714285714285716</v>
      </c>
      <c r="U136" s="28">
        <f t="shared" si="55"/>
        <v>1.7714285714285716</v>
      </c>
      <c r="V136" s="36">
        <f t="shared" si="61"/>
        <v>1.7714285714285716</v>
      </c>
      <c r="W136" s="36">
        <f t="shared" si="62"/>
        <v>0.2</v>
      </c>
      <c r="X136" s="56">
        <f t="shared" si="56"/>
        <v>1.8</v>
      </c>
    </row>
    <row r="137" spans="1:24">
      <c r="A137" s="26" t="s">
        <v>1672</v>
      </c>
      <c r="B137" s="27">
        <v>1</v>
      </c>
      <c r="C137" s="27" t="s">
        <v>91</v>
      </c>
      <c r="D137" s="27">
        <v>0.13</v>
      </c>
      <c r="E137" s="27"/>
      <c r="F137" s="27"/>
      <c r="G137" s="27"/>
      <c r="H137" s="27"/>
      <c r="I137" s="27"/>
      <c r="J137" s="27"/>
      <c r="K137" s="178">
        <f t="shared" si="57"/>
        <v>16.285714285714288</v>
      </c>
      <c r="L137" s="24">
        <f t="shared" si="63"/>
        <v>2.1171428571428574</v>
      </c>
      <c r="M137" s="24" t="str">
        <f t="shared" si="58"/>
        <v/>
      </c>
      <c r="N137" s="24" t="str">
        <f t="shared" si="64"/>
        <v/>
      </c>
      <c r="O137" s="24" t="str">
        <f t="shared" si="59"/>
        <v/>
      </c>
      <c r="P137" s="24" t="str">
        <f t="shared" si="67"/>
        <v/>
      </c>
      <c r="Q137" s="24" t="str">
        <f t="shared" si="60"/>
        <v/>
      </c>
      <c r="R137" s="24" t="str">
        <f t="shared" si="65"/>
        <v/>
      </c>
      <c r="S137" s="108">
        <f>B137*0.2</f>
        <v>0.2</v>
      </c>
      <c r="T137" s="28">
        <f t="shared" si="66"/>
        <v>2.3171428571428576</v>
      </c>
      <c r="U137" s="28">
        <f t="shared" si="55"/>
        <v>2.3171428571428576</v>
      </c>
      <c r="V137" s="36">
        <f t="shared" si="61"/>
        <v>2.3171428571428576</v>
      </c>
      <c r="W137" s="36">
        <f t="shared" si="62"/>
        <v>0.13</v>
      </c>
      <c r="X137" s="56">
        <f t="shared" si="56"/>
        <v>2.4</v>
      </c>
    </row>
    <row r="138" spans="1:24">
      <c r="A138" s="26" t="s">
        <v>207</v>
      </c>
      <c r="B138" s="27">
        <v>1</v>
      </c>
      <c r="C138" s="27" t="s">
        <v>1675</v>
      </c>
      <c r="D138" s="27">
        <v>0.5</v>
      </c>
      <c r="E138" s="27"/>
      <c r="F138" s="27"/>
      <c r="G138" s="27"/>
      <c r="H138" s="27"/>
      <c r="I138" s="27"/>
      <c r="J138" s="27"/>
      <c r="K138" s="24">
        <f t="shared" si="57"/>
        <v>14.428571428571429</v>
      </c>
      <c r="L138" s="24">
        <f t="shared" si="63"/>
        <v>7.2142857142857144</v>
      </c>
      <c r="M138" s="24" t="str">
        <f t="shared" si="58"/>
        <v/>
      </c>
      <c r="N138" s="24" t="str">
        <f t="shared" si="64"/>
        <v/>
      </c>
      <c r="O138" s="24" t="str">
        <f t="shared" si="59"/>
        <v/>
      </c>
      <c r="P138" s="24" t="str">
        <f t="shared" si="67"/>
        <v/>
      </c>
      <c r="Q138" s="24" t="str">
        <f t="shared" si="60"/>
        <v/>
      </c>
      <c r="R138" s="24" t="str">
        <f t="shared" si="65"/>
        <v/>
      </c>
      <c r="S138" s="108">
        <f t="shared" si="68"/>
        <v>0.1</v>
      </c>
      <c r="T138" s="28">
        <f t="shared" si="66"/>
        <v>7.3142857142857141</v>
      </c>
      <c r="U138" s="28">
        <f t="shared" si="55"/>
        <v>7.3142857142857141</v>
      </c>
      <c r="V138" s="36">
        <f t="shared" si="61"/>
        <v>7.3142857142857141</v>
      </c>
      <c r="W138" s="36">
        <f t="shared" si="62"/>
        <v>0.5</v>
      </c>
      <c r="X138" s="56">
        <f t="shared" si="56"/>
        <v>7.3999999999999995</v>
      </c>
    </row>
    <row r="139" spans="1:24" ht="28.5">
      <c r="A139" s="26" t="s">
        <v>1683</v>
      </c>
      <c r="B139" s="27">
        <v>1</v>
      </c>
      <c r="C139" s="27" t="s">
        <v>1684</v>
      </c>
      <c r="D139" s="27">
        <v>0.2</v>
      </c>
      <c r="E139" s="27"/>
      <c r="F139" s="27"/>
      <c r="G139" s="27"/>
      <c r="H139" s="27"/>
      <c r="I139" s="27"/>
      <c r="J139" s="27"/>
      <c r="K139" s="24">
        <f t="shared" si="57"/>
        <v>0.88235294117647056</v>
      </c>
      <c r="L139" s="24">
        <f t="shared" si="63"/>
        <v>0.17647058823529413</v>
      </c>
      <c r="M139" s="24" t="str">
        <f t="shared" si="58"/>
        <v/>
      </c>
      <c r="N139" s="24" t="str">
        <f t="shared" si="64"/>
        <v/>
      </c>
      <c r="O139" s="24" t="str">
        <f t="shared" si="59"/>
        <v/>
      </c>
      <c r="P139" s="24" t="str">
        <f t="shared" si="67"/>
        <v/>
      </c>
      <c r="Q139" s="24" t="str">
        <f t="shared" si="60"/>
        <v/>
      </c>
      <c r="R139" s="24" t="str">
        <f t="shared" si="65"/>
        <v/>
      </c>
      <c r="S139" s="108">
        <f t="shared" si="68"/>
        <v>0.1</v>
      </c>
      <c r="T139" s="28">
        <f t="shared" si="66"/>
        <v>0.27647058823529413</v>
      </c>
      <c r="U139" s="28">
        <f t="shared" si="55"/>
        <v>0.27647058823529413</v>
      </c>
      <c r="V139" s="36">
        <f t="shared" si="61"/>
        <v>0.27647058823529413</v>
      </c>
      <c r="W139" s="36">
        <f t="shared" si="62"/>
        <v>0.2</v>
      </c>
      <c r="X139" s="56">
        <f t="shared" si="56"/>
        <v>0.30000000000000004</v>
      </c>
    </row>
    <row r="140" spans="1:24">
      <c r="A140" s="26" t="s">
        <v>1378</v>
      </c>
      <c r="B140" s="27">
        <v>10</v>
      </c>
      <c r="C140" s="27" t="s">
        <v>1301</v>
      </c>
      <c r="D140" s="27">
        <v>2</v>
      </c>
      <c r="E140" s="27" t="s">
        <v>1275</v>
      </c>
      <c r="F140" s="27">
        <v>5</v>
      </c>
      <c r="G140" s="27"/>
      <c r="H140" s="27"/>
      <c r="I140" s="27"/>
      <c r="J140" s="27"/>
      <c r="K140" s="24">
        <f t="shared" si="57"/>
        <v>5</v>
      </c>
      <c r="L140" s="24">
        <f t="shared" si="63"/>
        <v>10</v>
      </c>
      <c r="M140" s="24">
        <f t="shared" si="58"/>
        <v>7.6470588235294121</v>
      </c>
      <c r="N140" s="24">
        <f t="shared" si="64"/>
        <v>38.235294117647058</v>
      </c>
      <c r="O140" s="24" t="str">
        <f t="shared" si="59"/>
        <v/>
      </c>
      <c r="P140" s="24" t="str">
        <f t="shared" si="67"/>
        <v/>
      </c>
      <c r="Q140" s="24" t="str">
        <f t="shared" si="60"/>
        <v/>
      </c>
      <c r="R140" s="24" t="str">
        <f t="shared" si="65"/>
        <v/>
      </c>
      <c r="S140" s="108">
        <f t="shared" si="68"/>
        <v>1</v>
      </c>
      <c r="T140" s="28">
        <f t="shared" si="66"/>
        <v>49.235294117647058</v>
      </c>
      <c r="U140" s="28">
        <f t="shared" si="55"/>
        <v>49.235294117647058</v>
      </c>
      <c r="V140" s="36">
        <f t="shared" si="61"/>
        <v>4.9235294117647062</v>
      </c>
      <c r="W140" s="36">
        <f t="shared" si="62"/>
        <v>0.7</v>
      </c>
      <c r="X140" s="56">
        <f t="shared" si="56"/>
        <v>5</v>
      </c>
    </row>
    <row r="141" spans="1:24">
      <c r="A141" s="26" t="s">
        <v>1379</v>
      </c>
      <c r="B141" s="27">
        <v>10</v>
      </c>
      <c r="C141" s="27" t="s">
        <v>2170</v>
      </c>
      <c r="D141" s="27">
        <v>4</v>
      </c>
      <c r="E141" s="27" t="s">
        <v>1686</v>
      </c>
      <c r="F141" s="27">
        <v>2</v>
      </c>
      <c r="G141" s="27"/>
      <c r="H141" s="27"/>
      <c r="I141" s="27"/>
      <c r="J141" s="27"/>
      <c r="K141" s="24">
        <f t="shared" si="57"/>
        <v>3.4666666666666668</v>
      </c>
      <c r="L141" s="24">
        <f t="shared" si="63"/>
        <v>13.866666666666667</v>
      </c>
      <c r="M141" s="24">
        <f t="shared" si="58"/>
        <v>6</v>
      </c>
      <c r="N141" s="24">
        <f t="shared" si="64"/>
        <v>12</v>
      </c>
      <c r="O141" s="24" t="str">
        <f t="shared" si="59"/>
        <v/>
      </c>
      <c r="P141" s="24" t="str">
        <f t="shared" si="67"/>
        <v/>
      </c>
      <c r="Q141" s="24" t="str">
        <f t="shared" si="60"/>
        <v/>
      </c>
      <c r="R141" s="24" t="str">
        <f t="shared" si="65"/>
        <v/>
      </c>
      <c r="S141" s="108">
        <f t="shared" si="68"/>
        <v>1</v>
      </c>
      <c r="T141" s="28">
        <f t="shared" si="66"/>
        <v>26.866666666666667</v>
      </c>
      <c r="U141" s="28">
        <f t="shared" si="55"/>
        <v>26.866666666666667</v>
      </c>
      <c r="V141" s="36">
        <f t="shared" si="61"/>
        <v>2.6866666666666665</v>
      </c>
      <c r="W141" s="36">
        <f t="shared" si="62"/>
        <v>0.60000000000000009</v>
      </c>
      <c r="X141" s="56">
        <f t="shared" si="56"/>
        <v>2.7</v>
      </c>
    </row>
    <row r="142" spans="1:24">
      <c r="A142" s="26" t="s">
        <v>1389</v>
      </c>
      <c r="B142" s="27">
        <v>10</v>
      </c>
      <c r="C142" s="27"/>
      <c r="D142" s="27"/>
      <c r="E142" s="27"/>
      <c r="F142" s="27"/>
      <c r="G142" s="27"/>
      <c r="H142" s="27"/>
      <c r="I142" s="27"/>
      <c r="J142" s="27"/>
      <c r="K142" s="24" t="str">
        <f t="shared" si="57"/>
        <v/>
      </c>
      <c r="L142" s="24" t="str">
        <f t="shared" si="63"/>
        <v/>
      </c>
      <c r="M142" s="24" t="str">
        <f t="shared" si="58"/>
        <v/>
      </c>
      <c r="N142" s="24" t="str">
        <f t="shared" si="64"/>
        <v/>
      </c>
      <c r="O142" s="24" t="str">
        <f t="shared" si="59"/>
        <v/>
      </c>
      <c r="P142" s="24" t="str">
        <f t="shared" si="67"/>
        <v/>
      </c>
      <c r="Q142" s="24" t="str">
        <f t="shared" si="60"/>
        <v/>
      </c>
      <c r="R142" s="24" t="str">
        <f t="shared" si="65"/>
        <v/>
      </c>
      <c r="S142" s="108">
        <f t="shared" si="68"/>
        <v>1</v>
      </c>
      <c r="T142" s="28">
        <f t="shared" si="66"/>
        <v>1</v>
      </c>
      <c r="U142" s="28">
        <f t="shared" si="55"/>
        <v>1</v>
      </c>
      <c r="V142" s="36">
        <f t="shared" si="61"/>
        <v>0.1</v>
      </c>
      <c r="W142" s="36">
        <f t="shared" si="62"/>
        <v>0</v>
      </c>
      <c r="X142" s="56">
        <f t="shared" si="56"/>
        <v>0.1</v>
      </c>
    </row>
    <row r="143" spans="1:24">
      <c r="A143" s="26" t="s">
        <v>1390</v>
      </c>
      <c r="B143" s="27">
        <v>10</v>
      </c>
      <c r="C143" s="27" t="s">
        <v>1663</v>
      </c>
      <c r="D143" s="27">
        <v>2</v>
      </c>
      <c r="E143" s="27" t="s">
        <v>1687</v>
      </c>
      <c r="F143" s="27">
        <v>0.3</v>
      </c>
      <c r="G143" s="27" t="s">
        <v>1688</v>
      </c>
      <c r="H143" s="27">
        <v>0.3</v>
      </c>
      <c r="I143" s="27" t="s">
        <v>1608</v>
      </c>
      <c r="J143" s="27">
        <v>0.3</v>
      </c>
      <c r="K143" s="24">
        <f t="shared" si="57"/>
        <v>4.3</v>
      </c>
      <c r="L143" s="24">
        <f t="shared" si="63"/>
        <v>8.6</v>
      </c>
      <c r="M143" s="24">
        <f t="shared" si="58"/>
        <v>8.3529411764705888</v>
      </c>
      <c r="N143" s="24">
        <f t="shared" si="64"/>
        <v>2.5058823529411764</v>
      </c>
      <c r="O143" s="24">
        <f t="shared" si="59"/>
        <v>3.4117647058823528</v>
      </c>
      <c r="P143" s="24">
        <f t="shared" si="67"/>
        <v>1.0235294117647058</v>
      </c>
      <c r="Q143" s="24">
        <f t="shared" si="60"/>
        <v>2.2352941176470589</v>
      </c>
      <c r="R143" s="24">
        <f t="shared" si="65"/>
        <v>0.6705882352941176</v>
      </c>
      <c r="S143" s="108">
        <f>B143*0.8</f>
        <v>8</v>
      </c>
      <c r="T143" s="28">
        <f t="shared" si="66"/>
        <v>20.799999999999997</v>
      </c>
      <c r="U143" s="28">
        <f t="shared" si="55"/>
        <v>20.799999999999997</v>
      </c>
      <c r="V143" s="36">
        <f t="shared" si="61"/>
        <v>2.0799999999999996</v>
      </c>
      <c r="W143" s="36">
        <f t="shared" si="62"/>
        <v>0.29000000000000004</v>
      </c>
      <c r="X143" s="56">
        <f t="shared" si="56"/>
        <v>2.1</v>
      </c>
    </row>
    <row r="144" spans="1:24">
      <c r="A144" s="26" t="s">
        <v>1384</v>
      </c>
      <c r="B144" s="27">
        <v>10</v>
      </c>
      <c r="C144" s="27" t="s">
        <v>2170</v>
      </c>
      <c r="D144" s="27">
        <v>4</v>
      </c>
      <c r="E144" s="27" t="s">
        <v>1624</v>
      </c>
      <c r="F144" s="27">
        <v>1</v>
      </c>
      <c r="G144" s="27" t="s">
        <v>1622</v>
      </c>
      <c r="H144" s="27">
        <v>1</v>
      </c>
      <c r="I144" s="27"/>
      <c r="J144" s="27"/>
      <c r="K144" s="24">
        <f t="shared" si="57"/>
        <v>3.4666666666666668</v>
      </c>
      <c r="L144" s="24">
        <f t="shared" si="63"/>
        <v>13.866666666666667</v>
      </c>
      <c r="M144" s="24">
        <f t="shared" si="58"/>
        <v>2.1176470588235294</v>
      </c>
      <c r="N144" s="24">
        <f t="shared" si="64"/>
        <v>2.1176470588235294</v>
      </c>
      <c r="O144" s="24">
        <f t="shared" si="59"/>
        <v>1.1176470588235294</v>
      </c>
      <c r="P144" s="24">
        <f t="shared" si="67"/>
        <v>1.1176470588235294</v>
      </c>
      <c r="Q144" s="24" t="str">
        <f t="shared" si="60"/>
        <v/>
      </c>
      <c r="R144" s="24" t="str">
        <f t="shared" si="65"/>
        <v/>
      </c>
      <c r="S144" s="108">
        <f t="shared" si="68"/>
        <v>1</v>
      </c>
      <c r="T144" s="28">
        <f t="shared" si="66"/>
        <v>18.101960784313725</v>
      </c>
      <c r="U144" s="28">
        <f t="shared" si="55"/>
        <v>18.101960784313725</v>
      </c>
      <c r="V144" s="36">
        <f t="shared" si="61"/>
        <v>1.8101960784313724</v>
      </c>
      <c r="W144" s="36">
        <f t="shared" si="62"/>
        <v>0.6</v>
      </c>
      <c r="X144" s="56">
        <f t="shared" si="56"/>
        <v>1.9000000000000001</v>
      </c>
    </row>
    <row r="145" spans="1:24">
      <c r="A145" s="26" t="s">
        <v>1395</v>
      </c>
      <c r="B145" s="27">
        <v>10</v>
      </c>
      <c r="C145" s="27" t="s">
        <v>1661</v>
      </c>
      <c r="D145" s="27">
        <v>3</v>
      </c>
      <c r="E145" s="27" t="s">
        <v>1608</v>
      </c>
      <c r="F145" s="27">
        <v>0.5</v>
      </c>
      <c r="G145" s="27"/>
      <c r="H145" s="27"/>
      <c r="I145" s="27"/>
      <c r="J145" s="27"/>
      <c r="K145" s="24">
        <f t="shared" si="57"/>
        <v>4.3</v>
      </c>
      <c r="L145" s="24">
        <f t="shared" si="63"/>
        <v>12.899999999999999</v>
      </c>
      <c r="M145" s="24">
        <f t="shared" si="58"/>
        <v>2.2352941176470589</v>
      </c>
      <c r="N145" s="24">
        <f t="shared" si="64"/>
        <v>1.1176470588235294</v>
      </c>
      <c r="O145" s="24" t="str">
        <f t="shared" si="59"/>
        <v/>
      </c>
      <c r="P145" s="24" t="str">
        <f t="shared" si="67"/>
        <v/>
      </c>
      <c r="Q145" s="24" t="str">
        <f t="shared" si="60"/>
        <v/>
      </c>
      <c r="R145" s="24" t="str">
        <f t="shared" si="65"/>
        <v/>
      </c>
      <c r="S145" s="108">
        <f t="shared" si="68"/>
        <v>1</v>
      </c>
      <c r="T145" s="28">
        <f t="shared" si="66"/>
        <v>15.017647058823528</v>
      </c>
      <c r="U145" s="28">
        <f t="shared" si="55"/>
        <v>15.017647058823528</v>
      </c>
      <c r="V145" s="36">
        <f t="shared" si="61"/>
        <v>1.5017647058823527</v>
      </c>
      <c r="W145" s="36">
        <f t="shared" si="62"/>
        <v>0.35</v>
      </c>
      <c r="X145" s="56">
        <f t="shared" si="56"/>
        <v>1.6</v>
      </c>
    </row>
    <row r="146" spans="1:24">
      <c r="A146" s="26" t="s">
        <v>1341</v>
      </c>
      <c r="B146" s="27">
        <v>10</v>
      </c>
      <c r="C146" s="27" t="s">
        <v>1689</v>
      </c>
      <c r="D146" s="27">
        <v>6</v>
      </c>
      <c r="E146" s="27" t="s">
        <v>1690</v>
      </c>
      <c r="F146" s="27">
        <v>1</v>
      </c>
      <c r="G146" s="27" t="s">
        <v>1608</v>
      </c>
      <c r="H146" s="27">
        <v>0.5</v>
      </c>
      <c r="I146" s="27"/>
      <c r="J146" s="27"/>
      <c r="K146" s="24" t="e">
        <f t="shared" si="57"/>
        <v>#N/A</v>
      </c>
      <c r="L146" s="24" t="str">
        <f t="shared" si="63"/>
        <v/>
      </c>
      <c r="M146" s="24">
        <f t="shared" si="58"/>
        <v>1.6470588235294117</v>
      </c>
      <c r="N146" s="24">
        <f t="shared" si="64"/>
        <v>1.6470588235294117</v>
      </c>
      <c r="O146" s="24">
        <f t="shared" si="59"/>
        <v>2.2352941176470589</v>
      </c>
      <c r="P146" s="24">
        <f t="shared" si="67"/>
        <v>1.1176470588235294</v>
      </c>
      <c r="Q146" s="24" t="str">
        <f t="shared" si="60"/>
        <v/>
      </c>
      <c r="R146" s="24" t="str">
        <f t="shared" si="65"/>
        <v/>
      </c>
      <c r="S146" s="108">
        <f t="shared" si="68"/>
        <v>1</v>
      </c>
      <c r="T146" s="28">
        <f t="shared" si="66"/>
        <v>3.7647058823529411</v>
      </c>
      <c r="U146" s="28">
        <f t="shared" si="55"/>
        <v>3.7647058823529411</v>
      </c>
      <c r="V146" s="36">
        <f t="shared" si="61"/>
        <v>0.37647058823529411</v>
      </c>
      <c r="W146" s="36">
        <f t="shared" si="62"/>
        <v>0.75</v>
      </c>
      <c r="X146" s="56">
        <f t="shared" si="56"/>
        <v>0.4</v>
      </c>
    </row>
    <row r="147" spans="1:24">
      <c r="A147" s="26" t="s">
        <v>1386</v>
      </c>
      <c r="B147" s="27">
        <v>10</v>
      </c>
      <c r="C147" s="27" t="s">
        <v>1691</v>
      </c>
      <c r="D147" s="27">
        <v>6</v>
      </c>
      <c r="E147" s="27"/>
      <c r="F147" s="27"/>
      <c r="G147" s="27"/>
      <c r="H147" s="27"/>
      <c r="I147" s="27"/>
      <c r="J147" s="27"/>
      <c r="K147" s="24">
        <f t="shared" si="57"/>
        <v>4.2352941176470589</v>
      </c>
      <c r="L147" s="24">
        <f t="shared" si="63"/>
        <v>25.411764705882355</v>
      </c>
      <c r="M147" s="24" t="str">
        <f t="shared" si="58"/>
        <v/>
      </c>
      <c r="N147" s="24" t="str">
        <f t="shared" si="64"/>
        <v/>
      </c>
      <c r="O147" s="24" t="str">
        <f t="shared" si="59"/>
        <v/>
      </c>
      <c r="P147" s="24" t="str">
        <f t="shared" si="67"/>
        <v/>
      </c>
      <c r="Q147" s="24" t="str">
        <f t="shared" si="60"/>
        <v/>
      </c>
      <c r="R147" s="24" t="str">
        <f t="shared" si="65"/>
        <v/>
      </c>
      <c r="S147" s="108">
        <f t="shared" si="68"/>
        <v>1</v>
      </c>
      <c r="T147" s="28">
        <f t="shared" si="66"/>
        <v>26.411764705882355</v>
      </c>
      <c r="U147" s="28">
        <f t="shared" si="55"/>
        <v>26.411764705882355</v>
      </c>
      <c r="V147" s="36">
        <f t="shared" si="61"/>
        <v>2.6411764705882357</v>
      </c>
      <c r="W147" s="36">
        <f t="shared" si="62"/>
        <v>0.6</v>
      </c>
      <c r="X147" s="56">
        <f t="shared" si="56"/>
        <v>2.7</v>
      </c>
    </row>
    <row r="148" spans="1:24">
      <c r="A148" s="26" t="s">
        <v>1362</v>
      </c>
      <c r="B148" s="27">
        <v>10</v>
      </c>
      <c r="C148" s="27" t="s">
        <v>1009</v>
      </c>
      <c r="D148" s="27">
        <v>0.6</v>
      </c>
      <c r="E148" s="27" t="s">
        <v>1608</v>
      </c>
      <c r="F148" s="27">
        <v>0.5</v>
      </c>
      <c r="G148" s="27"/>
      <c r="H148" s="27"/>
      <c r="I148" s="27"/>
      <c r="J148" s="27"/>
      <c r="K148" s="24">
        <f t="shared" si="57"/>
        <v>61.428571428571431</v>
      </c>
      <c r="L148" s="24">
        <f t="shared" si="63"/>
        <v>36.857142857142854</v>
      </c>
      <c r="M148" s="24">
        <f t="shared" si="58"/>
        <v>2.2352941176470589</v>
      </c>
      <c r="N148" s="24">
        <f t="shared" si="64"/>
        <v>1.1176470588235294</v>
      </c>
      <c r="O148" s="24" t="str">
        <f t="shared" si="59"/>
        <v/>
      </c>
      <c r="P148" s="24" t="str">
        <f t="shared" si="67"/>
        <v/>
      </c>
      <c r="Q148" s="24" t="str">
        <f t="shared" si="60"/>
        <v/>
      </c>
      <c r="R148" s="24" t="str">
        <f t="shared" si="65"/>
        <v/>
      </c>
      <c r="S148" s="108">
        <f t="shared" si="68"/>
        <v>1</v>
      </c>
      <c r="T148" s="28">
        <f t="shared" si="66"/>
        <v>38.974789915966383</v>
      </c>
      <c r="U148" s="28">
        <f t="shared" si="55"/>
        <v>38.974789915966383</v>
      </c>
      <c r="V148" s="36">
        <f t="shared" si="61"/>
        <v>3.8974789915966381</v>
      </c>
      <c r="W148" s="36">
        <f t="shared" si="62"/>
        <v>0.11</v>
      </c>
      <c r="X148" s="56">
        <f t="shared" si="56"/>
        <v>3.9</v>
      </c>
    </row>
    <row r="149" spans="1:24">
      <c r="A149" s="26" t="s">
        <v>1646</v>
      </c>
      <c r="B149" s="27">
        <v>10</v>
      </c>
      <c r="C149" s="27" t="s">
        <v>1692</v>
      </c>
      <c r="D149" s="27">
        <v>4</v>
      </c>
      <c r="E149" s="27" t="s">
        <v>1661</v>
      </c>
      <c r="F149" s="27">
        <v>1.5</v>
      </c>
      <c r="G149" s="27"/>
      <c r="H149" s="27"/>
      <c r="I149" s="27"/>
      <c r="J149" s="27"/>
      <c r="K149" s="24">
        <f t="shared" si="57"/>
        <v>2.1176470588235294</v>
      </c>
      <c r="L149" s="24">
        <f t="shared" si="63"/>
        <v>8.4705882352941178</v>
      </c>
      <c r="M149" s="24">
        <f t="shared" si="58"/>
        <v>4.3</v>
      </c>
      <c r="N149" s="24">
        <f t="shared" si="64"/>
        <v>6.4499999999999993</v>
      </c>
      <c r="O149" s="24" t="str">
        <f t="shared" si="59"/>
        <v/>
      </c>
      <c r="P149" s="24" t="str">
        <f t="shared" si="67"/>
        <v/>
      </c>
      <c r="Q149" s="24" t="str">
        <f t="shared" si="60"/>
        <v/>
      </c>
      <c r="R149" s="24" t="str">
        <f t="shared" si="65"/>
        <v/>
      </c>
      <c r="S149" s="108">
        <f t="shared" si="68"/>
        <v>1</v>
      </c>
      <c r="T149" s="28">
        <f t="shared" si="66"/>
        <v>15.920588235294117</v>
      </c>
      <c r="U149" s="28">
        <f t="shared" si="55"/>
        <v>15.920588235294117</v>
      </c>
      <c r="V149" s="36">
        <f t="shared" si="61"/>
        <v>1.5920588235294117</v>
      </c>
      <c r="W149" s="36">
        <f t="shared" si="62"/>
        <v>0.55000000000000004</v>
      </c>
      <c r="X149" s="56">
        <f t="shared" si="56"/>
        <v>1.6</v>
      </c>
    </row>
    <row r="150" spans="1:24">
      <c r="A150" s="26" t="s">
        <v>1704</v>
      </c>
      <c r="B150" s="27">
        <v>10</v>
      </c>
      <c r="C150" s="27" t="s">
        <v>1705</v>
      </c>
      <c r="D150" s="27">
        <v>6</v>
      </c>
      <c r="E150" s="27" t="s">
        <v>1706</v>
      </c>
      <c r="F150" s="27">
        <v>0.3</v>
      </c>
      <c r="G150" s="27"/>
      <c r="H150" s="27"/>
      <c r="I150" s="27"/>
      <c r="J150" s="27"/>
      <c r="K150" s="24">
        <f t="shared" si="57"/>
        <v>2.1176470588235294</v>
      </c>
      <c r="L150" s="24">
        <f t="shared" si="63"/>
        <v>12.705882352941178</v>
      </c>
      <c r="M150" s="24">
        <f t="shared" si="58"/>
        <v>2.2352941176470589</v>
      </c>
      <c r="N150" s="24">
        <f t="shared" si="64"/>
        <v>0.6705882352941176</v>
      </c>
      <c r="O150" s="24" t="str">
        <f t="shared" si="59"/>
        <v/>
      </c>
      <c r="P150" s="24" t="str">
        <f t="shared" si="67"/>
        <v/>
      </c>
      <c r="Q150" s="24" t="str">
        <f t="shared" si="60"/>
        <v/>
      </c>
      <c r="R150" s="24" t="str">
        <f t="shared" si="65"/>
        <v/>
      </c>
      <c r="S150" s="108">
        <f t="shared" si="68"/>
        <v>1</v>
      </c>
      <c r="T150" s="28">
        <f t="shared" si="66"/>
        <v>14.376470588235295</v>
      </c>
      <c r="U150" s="28">
        <f t="shared" si="55"/>
        <v>14.376470588235295</v>
      </c>
      <c r="V150" s="36">
        <f t="shared" si="61"/>
        <v>1.4376470588235295</v>
      </c>
      <c r="W150" s="36">
        <f t="shared" si="62"/>
        <v>0.63</v>
      </c>
      <c r="X150" s="56">
        <f t="shared" si="56"/>
        <v>1.5</v>
      </c>
    </row>
    <row r="151" spans="1:24">
      <c r="A151" s="26" t="s">
        <v>1370</v>
      </c>
      <c r="B151" s="27">
        <v>10</v>
      </c>
      <c r="C151" s="27" t="s">
        <v>1709</v>
      </c>
      <c r="D151" s="27">
        <v>4</v>
      </c>
      <c r="E151" s="27" t="s">
        <v>1710</v>
      </c>
      <c r="F151" s="27">
        <v>1</v>
      </c>
      <c r="G151" s="27" t="s">
        <v>1711</v>
      </c>
      <c r="H151" s="27">
        <v>0.5</v>
      </c>
      <c r="I151" s="27" t="s">
        <v>1712</v>
      </c>
      <c r="J151" s="27">
        <v>1</v>
      </c>
      <c r="K151" s="24">
        <f t="shared" si="57"/>
        <v>9</v>
      </c>
      <c r="L151" s="24">
        <f t="shared" si="63"/>
        <v>36</v>
      </c>
      <c r="M151" s="24">
        <f t="shared" si="58"/>
        <v>2.1176470588235294</v>
      </c>
      <c r="N151" s="24">
        <f t="shared" si="64"/>
        <v>2.1176470588235294</v>
      </c>
      <c r="O151" s="24">
        <f t="shared" si="59"/>
        <v>8.3529411764705888</v>
      </c>
      <c r="P151" s="24">
        <f t="shared" si="67"/>
        <v>4.1764705882352944</v>
      </c>
      <c r="Q151" s="24">
        <f t="shared" si="60"/>
        <v>1.1176470588235294</v>
      </c>
      <c r="R151" s="24">
        <f t="shared" si="65"/>
        <v>1.1176470588235294</v>
      </c>
      <c r="S151" s="108">
        <f t="shared" si="68"/>
        <v>1</v>
      </c>
      <c r="T151" s="28">
        <f t="shared" si="66"/>
        <v>44.411764705882355</v>
      </c>
      <c r="U151" s="28">
        <f t="shared" si="55"/>
        <v>44.411764705882355</v>
      </c>
      <c r="V151" s="36">
        <f t="shared" si="61"/>
        <v>4.4411764705882355</v>
      </c>
      <c r="W151" s="36">
        <f t="shared" si="62"/>
        <v>0.65</v>
      </c>
      <c r="X151" s="56">
        <f t="shared" si="56"/>
        <v>4.5</v>
      </c>
    </row>
    <row r="152" spans="1:24">
      <c r="A152" s="26" t="s">
        <v>1371</v>
      </c>
      <c r="B152" s="27">
        <v>10</v>
      </c>
      <c r="C152" s="27" t="s">
        <v>1713</v>
      </c>
      <c r="D152" s="27">
        <v>4</v>
      </c>
      <c r="E152" s="27" t="s">
        <v>1706</v>
      </c>
      <c r="F152" s="27">
        <v>0.5</v>
      </c>
      <c r="G152" s="27" t="s">
        <v>1712</v>
      </c>
      <c r="H152" s="27">
        <v>2</v>
      </c>
      <c r="I152" s="27"/>
      <c r="J152" s="27"/>
      <c r="K152" s="24">
        <f t="shared" si="57"/>
        <v>10</v>
      </c>
      <c r="L152" s="24">
        <f t="shared" si="63"/>
        <v>40</v>
      </c>
      <c r="M152" s="24">
        <f t="shared" si="58"/>
        <v>2.2352941176470589</v>
      </c>
      <c r="N152" s="24">
        <f t="shared" si="64"/>
        <v>1.1176470588235294</v>
      </c>
      <c r="O152" s="24">
        <f t="shared" si="59"/>
        <v>1.1176470588235294</v>
      </c>
      <c r="P152" s="24">
        <f t="shared" si="67"/>
        <v>2.2352941176470589</v>
      </c>
      <c r="Q152" s="24" t="str">
        <f t="shared" si="60"/>
        <v/>
      </c>
      <c r="R152" s="24" t="str">
        <f t="shared" si="65"/>
        <v/>
      </c>
      <c r="S152" s="108">
        <f t="shared" si="68"/>
        <v>1</v>
      </c>
      <c r="T152" s="28">
        <f t="shared" si="66"/>
        <v>44.352941176470587</v>
      </c>
      <c r="U152" s="28">
        <f t="shared" si="55"/>
        <v>44.352941176470587</v>
      </c>
      <c r="V152" s="36">
        <f t="shared" si="61"/>
        <v>4.4352941176470591</v>
      </c>
      <c r="W152" s="36">
        <f t="shared" si="62"/>
        <v>0.65</v>
      </c>
      <c r="X152" s="56">
        <f t="shared" si="56"/>
        <v>4.5</v>
      </c>
    </row>
    <row r="153" spans="1:24" ht="24">
      <c r="A153" s="26" t="s" ph="1">
        <v>1714</v>
      </c>
      <c r="B153" s="27">
        <v>10</v>
      </c>
      <c r="C153" s="27" t="s">
        <v>352</v>
      </c>
      <c r="D153" s="27">
        <v>5</v>
      </c>
      <c r="E153" s="27" t="s">
        <v>1715</v>
      </c>
      <c r="F153" s="27">
        <v>0.5</v>
      </c>
      <c r="G153" s="27" t="s">
        <v>1716</v>
      </c>
      <c r="H153" s="27">
        <v>1</v>
      </c>
      <c r="I153" s="27"/>
      <c r="J153" s="27"/>
      <c r="K153" s="24">
        <f t="shared" si="57"/>
        <v>2.8571428571428572</v>
      </c>
      <c r="L153" s="24">
        <f t="shared" si="63"/>
        <v>14.285714285714286</v>
      </c>
      <c r="M153" s="24">
        <f t="shared" si="58"/>
        <v>2.2352941176470589</v>
      </c>
      <c r="N153" s="24">
        <f t="shared" si="64"/>
        <v>1.1176470588235294</v>
      </c>
      <c r="O153" s="24">
        <f t="shared" si="59"/>
        <v>1.1176470588235294</v>
      </c>
      <c r="P153" s="24">
        <f t="shared" si="67"/>
        <v>1.1176470588235294</v>
      </c>
      <c r="Q153" s="24" t="str">
        <f t="shared" si="60"/>
        <v/>
      </c>
      <c r="R153" s="24" t="str">
        <f t="shared" si="65"/>
        <v/>
      </c>
      <c r="S153" s="108">
        <f t="shared" si="68"/>
        <v>1</v>
      </c>
      <c r="T153" s="28">
        <f t="shared" si="66"/>
        <v>17.521008403361346</v>
      </c>
      <c r="U153" s="28">
        <f t="shared" si="55"/>
        <v>17.521008403361346</v>
      </c>
      <c r="V153" s="36">
        <f t="shared" si="61"/>
        <v>1.7521008403361347</v>
      </c>
      <c r="W153" s="36">
        <f t="shared" si="62"/>
        <v>0.65</v>
      </c>
      <c r="X153" s="56">
        <f t="shared" si="56"/>
        <v>1.8</v>
      </c>
    </row>
    <row r="154" spans="1:24">
      <c r="A154" s="26" t="s">
        <v>1808</v>
      </c>
      <c r="B154" s="27">
        <v>10</v>
      </c>
      <c r="C154" s="27" t="s">
        <v>1809</v>
      </c>
      <c r="D154" s="27">
        <v>2</v>
      </c>
      <c r="E154" s="27" t="s">
        <v>1810</v>
      </c>
      <c r="F154" s="27">
        <v>0.1</v>
      </c>
      <c r="G154" s="27"/>
      <c r="H154" s="27"/>
      <c r="I154" s="27"/>
      <c r="J154" s="27"/>
      <c r="K154" s="24">
        <f t="shared" si="57"/>
        <v>1.1176470588235294</v>
      </c>
      <c r="L154" s="24">
        <f t="shared" si="63"/>
        <v>2.2352941176470589</v>
      </c>
      <c r="M154" s="24">
        <f t="shared" si="58"/>
        <v>2.2352941176470589</v>
      </c>
      <c r="N154" s="24">
        <f t="shared" si="64"/>
        <v>0.22352941176470589</v>
      </c>
      <c r="O154" s="24" t="str">
        <f t="shared" si="59"/>
        <v/>
      </c>
      <c r="P154" s="24" t="str">
        <f t="shared" si="67"/>
        <v/>
      </c>
      <c r="Q154" s="24" t="str">
        <f t="shared" si="60"/>
        <v/>
      </c>
      <c r="R154" s="24" t="str">
        <f t="shared" si="65"/>
        <v/>
      </c>
      <c r="S154" s="108">
        <f>B154*0.1</f>
        <v>1</v>
      </c>
      <c r="T154" s="28">
        <f t="shared" si="66"/>
        <v>3.4588235294117649</v>
      </c>
      <c r="U154" s="28">
        <f t="shared" si="55"/>
        <v>3.4588235294117649</v>
      </c>
      <c r="V154" s="36">
        <f t="shared" si="61"/>
        <v>0.34588235294117647</v>
      </c>
      <c r="W154" s="36">
        <f t="shared" si="62"/>
        <v>0.21000000000000002</v>
      </c>
      <c r="X154" s="56">
        <f t="shared" si="56"/>
        <v>0.4</v>
      </c>
    </row>
    <row r="155" spans="1:24">
      <c r="A155" s="26" t="s">
        <v>1766</v>
      </c>
      <c r="B155" s="27">
        <v>10</v>
      </c>
      <c r="C155" s="27" t="s">
        <v>1811</v>
      </c>
      <c r="D155" s="27">
        <v>3</v>
      </c>
      <c r="E155" s="27" t="s">
        <v>1810</v>
      </c>
      <c r="F155" s="27">
        <v>0.1</v>
      </c>
      <c r="G155" s="27"/>
      <c r="H155" s="27"/>
      <c r="I155" s="27"/>
      <c r="J155" s="27"/>
      <c r="K155" s="24">
        <f t="shared" si="57"/>
        <v>0.70588235294117652</v>
      </c>
      <c r="L155" s="24">
        <f t="shared" si="63"/>
        <v>2.1176470588235294</v>
      </c>
      <c r="M155" s="24">
        <f t="shared" si="58"/>
        <v>2.2352941176470589</v>
      </c>
      <c r="N155" s="24">
        <f t="shared" si="64"/>
        <v>0.22352941176470589</v>
      </c>
      <c r="O155" s="24" t="str">
        <f t="shared" si="59"/>
        <v/>
      </c>
      <c r="P155" s="24" t="str">
        <f t="shared" si="67"/>
        <v/>
      </c>
      <c r="Q155" s="24" t="str">
        <f t="shared" si="60"/>
        <v/>
      </c>
      <c r="R155" s="24" t="str">
        <f t="shared" si="65"/>
        <v/>
      </c>
      <c r="S155" s="108">
        <f t="shared" si="68"/>
        <v>1</v>
      </c>
      <c r="T155" s="28">
        <f t="shared" si="66"/>
        <v>3.3411764705882354</v>
      </c>
      <c r="U155" s="28">
        <f t="shared" si="55"/>
        <v>3.3411764705882354</v>
      </c>
      <c r="V155" s="36">
        <f t="shared" si="61"/>
        <v>0.33411764705882352</v>
      </c>
      <c r="W155" s="36">
        <f t="shared" si="62"/>
        <v>0.31</v>
      </c>
      <c r="X155" s="56">
        <f t="shared" si="56"/>
        <v>0.4</v>
      </c>
    </row>
    <row r="156" spans="1:24">
      <c r="A156" s="26" t="s">
        <v>1767</v>
      </c>
      <c r="B156" s="27">
        <v>10</v>
      </c>
      <c r="C156" s="27" t="s">
        <v>1812</v>
      </c>
      <c r="D156" s="27">
        <v>1.5</v>
      </c>
      <c r="E156" s="27" t="s">
        <v>1813</v>
      </c>
      <c r="F156" s="27">
        <v>0.5</v>
      </c>
      <c r="G156" s="27"/>
      <c r="H156" s="27"/>
      <c r="I156" s="27"/>
      <c r="J156" s="27"/>
      <c r="K156" s="24">
        <f t="shared" si="57"/>
        <v>1.6470588235294117</v>
      </c>
      <c r="L156" s="24">
        <f t="shared" si="63"/>
        <v>2.4705882352941178</v>
      </c>
      <c r="M156" s="24">
        <f t="shared" si="58"/>
        <v>2.1176470588235294</v>
      </c>
      <c r="N156" s="24">
        <f t="shared" si="64"/>
        <v>1.0588235294117647</v>
      </c>
      <c r="O156" s="24" t="str">
        <f t="shared" si="59"/>
        <v/>
      </c>
      <c r="P156" s="24" t="str">
        <f t="shared" si="67"/>
        <v/>
      </c>
      <c r="Q156" s="24" t="str">
        <f t="shared" si="60"/>
        <v/>
      </c>
      <c r="R156" s="24" t="str">
        <f t="shared" si="65"/>
        <v/>
      </c>
      <c r="S156" s="108">
        <f t="shared" si="68"/>
        <v>1</v>
      </c>
      <c r="T156" s="28">
        <f t="shared" si="66"/>
        <v>4.5294117647058822</v>
      </c>
      <c r="U156" s="28">
        <f t="shared" si="55"/>
        <v>4.5294117647058822</v>
      </c>
      <c r="V156" s="36">
        <f t="shared" si="61"/>
        <v>0.45294117647058824</v>
      </c>
      <c r="W156" s="36">
        <f t="shared" si="62"/>
        <v>0.2</v>
      </c>
      <c r="X156" s="56">
        <f t="shared" si="56"/>
        <v>0.5</v>
      </c>
    </row>
    <row r="157" spans="1:24">
      <c r="A157" s="26" t="s">
        <v>1349</v>
      </c>
      <c r="B157" s="27">
        <v>10</v>
      </c>
      <c r="C157" s="27" t="s">
        <v>1814</v>
      </c>
      <c r="D157" s="27">
        <v>3</v>
      </c>
      <c r="E157" s="27"/>
      <c r="F157" s="27"/>
      <c r="G157" s="27"/>
      <c r="H157" s="27"/>
      <c r="I157" s="27"/>
      <c r="J157" s="27"/>
      <c r="K157" s="24">
        <f t="shared" si="57"/>
        <v>1</v>
      </c>
      <c r="L157" s="24">
        <f t="shared" si="63"/>
        <v>3</v>
      </c>
      <c r="M157" s="24" t="str">
        <f t="shared" si="58"/>
        <v/>
      </c>
      <c r="N157" s="24" t="str">
        <f t="shared" si="64"/>
        <v/>
      </c>
      <c r="O157" s="24" t="str">
        <f t="shared" si="59"/>
        <v/>
      </c>
      <c r="P157" s="24" t="str">
        <f t="shared" si="67"/>
        <v/>
      </c>
      <c r="Q157" s="24" t="str">
        <f t="shared" si="60"/>
        <v/>
      </c>
      <c r="R157" s="24" t="str">
        <f t="shared" si="65"/>
        <v/>
      </c>
      <c r="S157" s="108">
        <f t="shared" si="68"/>
        <v>1</v>
      </c>
      <c r="T157" s="28">
        <f t="shared" si="66"/>
        <v>4</v>
      </c>
      <c r="U157" s="28">
        <f t="shared" si="55"/>
        <v>4</v>
      </c>
      <c r="V157" s="36">
        <f t="shared" si="61"/>
        <v>0.4</v>
      </c>
      <c r="W157" s="36">
        <f t="shared" si="62"/>
        <v>0.3</v>
      </c>
      <c r="X157" s="56">
        <f t="shared" si="56"/>
        <v>0.4</v>
      </c>
    </row>
    <row r="158" spans="1:24">
      <c r="A158" s="26" t="s">
        <v>1768</v>
      </c>
      <c r="B158" s="27">
        <v>10</v>
      </c>
      <c r="C158" s="27" t="s">
        <v>1815</v>
      </c>
      <c r="D158" s="27">
        <v>3</v>
      </c>
      <c r="E158" s="27"/>
      <c r="F158" s="27"/>
      <c r="G158" s="27"/>
      <c r="H158" s="27"/>
      <c r="I158" s="27"/>
      <c r="J158" s="27"/>
      <c r="K158" s="24">
        <f t="shared" si="57"/>
        <v>0.88235294117647056</v>
      </c>
      <c r="L158" s="24">
        <f t="shared" si="63"/>
        <v>2.6470588235294117</v>
      </c>
      <c r="M158" s="24" t="str">
        <f t="shared" si="58"/>
        <v/>
      </c>
      <c r="N158" s="24" t="str">
        <f t="shared" si="64"/>
        <v/>
      </c>
      <c r="O158" s="24" t="str">
        <f t="shared" si="59"/>
        <v/>
      </c>
      <c r="P158" s="24" t="str">
        <f t="shared" si="67"/>
        <v/>
      </c>
      <c r="Q158" s="24" t="str">
        <f t="shared" si="60"/>
        <v/>
      </c>
      <c r="R158" s="24" t="str">
        <f t="shared" si="65"/>
        <v/>
      </c>
      <c r="S158" s="108">
        <f t="shared" si="68"/>
        <v>1</v>
      </c>
      <c r="T158" s="28">
        <f t="shared" si="66"/>
        <v>3.6470588235294117</v>
      </c>
      <c r="U158" s="28">
        <f t="shared" si="55"/>
        <v>3.6470588235294117</v>
      </c>
      <c r="V158" s="36">
        <f t="shared" si="61"/>
        <v>0.36470588235294116</v>
      </c>
      <c r="W158" s="36">
        <f t="shared" si="62"/>
        <v>0.3</v>
      </c>
      <c r="X158" s="56">
        <f t="shared" si="56"/>
        <v>0.4</v>
      </c>
    </row>
    <row r="159" spans="1:24">
      <c r="A159" s="26" t="s">
        <v>1769</v>
      </c>
      <c r="B159" s="27">
        <v>10</v>
      </c>
      <c r="C159" s="27" t="s">
        <v>1816</v>
      </c>
      <c r="D159" s="27">
        <v>3</v>
      </c>
      <c r="E159" s="27" t="s">
        <v>1818</v>
      </c>
      <c r="F159" s="27">
        <v>3</v>
      </c>
      <c r="G159" s="27" t="s">
        <v>1810</v>
      </c>
      <c r="H159" s="27">
        <v>0.2</v>
      </c>
      <c r="I159" s="27" t="s">
        <v>1819</v>
      </c>
      <c r="J159" s="27">
        <v>0.5</v>
      </c>
      <c r="K159" s="24">
        <f t="shared" si="57"/>
        <v>0.94117647058823539</v>
      </c>
      <c r="L159" s="24">
        <f t="shared" si="63"/>
        <v>2.8235294117647061</v>
      </c>
      <c r="M159" s="24">
        <f t="shared" si="58"/>
        <v>20</v>
      </c>
      <c r="N159" s="24">
        <f t="shared" si="64"/>
        <v>60</v>
      </c>
      <c r="O159" s="24">
        <f t="shared" si="59"/>
        <v>2.2352941176470589</v>
      </c>
      <c r="P159" s="24">
        <f t="shared" si="67"/>
        <v>0.44705882352941179</v>
      </c>
      <c r="Q159" s="24">
        <f t="shared" si="60"/>
        <v>8.3529411764705888</v>
      </c>
      <c r="R159" s="24">
        <f t="shared" si="65"/>
        <v>4.1764705882352944</v>
      </c>
      <c r="S159" s="108">
        <f t="shared" si="68"/>
        <v>1</v>
      </c>
      <c r="T159" s="28">
        <f t="shared" si="66"/>
        <v>68.447058823529403</v>
      </c>
      <c r="U159" s="28">
        <f t="shared" si="55"/>
        <v>68.447058823529403</v>
      </c>
      <c r="V159" s="36">
        <f t="shared" si="61"/>
        <v>6.8447058823529403</v>
      </c>
      <c r="W159" s="36">
        <f t="shared" si="62"/>
        <v>0.67</v>
      </c>
      <c r="X159" s="56">
        <f t="shared" si="56"/>
        <v>6.8999999999999995</v>
      </c>
    </row>
    <row r="160" spans="1:24">
      <c r="A160" s="26" t="s">
        <v>1770</v>
      </c>
      <c r="B160" s="27">
        <v>10</v>
      </c>
      <c r="C160" s="27" t="s">
        <v>1820</v>
      </c>
      <c r="D160" s="27">
        <v>6</v>
      </c>
      <c r="E160" s="27" t="s">
        <v>1810</v>
      </c>
      <c r="F160" s="27">
        <v>0.3</v>
      </c>
      <c r="G160" s="27"/>
      <c r="H160" s="27"/>
      <c r="I160" s="27"/>
      <c r="J160" s="27"/>
      <c r="K160" s="24">
        <f t="shared" si="57"/>
        <v>5.5</v>
      </c>
      <c r="L160" s="24">
        <f t="shared" si="63"/>
        <v>33</v>
      </c>
      <c r="M160" s="24">
        <f t="shared" si="58"/>
        <v>2.2352941176470589</v>
      </c>
      <c r="N160" s="24">
        <f t="shared" si="64"/>
        <v>0.6705882352941176</v>
      </c>
      <c r="O160" s="24" t="str">
        <f t="shared" si="59"/>
        <v/>
      </c>
      <c r="P160" s="24" t="str">
        <f t="shared" si="67"/>
        <v/>
      </c>
      <c r="Q160" s="24" t="str">
        <f t="shared" si="60"/>
        <v/>
      </c>
      <c r="R160" s="24" t="str">
        <f t="shared" si="65"/>
        <v/>
      </c>
      <c r="S160" s="108">
        <f t="shared" si="68"/>
        <v>1</v>
      </c>
      <c r="T160" s="28">
        <f t="shared" si="66"/>
        <v>34.670588235294119</v>
      </c>
      <c r="U160" s="28">
        <f t="shared" si="55"/>
        <v>34.670588235294119</v>
      </c>
      <c r="V160" s="36">
        <f t="shared" si="61"/>
        <v>3.467058823529412</v>
      </c>
      <c r="W160" s="36">
        <f t="shared" si="62"/>
        <v>0.63</v>
      </c>
      <c r="X160" s="56">
        <f t="shared" si="56"/>
        <v>3.5</v>
      </c>
    </row>
    <row r="161" spans="1:24">
      <c r="A161" s="26" t="s">
        <v>1771</v>
      </c>
      <c r="B161" s="27">
        <v>10</v>
      </c>
      <c r="C161" s="27" t="s">
        <v>2170</v>
      </c>
      <c r="D161" s="27">
        <v>6</v>
      </c>
      <c r="E161" s="27" t="s">
        <v>1810</v>
      </c>
      <c r="F161" s="27">
        <v>0.3</v>
      </c>
      <c r="G161" s="27"/>
      <c r="H161" s="27"/>
      <c r="I161" s="27"/>
      <c r="J161" s="27"/>
      <c r="K161" s="24">
        <f t="shared" si="57"/>
        <v>3.4666666666666668</v>
      </c>
      <c r="L161" s="24">
        <f t="shared" si="63"/>
        <v>20.8</v>
      </c>
      <c r="M161" s="24">
        <f t="shared" si="58"/>
        <v>2.2352941176470589</v>
      </c>
      <c r="N161" s="24">
        <f t="shared" si="64"/>
        <v>0.6705882352941176</v>
      </c>
      <c r="O161" s="24" t="str">
        <f t="shared" si="59"/>
        <v/>
      </c>
      <c r="P161" s="24" t="str">
        <f t="shared" si="67"/>
        <v/>
      </c>
      <c r="Q161" s="24" t="str">
        <f t="shared" si="60"/>
        <v/>
      </c>
      <c r="R161" s="24" t="str">
        <f t="shared" si="65"/>
        <v/>
      </c>
      <c r="S161" s="108">
        <f t="shared" si="68"/>
        <v>1</v>
      </c>
      <c r="T161" s="28">
        <f t="shared" si="66"/>
        <v>22.47058823529412</v>
      </c>
      <c r="U161" s="28">
        <f t="shared" si="55"/>
        <v>22.47058823529412</v>
      </c>
      <c r="V161" s="36">
        <f t="shared" si="61"/>
        <v>2.2470588235294118</v>
      </c>
      <c r="W161" s="36">
        <f t="shared" si="62"/>
        <v>0.63</v>
      </c>
      <c r="X161" s="56">
        <f t="shared" si="56"/>
        <v>2.3000000000000003</v>
      </c>
    </row>
    <row r="162" spans="1:24">
      <c r="A162" s="26" t="s">
        <v>1772</v>
      </c>
      <c r="B162" s="27">
        <v>10</v>
      </c>
      <c r="C162" s="27" t="s">
        <v>1009</v>
      </c>
      <c r="D162" s="27">
        <v>0.6</v>
      </c>
      <c r="E162" s="27" t="s">
        <v>1821</v>
      </c>
      <c r="F162" s="27">
        <v>1</v>
      </c>
      <c r="G162" s="27"/>
      <c r="H162" s="27"/>
      <c r="I162" s="27"/>
      <c r="J162" s="27"/>
      <c r="K162" s="24">
        <f t="shared" si="57"/>
        <v>61.428571428571431</v>
      </c>
      <c r="L162" s="24">
        <f t="shared" si="63"/>
        <v>36.857142857142854</v>
      </c>
      <c r="M162" s="24">
        <f t="shared" si="58"/>
        <v>3.4117647058823528</v>
      </c>
      <c r="N162" s="24">
        <f t="shared" si="64"/>
        <v>3.4117647058823528</v>
      </c>
      <c r="O162" s="24" t="str">
        <f t="shared" si="59"/>
        <v/>
      </c>
      <c r="P162" s="24" t="str">
        <f t="shared" si="67"/>
        <v/>
      </c>
      <c r="Q162" s="24" t="str">
        <f t="shared" si="60"/>
        <v/>
      </c>
      <c r="R162" s="24" t="str">
        <f t="shared" si="65"/>
        <v/>
      </c>
      <c r="S162" s="108">
        <f t="shared" si="68"/>
        <v>1</v>
      </c>
      <c r="T162" s="28">
        <f t="shared" si="66"/>
        <v>41.268907563025209</v>
      </c>
      <c r="U162" s="28">
        <f t="shared" si="55"/>
        <v>41.268907563025209</v>
      </c>
      <c r="V162" s="36">
        <f t="shared" si="61"/>
        <v>4.1268907563025206</v>
      </c>
      <c r="W162" s="36">
        <f t="shared" si="62"/>
        <v>0.16</v>
      </c>
      <c r="X162" s="56">
        <f t="shared" si="56"/>
        <v>4.1999999999999993</v>
      </c>
    </row>
    <row r="163" spans="1:24">
      <c r="A163" s="26" t="s">
        <v>1773</v>
      </c>
      <c r="B163" s="27">
        <v>10</v>
      </c>
      <c r="C163" s="27" t="s">
        <v>1816</v>
      </c>
      <c r="D163" s="27">
        <v>6</v>
      </c>
      <c r="E163" s="27" t="s">
        <v>1822</v>
      </c>
      <c r="F163" s="27">
        <v>0.5</v>
      </c>
      <c r="G163" s="27" t="s">
        <v>1810</v>
      </c>
      <c r="H163" s="27">
        <v>0.3</v>
      </c>
      <c r="I163" s="27" t="s">
        <v>1819</v>
      </c>
      <c r="J163" s="27">
        <v>0.5</v>
      </c>
      <c r="K163" s="24">
        <f t="shared" si="57"/>
        <v>0.94117647058823539</v>
      </c>
      <c r="L163" s="24">
        <f t="shared" si="63"/>
        <v>5.6470588235294121</v>
      </c>
      <c r="M163" s="24">
        <f t="shared" si="58"/>
        <v>14.285714285714286</v>
      </c>
      <c r="N163" s="24">
        <f t="shared" si="64"/>
        <v>7.1428571428571432</v>
      </c>
      <c r="O163" s="24">
        <f t="shared" si="59"/>
        <v>2.2352941176470589</v>
      </c>
      <c r="P163" s="24">
        <f t="shared" si="67"/>
        <v>0.6705882352941176</v>
      </c>
      <c r="Q163" s="24">
        <f t="shared" si="60"/>
        <v>8.3529411764705888</v>
      </c>
      <c r="R163" s="24">
        <f t="shared" si="65"/>
        <v>4.1764705882352944</v>
      </c>
      <c r="S163" s="108">
        <f t="shared" si="68"/>
        <v>1</v>
      </c>
      <c r="T163" s="28">
        <f t="shared" si="66"/>
        <v>18.636974789915968</v>
      </c>
      <c r="U163" s="28">
        <f t="shared" ref="U163:U226" si="69">T163*(1+凉菜物料)</f>
        <v>18.636974789915968</v>
      </c>
      <c r="V163" s="36">
        <f t="shared" si="61"/>
        <v>1.8636974789915968</v>
      </c>
      <c r="W163" s="36">
        <f t="shared" si="62"/>
        <v>0.73000000000000009</v>
      </c>
      <c r="X163" s="56">
        <f t="shared" ref="X163:X226" si="70">ROUNDUP(V163*(1+凉菜毛利),1)</f>
        <v>1.9000000000000001</v>
      </c>
    </row>
    <row r="164" spans="1:24">
      <c r="A164" s="26" t="s">
        <v>1777</v>
      </c>
      <c r="B164" s="27">
        <v>10</v>
      </c>
      <c r="C164" s="27" t="s">
        <v>2171</v>
      </c>
      <c r="D164" s="27">
        <v>5</v>
      </c>
      <c r="E164" s="27" t="s">
        <v>1810</v>
      </c>
      <c r="F164" s="27">
        <v>0.5</v>
      </c>
      <c r="G164" s="27" t="s">
        <v>1819</v>
      </c>
      <c r="H164" s="27">
        <v>0.5</v>
      </c>
      <c r="I164" s="27" t="s">
        <v>1821</v>
      </c>
      <c r="J164" s="27">
        <v>2</v>
      </c>
      <c r="K164" s="24">
        <f t="shared" ref="K164:K227" si="71">IF(C164="","",VLOOKUP(C164,成本单价,8,0))</f>
        <v>4.5333333333333332</v>
      </c>
      <c r="L164" s="24">
        <f t="shared" si="63"/>
        <v>22.666666666666664</v>
      </c>
      <c r="M164" s="24">
        <f t="shared" ref="M164:M227" si="72">IF(E164="","",VLOOKUP(E164,成本单价,8,0))</f>
        <v>2.2352941176470589</v>
      </c>
      <c r="N164" s="24">
        <f t="shared" si="64"/>
        <v>1.1176470588235294</v>
      </c>
      <c r="O164" s="24">
        <f t="shared" ref="O164:O227" si="73">IF(G164="","",VLOOKUP(G164,成本单价,8,0))</f>
        <v>8.3529411764705888</v>
      </c>
      <c r="P164" s="24">
        <f t="shared" si="67"/>
        <v>4.1764705882352944</v>
      </c>
      <c r="Q164" s="24">
        <f t="shared" ref="Q164:Q227" si="74">IF(I164="","",VLOOKUP(I164,成本单价,8,0))</f>
        <v>3.4117647058823528</v>
      </c>
      <c r="R164" s="24">
        <f t="shared" si="65"/>
        <v>6.8235294117647056</v>
      </c>
      <c r="S164" s="108">
        <f t="shared" si="68"/>
        <v>1</v>
      </c>
      <c r="T164" s="28">
        <f t="shared" si="66"/>
        <v>35.784313725490193</v>
      </c>
      <c r="U164" s="28">
        <f t="shared" si="69"/>
        <v>35.784313725490193</v>
      </c>
      <c r="V164" s="36">
        <f t="shared" ref="V164:V227" si="75">U164/B164</f>
        <v>3.5784313725490193</v>
      </c>
      <c r="W164" s="36">
        <f t="shared" ref="W164:W227" si="76">D164/B164+F164/B164+H164/B164+J164/B164</f>
        <v>0.8</v>
      </c>
      <c r="X164" s="56">
        <f t="shared" si="70"/>
        <v>3.6</v>
      </c>
    </row>
    <row r="165" spans="1:24">
      <c r="A165" s="26" t="s">
        <v>1778</v>
      </c>
      <c r="B165" s="27">
        <v>10</v>
      </c>
      <c r="C165" s="27" t="s">
        <v>1823</v>
      </c>
      <c r="D165" s="27">
        <v>3</v>
      </c>
      <c r="E165" s="27" t="s">
        <v>1824</v>
      </c>
      <c r="F165" s="27">
        <v>0.5</v>
      </c>
      <c r="G165" s="27" t="s">
        <v>1810</v>
      </c>
      <c r="H165" s="27">
        <v>0.5</v>
      </c>
      <c r="I165" s="27"/>
      <c r="J165" s="27"/>
      <c r="K165" s="24">
        <f t="shared" si="71"/>
        <v>2.3529411764705883</v>
      </c>
      <c r="L165" s="24">
        <f t="shared" ref="L165:L228" si="77">IFERROR(D165*K165,"")</f>
        <v>7.0588235294117645</v>
      </c>
      <c r="M165" s="24">
        <f t="shared" si="72"/>
        <v>42.857142857142861</v>
      </c>
      <c r="N165" s="24">
        <f t="shared" ref="N165:N228" si="78">IFERROR(F165*M165,"")</f>
        <v>21.428571428571431</v>
      </c>
      <c r="O165" s="24">
        <f t="shared" si="73"/>
        <v>2.2352941176470589</v>
      </c>
      <c r="P165" s="24">
        <f t="shared" si="67"/>
        <v>1.1176470588235294</v>
      </c>
      <c r="Q165" s="24" t="str">
        <f t="shared" si="74"/>
        <v/>
      </c>
      <c r="R165" s="24" t="str">
        <f t="shared" ref="R165:R228" si="79">IFERROR(J165*Q165,"")</f>
        <v/>
      </c>
      <c r="S165" s="108">
        <f t="shared" si="68"/>
        <v>1</v>
      </c>
      <c r="T165" s="28">
        <f t="shared" ref="T165:T228" si="80">IFERROR(SUM(L165,N165,P165,R165,S165),"")</f>
        <v>30.605042016806724</v>
      </c>
      <c r="U165" s="28">
        <f t="shared" si="69"/>
        <v>30.605042016806724</v>
      </c>
      <c r="V165" s="36">
        <f t="shared" si="75"/>
        <v>3.0605042016806725</v>
      </c>
      <c r="W165" s="36">
        <f t="shared" si="76"/>
        <v>0.39999999999999997</v>
      </c>
      <c r="X165" s="56">
        <f t="shared" si="70"/>
        <v>3.1</v>
      </c>
    </row>
    <row r="166" spans="1:24">
      <c r="A166" s="26" t="s">
        <v>1779</v>
      </c>
      <c r="B166" s="27">
        <v>10</v>
      </c>
      <c r="C166" s="27" t="s">
        <v>1809</v>
      </c>
      <c r="D166" s="27">
        <v>2</v>
      </c>
      <c r="E166" s="27" t="s">
        <v>1292</v>
      </c>
      <c r="F166" s="27">
        <v>5</v>
      </c>
      <c r="G166" s="27" t="s">
        <v>1810</v>
      </c>
      <c r="H166" s="27">
        <v>0.3</v>
      </c>
      <c r="I166" s="27"/>
      <c r="J166" s="27"/>
      <c r="K166" s="24">
        <f t="shared" si="71"/>
        <v>1.1176470588235294</v>
      </c>
      <c r="L166" s="24">
        <f t="shared" si="77"/>
        <v>2.2352941176470589</v>
      </c>
      <c r="M166" s="24">
        <f t="shared" si="72"/>
        <v>2.8571428571428572</v>
      </c>
      <c r="N166" s="24">
        <f t="shared" si="78"/>
        <v>14.285714285714286</v>
      </c>
      <c r="O166" s="24">
        <f t="shared" si="73"/>
        <v>2.2352941176470589</v>
      </c>
      <c r="P166" s="24">
        <f t="shared" ref="P166:P229" si="81">IFERROR(H166*O166,"")</f>
        <v>0.6705882352941176</v>
      </c>
      <c r="Q166" s="24" t="str">
        <f t="shared" si="74"/>
        <v/>
      </c>
      <c r="R166" s="24" t="str">
        <f t="shared" si="79"/>
        <v/>
      </c>
      <c r="S166" s="108">
        <f t="shared" si="68"/>
        <v>1</v>
      </c>
      <c r="T166" s="28">
        <f t="shared" si="80"/>
        <v>18.191596638655465</v>
      </c>
      <c r="U166" s="28">
        <f t="shared" si="69"/>
        <v>18.191596638655465</v>
      </c>
      <c r="V166" s="36">
        <f t="shared" si="75"/>
        <v>1.8191596638655465</v>
      </c>
      <c r="W166" s="36">
        <f t="shared" si="76"/>
        <v>0.73</v>
      </c>
      <c r="X166" s="56">
        <f t="shared" si="70"/>
        <v>1.9000000000000001</v>
      </c>
    </row>
    <row r="167" spans="1:24">
      <c r="A167" s="26" t="s">
        <v>1780</v>
      </c>
      <c r="B167" s="27">
        <v>10</v>
      </c>
      <c r="C167" s="27" t="s">
        <v>2168</v>
      </c>
      <c r="D167" s="27">
        <v>6</v>
      </c>
      <c r="E167" s="27" t="s">
        <v>1810</v>
      </c>
      <c r="F167" s="27">
        <v>0.4</v>
      </c>
      <c r="G167" s="27" t="s">
        <v>1821</v>
      </c>
      <c r="H167" s="27">
        <v>1</v>
      </c>
      <c r="I167" s="27"/>
      <c r="J167" s="27"/>
      <c r="K167" s="24">
        <f t="shared" si="71"/>
        <v>2.5333333333333332</v>
      </c>
      <c r="L167" s="24">
        <f t="shared" si="77"/>
        <v>15.2</v>
      </c>
      <c r="M167" s="24">
        <f t="shared" si="72"/>
        <v>2.2352941176470589</v>
      </c>
      <c r="N167" s="24">
        <f t="shared" si="78"/>
        <v>0.89411764705882357</v>
      </c>
      <c r="O167" s="24">
        <f t="shared" si="73"/>
        <v>3.4117647058823528</v>
      </c>
      <c r="P167" s="24">
        <f t="shared" si="81"/>
        <v>3.4117647058823528</v>
      </c>
      <c r="Q167" s="24" t="str">
        <f t="shared" si="74"/>
        <v/>
      </c>
      <c r="R167" s="24" t="str">
        <f t="shared" si="79"/>
        <v/>
      </c>
      <c r="S167" s="108">
        <f t="shared" si="68"/>
        <v>1</v>
      </c>
      <c r="T167" s="28">
        <f t="shared" si="80"/>
        <v>20.505882352941175</v>
      </c>
      <c r="U167" s="28">
        <f t="shared" si="69"/>
        <v>20.505882352941175</v>
      </c>
      <c r="V167" s="36">
        <f t="shared" si="75"/>
        <v>2.0505882352941174</v>
      </c>
      <c r="W167" s="36">
        <f t="shared" si="76"/>
        <v>0.74</v>
      </c>
      <c r="X167" s="56">
        <f t="shared" si="70"/>
        <v>2.1</v>
      </c>
    </row>
    <row r="168" spans="1:24">
      <c r="A168" s="26" t="s">
        <v>1781</v>
      </c>
      <c r="B168" s="27">
        <v>10</v>
      </c>
      <c r="C168" s="27" t="s">
        <v>2165</v>
      </c>
      <c r="D168" s="27">
        <v>6</v>
      </c>
      <c r="E168" s="27" t="s">
        <v>1810</v>
      </c>
      <c r="F168" s="27">
        <v>0.2</v>
      </c>
      <c r="G168" s="27" t="s">
        <v>1821</v>
      </c>
      <c r="H168" s="27">
        <v>0.5</v>
      </c>
      <c r="I168" s="27"/>
      <c r="J168" s="27"/>
      <c r="K168" s="24">
        <f t="shared" si="71"/>
        <v>4.3999999999999995</v>
      </c>
      <c r="L168" s="24">
        <f t="shared" si="77"/>
        <v>26.4</v>
      </c>
      <c r="M168" s="24">
        <f t="shared" si="72"/>
        <v>2.2352941176470589</v>
      </c>
      <c r="N168" s="24">
        <f t="shared" si="78"/>
        <v>0.44705882352941179</v>
      </c>
      <c r="O168" s="24">
        <f t="shared" si="73"/>
        <v>3.4117647058823528</v>
      </c>
      <c r="P168" s="24">
        <f t="shared" si="81"/>
        <v>1.7058823529411764</v>
      </c>
      <c r="Q168" s="24" t="str">
        <f t="shared" si="74"/>
        <v/>
      </c>
      <c r="R168" s="24" t="str">
        <f t="shared" si="79"/>
        <v/>
      </c>
      <c r="S168" s="108">
        <f t="shared" si="68"/>
        <v>1</v>
      </c>
      <c r="T168" s="28">
        <f t="shared" si="80"/>
        <v>29.552941176470586</v>
      </c>
      <c r="U168" s="28">
        <f t="shared" si="69"/>
        <v>29.552941176470586</v>
      </c>
      <c r="V168" s="36">
        <f t="shared" si="75"/>
        <v>2.9552941176470586</v>
      </c>
      <c r="W168" s="36">
        <f t="shared" si="76"/>
        <v>0.67</v>
      </c>
      <c r="X168" s="56">
        <f t="shared" si="70"/>
        <v>3</v>
      </c>
    </row>
    <row r="169" spans="1:24">
      <c r="A169" s="26" t="s">
        <v>1784</v>
      </c>
      <c r="B169" s="27">
        <v>10</v>
      </c>
      <c r="C169" s="27" t="s">
        <v>2169</v>
      </c>
      <c r="D169" s="27">
        <v>4</v>
      </c>
      <c r="E169" s="27" t="s">
        <v>1827</v>
      </c>
      <c r="F169" s="27">
        <v>2</v>
      </c>
      <c r="G169" s="27"/>
      <c r="H169" s="27"/>
      <c r="I169" s="27"/>
      <c r="J169" s="27"/>
      <c r="K169" s="24">
        <f t="shared" si="71"/>
        <v>4.3999999999999995</v>
      </c>
      <c r="L169" s="24">
        <f t="shared" si="77"/>
        <v>17.599999999999998</v>
      </c>
      <c r="M169" s="24">
        <f t="shared" si="72"/>
        <v>2.1176470588235294</v>
      </c>
      <c r="N169" s="24">
        <f t="shared" si="78"/>
        <v>4.2352941176470589</v>
      </c>
      <c r="O169" s="24" t="str">
        <f t="shared" si="73"/>
        <v/>
      </c>
      <c r="P169" s="24" t="str">
        <f t="shared" si="81"/>
        <v/>
      </c>
      <c r="Q169" s="24" t="str">
        <f t="shared" si="74"/>
        <v/>
      </c>
      <c r="R169" s="24" t="str">
        <f t="shared" si="79"/>
        <v/>
      </c>
      <c r="S169" s="108">
        <f t="shared" si="68"/>
        <v>1</v>
      </c>
      <c r="T169" s="28">
        <f t="shared" si="80"/>
        <v>22.835294117647056</v>
      </c>
      <c r="U169" s="28">
        <f t="shared" si="69"/>
        <v>22.835294117647056</v>
      </c>
      <c r="V169" s="36">
        <f t="shared" si="75"/>
        <v>2.2835294117647056</v>
      </c>
      <c r="W169" s="36">
        <f t="shared" si="76"/>
        <v>0.60000000000000009</v>
      </c>
      <c r="X169" s="56">
        <f t="shared" si="70"/>
        <v>2.3000000000000003</v>
      </c>
    </row>
    <row r="170" spans="1:24">
      <c r="A170" s="26" t="s">
        <v>1785</v>
      </c>
      <c r="B170" s="27">
        <v>10</v>
      </c>
      <c r="C170" s="27" t="s">
        <v>1826</v>
      </c>
      <c r="D170" s="27">
        <v>6</v>
      </c>
      <c r="E170" s="27" t="s">
        <v>1810</v>
      </c>
      <c r="F170" s="27">
        <v>1</v>
      </c>
      <c r="G170" s="27"/>
      <c r="H170" s="27"/>
      <c r="I170" s="27"/>
      <c r="J170" s="27"/>
      <c r="K170" s="24">
        <f t="shared" si="71"/>
        <v>1.1764705882352942</v>
      </c>
      <c r="L170" s="24">
        <f t="shared" si="77"/>
        <v>7.0588235294117645</v>
      </c>
      <c r="M170" s="24">
        <f t="shared" si="72"/>
        <v>2.2352941176470589</v>
      </c>
      <c r="N170" s="24">
        <f t="shared" si="78"/>
        <v>2.2352941176470589</v>
      </c>
      <c r="O170" s="24" t="str">
        <f t="shared" si="73"/>
        <v/>
      </c>
      <c r="P170" s="24" t="str">
        <f t="shared" si="81"/>
        <v/>
      </c>
      <c r="Q170" s="24" t="str">
        <f t="shared" si="74"/>
        <v/>
      </c>
      <c r="R170" s="24" t="str">
        <f t="shared" si="79"/>
        <v/>
      </c>
      <c r="S170" s="108">
        <f>B170*0.5</f>
        <v>5</v>
      </c>
      <c r="T170" s="28">
        <f t="shared" si="80"/>
        <v>14.294117647058822</v>
      </c>
      <c r="U170" s="28">
        <f t="shared" si="69"/>
        <v>14.294117647058822</v>
      </c>
      <c r="V170" s="36">
        <f t="shared" si="75"/>
        <v>1.4294117647058822</v>
      </c>
      <c r="W170" s="36">
        <f t="shared" si="76"/>
        <v>0.7</v>
      </c>
      <c r="X170" s="56">
        <f t="shared" si="70"/>
        <v>1.5</v>
      </c>
    </row>
    <row r="171" spans="1:24">
      <c r="A171" s="26" t="s">
        <v>1774</v>
      </c>
      <c r="B171" s="27">
        <v>10</v>
      </c>
      <c r="C171" s="27" t="s">
        <v>1811</v>
      </c>
      <c r="D171" s="27">
        <v>1.5</v>
      </c>
      <c r="E171" s="27" t="s">
        <v>1828</v>
      </c>
      <c r="F171" s="27">
        <v>2</v>
      </c>
      <c r="G171" s="27"/>
      <c r="H171" s="27"/>
      <c r="I171" s="27"/>
      <c r="J171" s="27"/>
      <c r="K171" s="24">
        <f t="shared" si="71"/>
        <v>0.70588235294117652</v>
      </c>
      <c r="L171" s="24">
        <f t="shared" si="77"/>
        <v>1.0588235294117647</v>
      </c>
      <c r="M171" s="24">
        <f t="shared" si="72"/>
        <v>1.8823529411764708</v>
      </c>
      <c r="N171" s="24">
        <f t="shared" si="78"/>
        <v>3.7647058823529416</v>
      </c>
      <c r="O171" s="24" t="str">
        <f t="shared" si="73"/>
        <v/>
      </c>
      <c r="P171" s="24" t="str">
        <f t="shared" si="81"/>
        <v/>
      </c>
      <c r="Q171" s="24" t="str">
        <f t="shared" si="74"/>
        <v/>
      </c>
      <c r="R171" s="24" t="str">
        <f t="shared" si="79"/>
        <v/>
      </c>
      <c r="S171" s="108">
        <f t="shared" si="68"/>
        <v>1</v>
      </c>
      <c r="T171" s="28">
        <f t="shared" si="80"/>
        <v>5.8235294117647065</v>
      </c>
      <c r="U171" s="28">
        <f t="shared" si="69"/>
        <v>5.8235294117647065</v>
      </c>
      <c r="V171" s="36">
        <f t="shared" si="75"/>
        <v>0.58235294117647063</v>
      </c>
      <c r="W171" s="36">
        <f t="shared" si="76"/>
        <v>0.35</v>
      </c>
      <c r="X171" s="56">
        <f t="shared" si="70"/>
        <v>0.6</v>
      </c>
    </row>
    <row r="172" spans="1:24">
      <c r="A172" s="26" t="s">
        <v>120</v>
      </c>
      <c r="B172" s="27">
        <v>50</v>
      </c>
      <c r="C172" s="27" t="s">
        <v>120</v>
      </c>
      <c r="D172" s="27">
        <v>1</v>
      </c>
      <c r="E172" s="27"/>
      <c r="F172" s="27"/>
      <c r="G172" s="27"/>
      <c r="H172" s="27"/>
      <c r="I172" s="27"/>
      <c r="J172" s="27"/>
      <c r="K172" s="24">
        <f t="shared" si="71"/>
        <v>25.714285714285715</v>
      </c>
      <c r="L172" s="24">
        <f t="shared" si="77"/>
        <v>25.714285714285715</v>
      </c>
      <c r="M172" s="24" t="str">
        <f t="shared" si="72"/>
        <v/>
      </c>
      <c r="N172" s="24" t="str">
        <f t="shared" si="78"/>
        <v/>
      </c>
      <c r="O172" s="24" t="str">
        <f t="shared" si="73"/>
        <v/>
      </c>
      <c r="P172" s="24" t="str">
        <f t="shared" si="81"/>
        <v/>
      </c>
      <c r="Q172" s="24" t="str">
        <f t="shared" si="74"/>
        <v/>
      </c>
      <c r="R172" s="24" t="str">
        <f t="shared" si="79"/>
        <v/>
      </c>
      <c r="S172" s="108">
        <f t="shared" si="68"/>
        <v>5</v>
      </c>
      <c r="T172" s="28">
        <f t="shared" si="80"/>
        <v>30.714285714285715</v>
      </c>
      <c r="U172" s="28">
        <f t="shared" si="69"/>
        <v>30.714285714285715</v>
      </c>
      <c r="V172" s="36">
        <f t="shared" si="75"/>
        <v>0.61428571428571432</v>
      </c>
      <c r="W172" s="36">
        <f t="shared" si="76"/>
        <v>0.02</v>
      </c>
      <c r="X172" s="56">
        <f t="shared" si="70"/>
        <v>0.7</v>
      </c>
    </row>
    <row r="173" spans="1:24">
      <c r="A173" s="26" t="s">
        <v>1775</v>
      </c>
      <c r="B173" s="27">
        <v>10</v>
      </c>
      <c r="C173" s="27" t="s">
        <v>1829</v>
      </c>
      <c r="D173" s="27">
        <v>3</v>
      </c>
      <c r="E173" s="27"/>
      <c r="F173" s="27"/>
      <c r="G173" s="27"/>
      <c r="H173" s="27"/>
      <c r="I173" s="27"/>
      <c r="J173" s="27"/>
      <c r="K173" s="24">
        <f t="shared" si="71"/>
        <v>1.7647058823529411</v>
      </c>
      <c r="L173" s="24">
        <f t="shared" si="77"/>
        <v>5.2941176470588234</v>
      </c>
      <c r="M173" s="24" t="str">
        <f t="shared" si="72"/>
        <v/>
      </c>
      <c r="N173" s="24" t="str">
        <f t="shared" si="78"/>
        <v/>
      </c>
      <c r="O173" s="24" t="str">
        <f t="shared" si="73"/>
        <v/>
      </c>
      <c r="P173" s="24" t="str">
        <f t="shared" si="81"/>
        <v/>
      </c>
      <c r="Q173" s="24" t="str">
        <f t="shared" si="74"/>
        <v/>
      </c>
      <c r="R173" s="24" t="str">
        <f t="shared" si="79"/>
        <v/>
      </c>
      <c r="S173" s="108">
        <f>B173*0.2</f>
        <v>2</v>
      </c>
      <c r="T173" s="28">
        <f t="shared" si="80"/>
        <v>7.2941176470588234</v>
      </c>
      <c r="U173" s="28">
        <f t="shared" si="69"/>
        <v>7.2941176470588234</v>
      </c>
      <c r="V173" s="36">
        <f t="shared" si="75"/>
        <v>0.72941176470588232</v>
      </c>
      <c r="W173" s="36">
        <f t="shared" si="76"/>
        <v>0.3</v>
      </c>
      <c r="X173" s="56">
        <f t="shared" si="70"/>
        <v>0.79999999999999993</v>
      </c>
    </row>
    <row r="174" spans="1:24">
      <c r="A174" s="26" t="s">
        <v>1776</v>
      </c>
      <c r="B174" s="27">
        <v>10</v>
      </c>
      <c r="C174" s="27" t="s">
        <v>1816</v>
      </c>
      <c r="D174" s="27">
        <v>4</v>
      </c>
      <c r="E174" s="27"/>
      <c r="F174" s="27"/>
      <c r="G174" s="27"/>
      <c r="H174" s="27"/>
      <c r="I174" s="27"/>
      <c r="J174" s="27"/>
      <c r="K174" s="24">
        <f t="shared" si="71"/>
        <v>0.94117647058823539</v>
      </c>
      <c r="L174" s="24">
        <f t="shared" si="77"/>
        <v>3.7647058823529416</v>
      </c>
      <c r="M174" s="24" t="str">
        <f t="shared" si="72"/>
        <v/>
      </c>
      <c r="N174" s="24" t="str">
        <f t="shared" si="78"/>
        <v/>
      </c>
      <c r="O174" s="24" t="str">
        <f t="shared" si="73"/>
        <v/>
      </c>
      <c r="P174" s="24" t="str">
        <f t="shared" si="81"/>
        <v/>
      </c>
      <c r="Q174" s="24" t="str">
        <f t="shared" si="74"/>
        <v/>
      </c>
      <c r="R174" s="24" t="str">
        <f t="shared" si="79"/>
        <v/>
      </c>
      <c r="S174" s="108">
        <f>B174*0.2</f>
        <v>2</v>
      </c>
      <c r="T174" s="28">
        <f t="shared" si="80"/>
        <v>5.764705882352942</v>
      </c>
      <c r="U174" s="28">
        <f t="shared" si="69"/>
        <v>5.764705882352942</v>
      </c>
      <c r="V174" s="36">
        <f t="shared" si="75"/>
        <v>0.57647058823529418</v>
      </c>
      <c r="W174" s="36">
        <f t="shared" si="76"/>
        <v>0.4</v>
      </c>
      <c r="X174" s="56">
        <f t="shared" si="70"/>
        <v>0.6</v>
      </c>
    </row>
    <row r="175" spans="1:24">
      <c r="A175" s="26" t="s">
        <v>1789</v>
      </c>
      <c r="B175" s="27">
        <v>10</v>
      </c>
      <c r="C175" s="27" t="s">
        <v>1004</v>
      </c>
      <c r="D175" s="27">
        <v>6</v>
      </c>
      <c r="E175" s="27" t="s">
        <v>1832</v>
      </c>
      <c r="F175" s="27">
        <v>0.5</v>
      </c>
      <c r="G175" s="27"/>
      <c r="H175" s="27"/>
      <c r="I175" s="27"/>
      <c r="J175" s="27"/>
      <c r="K175" s="24">
        <f t="shared" si="71"/>
        <v>4.5333333333333332</v>
      </c>
      <c r="L175" s="24">
        <f t="shared" si="77"/>
        <v>27.2</v>
      </c>
      <c r="M175" s="24">
        <f t="shared" si="72"/>
        <v>30</v>
      </c>
      <c r="N175" s="24">
        <f t="shared" si="78"/>
        <v>15</v>
      </c>
      <c r="O175" s="24" t="str">
        <f t="shared" si="73"/>
        <v/>
      </c>
      <c r="P175" s="24" t="str">
        <f t="shared" si="81"/>
        <v/>
      </c>
      <c r="Q175" s="24" t="str">
        <f t="shared" si="74"/>
        <v/>
      </c>
      <c r="R175" s="24" t="str">
        <f t="shared" si="79"/>
        <v/>
      </c>
      <c r="S175" s="108">
        <f t="shared" si="68"/>
        <v>1</v>
      </c>
      <c r="T175" s="28">
        <f t="shared" si="80"/>
        <v>43.2</v>
      </c>
      <c r="U175" s="28">
        <f t="shared" si="69"/>
        <v>43.2</v>
      </c>
      <c r="V175" s="36">
        <f t="shared" si="75"/>
        <v>4.32</v>
      </c>
      <c r="W175" s="36">
        <f t="shared" si="76"/>
        <v>0.65</v>
      </c>
      <c r="X175" s="56">
        <f t="shared" si="70"/>
        <v>4.3999999999999995</v>
      </c>
    </row>
    <row r="176" spans="1:24">
      <c r="A176" s="26" t="s">
        <v>1790</v>
      </c>
      <c r="B176" s="27">
        <v>10</v>
      </c>
      <c r="C176" s="27" t="s">
        <v>1834</v>
      </c>
      <c r="D176" s="27">
        <v>4</v>
      </c>
      <c r="E176" s="27" t="s">
        <v>1810</v>
      </c>
      <c r="F176" s="27">
        <v>0.5</v>
      </c>
      <c r="G176" s="27" t="s">
        <v>1819</v>
      </c>
      <c r="H176" s="27">
        <v>0.5</v>
      </c>
      <c r="I176" s="27" t="s">
        <v>1809</v>
      </c>
      <c r="J176" s="27">
        <v>2</v>
      </c>
      <c r="K176" s="24">
        <f t="shared" si="71"/>
        <v>2</v>
      </c>
      <c r="L176" s="24">
        <f t="shared" si="77"/>
        <v>8</v>
      </c>
      <c r="M176" s="24">
        <f t="shared" si="72"/>
        <v>2.2352941176470589</v>
      </c>
      <c r="N176" s="24">
        <f t="shared" si="78"/>
        <v>1.1176470588235294</v>
      </c>
      <c r="O176" s="24">
        <f t="shared" si="73"/>
        <v>8.3529411764705888</v>
      </c>
      <c r="P176" s="24">
        <f t="shared" si="81"/>
        <v>4.1764705882352944</v>
      </c>
      <c r="Q176" s="24">
        <f t="shared" si="74"/>
        <v>1.1176470588235294</v>
      </c>
      <c r="R176" s="24">
        <f t="shared" si="79"/>
        <v>2.2352941176470589</v>
      </c>
      <c r="S176" s="108">
        <f t="shared" si="68"/>
        <v>1</v>
      </c>
      <c r="T176" s="28">
        <f t="shared" si="80"/>
        <v>16.52941176470588</v>
      </c>
      <c r="U176" s="28">
        <f t="shared" si="69"/>
        <v>16.52941176470588</v>
      </c>
      <c r="V176" s="36">
        <f t="shared" si="75"/>
        <v>1.6529411764705881</v>
      </c>
      <c r="W176" s="36">
        <f t="shared" si="76"/>
        <v>0.7</v>
      </c>
      <c r="X176" s="56">
        <f t="shared" si="70"/>
        <v>1.7000000000000002</v>
      </c>
    </row>
    <row r="177" spans="1:24">
      <c r="A177" s="26" t="s">
        <v>1793</v>
      </c>
      <c r="B177" s="27">
        <v>10</v>
      </c>
      <c r="C177" s="27" t="s">
        <v>1823</v>
      </c>
      <c r="D177" s="27">
        <v>5</v>
      </c>
      <c r="E177" s="27" t="s">
        <v>1810</v>
      </c>
      <c r="F177" s="27">
        <v>0.5</v>
      </c>
      <c r="G177" s="27" t="s">
        <v>1819</v>
      </c>
      <c r="H177" s="27">
        <v>0.5</v>
      </c>
      <c r="I177" s="27"/>
      <c r="J177" s="27"/>
      <c r="K177" s="24">
        <f t="shared" si="71"/>
        <v>2.3529411764705883</v>
      </c>
      <c r="L177" s="24">
        <f t="shared" si="77"/>
        <v>11.764705882352942</v>
      </c>
      <c r="M177" s="24">
        <f t="shared" si="72"/>
        <v>2.2352941176470589</v>
      </c>
      <c r="N177" s="24">
        <f t="shared" si="78"/>
        <v>1.1176470588235294</v>
      </c>
      <c r="O177" s="24">
        <f t="shared" si="73"/>
        <v>8.3529411764705888</v>
      </c>
      <c r="P177" s="24">
        <f t="shared" si="81"/>
        <v>4.1764705882352944</v>
      </c>
      <c r="Q177" s="24" t="str">
        <f t="shared" si="74"/>
        <v/>
      </c>
      <c r="R177" s="24" t="str">
        <f t="shared" si="79"/>
        <v/>
      </c>
      <c r="S177" s="108">
        <f t="shared" si="68"/>
        <v>1</v>
      </c>
      <c r="T177" s="28">
        <f t="shared" si="80"/>
        <v>18.058823529411764</v>
      </c>
      <c r="U177" s="28">
        <f t="shared" si="69"/>
        <v>18.058823529411764</v>
      </c>
      <c r="V177" s="36">
        <f t="shared" si="75"/>
        <v>1.8058823529411765</v>
      </c>
      <c r="W177" s="36">
        <f t="shared" si="76"/>
        <v>0.60000000000000009</v>
      </c>
      <c r="X177" s="56">
        <f t="shared" si="70"/>
        <v>1.9000000000000001</v>
      </c>
    </row>
    <row r="178" spans="1:24">
      <c r="A178" s="26" t="s">
        <v>1794</v>
      </c>
      <c r="B178" s="27">
        <v>10</v>
      </c>
      <c r="C178" s="27" t="s">
        <v>2168</v>
      </c>
      <c r="D178" s="27">
        <v>6</v>
      </c>
      <c r="E178" s="27" t="s">
        <v>1832</v>
      </c>
      <c r="F178" s="27">
        <v>0.6</v>
      </c>
      <c r="G178" s="27"/>
      <c r="H178" s="27"/>
      <c r="I178" s="27"/>
      <c r="J178" s="27"/>
      <c r="K178" s="24">
        <f t="shared" si="71"/>
        <v>2.5333333333333332</v>
      </c>
      <c r="L178" s="24">
        <f t="shared" si="77"/>
        <v>15.2</v>
      </c>
      <c r="M178" s="24">
        <f t="shared" si="72"/>
        <v>30</v>
      </c>
      <c r="N178" s="24">
        <f t="shared" si="78"/>
        <v>18</v>
      </c>
      <c r="O178" s="24" t="str">
        <f t="shared" si="73"/>
        <v/>
      </c>
      <c r="P178" s="24" t="str">
        <f t="shared" si="81"/>
        <v/>
      </c>
      <c r="Q178" s="24" t="str">
        <f t="shared" si="74"/>
        <v/>
      </c>
      <c r="R178" s="24" t="str">
        <f t="shared" si="79"/>
        <v/>
      </c>
      <c r="S178" s="108">
        <f t="shared" si="68"/>
        <v>1</v>
      </c>
      <c r="T178" s="28">
        <f t="shared" si="80"/>
        <v>34.200000000000003</v>
      </c>
      <c r="U178" s="28">
        <f t="shared" si="69"/>
        <v>34.200000000000003</v>
      </c>
      <c r="V178" s="36">
        <f t="shared" si="75"/>
        <v>3.4200000000000004</v>
      </c>
      <c r="W178" s="36">
        <f t="shared" si="76"/>
        <v>0.65999999999999992</v>
      </c>
      <c r="X178" s="56">
        <f t="shared" si="70"/>
        <v>3.5</v>
      </c>
    </row>
    <row r="179" spans="1:24">
      <c r="A179" s="26" t="s">
        <v>1795</v>
      </c>
      <c r="B179" s="27">
        <v>10</v>
      </c>
      <c r="C179" s="27" t="s">
        <v>71</v>
      </c>
      <c r="D179" s="27">
        <v>6</v>
      </c>
      <c r="E179" s="27" t="s">
        <v>1836</v>
      </c>
      <c r="F179" s="27">
        <v>0.3</v>
      </c>
      <c r="G179" s="27" t="s">
        <v>1835</v>
      </c>
      <c r="H179" s="27">
        <v>0.3</v>
      </c>
      <c r="I179" s="27"/>
      <c r="J179" s="27"/>
      <c r="K179" s="24">
        <f t="shared" si="71"/>
        <v>2.3529411764705883</v>
      </c>
      <c r="L179" s="24">
        <f t="shared" si="77"/>
        <v>14.117647058823529</v>
      </c>
      <c r="M179" s="24">
        <f t="shared" si="72"/>
        <v>2.2352941176470589</v>
      </c>
      <c r="N179" s="24">
        <f t="shared" si="78"/>
        <v>0.6705882352941176</v>
      </c>
      <c r="O179" s="24">
        <f t="shared" si="73"/>
        <v>17.647058823529413</v>
      </c>
      <c r="P179" s="24">
        <f t="shared" si="81"/>
        <v>5.2941176470588234</v>
      </c>
      <c r="Q179" s="24" t="str">
        <f t="shared" si="74"/>
        <v/>
      </c>
      <c r="R179" s="24" t="str">
        <f t="shared" si="79"/>
        <v/>
      </c>
      <c r="S179" s="108">
        <f t="shared" si="68"/>
        <v>1</v>
      </c>
      <c r="T179" s="28">
        <f t="shared" si="80"/>
        <v>21.08235294117647</v>
      </c>
      <c r="U179" s="28">
        <f t="shared" si="69"/>
        <v>21.08235294117647</v>
      </c>
      <c r="V179" s="36">
        <f t="shared" si="75"/>
        <v>2.1082352941176472</v>
      </c>
      <c r="W179" s="36">
        <f t="shared" si="76"/>
        <v>0.66</v>
      </c>
      <c r="X179" s="56">
        <f t="shared" si="70"/>
        <v>2.2000000000000002</v>
      </c>
    </row>
    <row r="180" spans="1:24">
      <c r="A180" s="26" t="s">
        <v>1796</v>
      </c>
      <c r="B180" s="27">
        <v>10</v>
      </c>
      <c r="C180" s="27" t="s">
        <v>1824</v>
      </c>
      <c r="D180" s="27">
        <v>3</v>
      </c>
      <c r="E180" s="27" t="s">
        <v>1836</v>
      </c>
      <c r="F180" s="27">
        <v>0.3</v>
      </c>
      <c r="G180" s="27"/>
      <c r="H180" s="27"/>
      <c r="I180" s="27"/>
      <c r="J180" s="27"/>
      <c r="K180" s="24">
        <f t="shared" si="71"/>
        <v>42.857142857142861</v>
      </c>
      <c r="L180" s="24">
        <f t="shared" si="77"/>
        <v>128.57142857142858</v>
      </c>
      <c r="M180" s="24">
        <f t="shared" si="72"/>
        <v>2.2352941176470589</v>
      </c>
      <c r="N180" s="24">
        <f t="shared" si="78"/>
        <v>0.6705882352941176</v>
      </c>
      <c r="O180" s="24" t="str">
        <f t="shared" si="73"/>
        <v/>
      </c>
      <c r="P180" s="24" t="str">
        <f t="shared" si="81"/>
        <v/>
      </c>
      <c r="Q180" s="24" t="str">
        <f t="shared" si="74"/>
        <v/>
      </c>
      <c r="R180" s="24" t="str">
        <f t="shared" si="79"/>
        <v/>
      </c>
      <c r="S180" s="108">
        <f t="shared" si="68"/>
        <v>1</v>
      </c>
      <c r="T180" s="28">
        <f t="shared" si="80"/>
        <v>130.24201680672269</v>
      </c>
      <c r="U180" s="28">
        <f t="shared" si="69"/>
        <v>130.24201680672269</v>
      </c>
      <c r="V180" s="36">
        <f t="shared" si="75"/>
        <v>13.024201680672268</v>
      </c>
      <c r="W180" s="36">
        <f t="shared" si="76"/>
        <v>0.32999999999999996</v>
      </c>
      <c r="X180" s="56">
        <f t="shared" si="70"/>
        <v>13.1</v>
      </c>
    </row>
    <row r="181" spans="1:24">
      <c r="A181" s="26" t="s">
        <v>1797</v>
      </c>
      <c r="B181" s="27">
        <v>10</v>
      </c>
      <c r="C181" s="27" t="s">
        <v>2167</v>
      </c>
      <c r="D181" s="27">
        <v>6</v>
      </c>
      <c r="E181" s="27" t="s">
        <v>1810</v>
      </c>
      <c r="F181" s="27">
        <v>0.5</v>
      </c>
      <c r="G181" s="27" t="s">
        <v>1819</v>
      </c>
      <c r="H181" s="27">
        <v>0.5</v>
      </c>
      <c r="I181" s="27"/>
      <c r="J181" s="27"/>
      <c r="K181" s="24">
        <f t="shared" si="71"/>
        <v>4.3999999999999995</v>
      </c>
      <c r="L181" s="24">
        <f t="shared" si="77"/>
        <v>26.4</v>
      </c>
      <c r="M181" s="24">
        <f t="shared" si="72"/>
        <v>2.2352941176470589</v>
      </c>
      <c r="N181" s="24">
        <f t="shared" si="78"/>
        <v>1.1176470588235294</v>
      </c>
      <c r="O181" s="24">
        <f t="shared" si="73"/>
        <v>8.3529411764705888</v>
      </c>
      <c r="P181" s="24">
        <f t="shared" si="81"/>
        <v>4.1764705882352944</v>
      </c>
      <c r="Q181" s="24" t="str">
        <f t="shared" si="74"/>
        <v/>
      </c>
      <c r="R181" s="24" t="str">
        <f t="shared" si="79"/>
        <v/>
      </c>
      <c r="S181" s="108">
        <f t="shared" si="68"/>
        <v>1</v>
      </c>
      <c r="T181" s="28">
        <f t="shared" si="80"/>
        <v>32.694117647058818</v>
      </c>
      <c r="U181" s="28">
        <f t="shared" si="69"/>
        <v>32.694117647058818</v>
      </c>
      <c r="V181" s="36">
        <f t="shared" si="75"/>
        <v>3.2694117647058816</v>
      </c>
      <c r="W181" s="36">
        <f t="shared" si="76"/>
        <v>0.70000000000000007</v>
      </c>
      <c r="X181" s="56">
        <f t="shared" si="70"/>
        <v>3.3000000000000003</v>
      </c>
    </row>
    <row r="182" spans="1:24">
      <c r="A182" s="26" t="s">
        <v>1800</v>
      </c>
      <c r="B182" s="27">
        <v>10</v>
      </c>
      <c r="C182" s="27" t="s">
        <v>1837</v>
      </c>
      <c r="D182" s="27">
        <v>2</v>
      </c>
      <c r="E182" s="27" t="s">
        <v>1829</v>
      </c>
      <c r="F182" s="27">
        <v>4</v>
      </c>
      <c r="G182" s="27"/>
      <c r="H182" s="27"/>
      <c r="I182" s="27"/>
      <c r="J182" s="27"/>
      <c r="K182" s="24">
        <f t="shared" si="71"/>
        <v>7</v>
      </c>
      <c r="L182" s="24">
        <f t="shared" si="77"/>
        <v>14</v>
      </c>
      <c r="M182" s="24">
        <f t="shared" si="72"/>
        <v>1.7647058823529411</v>
      </c>
      <c r="N182" s="24">
        <f t="shared" si="78"/>
        <v>7.0588235294117645</v>
      </c>
      <c r="O182" s="24" t="str">
        <f t="shared" si="73"/>
        <v/>
      </c>
      <c r="P182" s="24" t="str">
        <f t="shared" si="81"/>
        <v/>
      </c>
      <c r="Q182" s="24" t="str">
        <f t="shared" si="74"/>
        <v/>
      </c>
      <c r="R182" s="24" t="str">
        <f t="shared" si="79"/>
        <v/>
      </c>
      <c r="S182" s="108">
        <f t="shared" ref="S182:S245" si="82">B182*0.1</f>
        <v>1</v>
      </c>
      <c r="T182" s="28">
        <f t="shared" si="80"/>
        <v>22.058823529411764</v>
      </c>
      <c r="U182" s="28">
        <f t="shared" si="69"/>
        <v>22.058823529411764</v>
      </c>
      <c r="V182" s="36">
        <f t="shared" si="75"/>
        <v>2.2058823529411766</v>
      </c>
      <c r="W182" s="36">
        <f t="shared" si="76"/>
        <v>0.60000000000000009</v>
      </c>
      <c r="X182" s="56">
        <f t="shared" si="70"/>
        <v>2.3000000000000003</v>
      </c>
    </row>
    <row r="183" spans="1:24">
      <c r="A183" s="26" t="s">
        <v>1807</v>
      </c>
      <c r="B183" s="27">
        <v>10</v>
      </c>
      <c r="C183" s="27" t="s">
        <v>1838</v>
      </c>
      <c r="D183" s="27">
        <v>1</v>
      </c>
      <c r="E183" s="27" t="s">
        <v>1296</v>
      </c>
      <c r="F183" s="27">
        <v>1</v>
      </c>
      <c r="G183" s="27"/>
      <c r="H183" s="27"/>
      <c r="I183" s="27"/>
      <c r="J183" s="27"/>
      <c r="K183" s="24">
        <f t="shared" si="71"/>
        <v>8</v>
      </c>
      <c r="L183" s="24">
        <f t="shared" si="77"/>
        <v>8</v>
      </c>
      <c r="M183" s="24">
        <f t="shared" si="72"/>
        <v>45.714285714285715</v>
      </c>
      <c r="N183" s="24">
        <f t="shared" si="78"/>
        <v>45.714285714285715</v>
      </c>
      <c r="O183" s="24" t="str">
        <f t="shared" si="73"/>
        <v/>
      </c>
      <c r="P183" s="24" t="str">
        <f t="shared" si="81"/>
        <v/>
      </c>
      <c r="Q183" s="24" t="str">
        <f t="shared" si="74"/>
        <v/>
      </c>
      <c r="R183" s="24" t="str">
        <f t="shared" si="79"/>
        <v/>
      </c>
      <c r="S183" s="108">
        <f t="shared" si="82"/>
        <v>1</v>
      </c>
      <c r="T183" s="28">
        <f t="shared" si="80"/>
        <v>54.714285714285715</v>
      </c>
      <c r="U183" s="28">
        <f t="shared" si="69"/>
        <v>54.714285714285715</v>
      </c>
      <c r="V183" s="36">
        <f t="shared" si="75"/>
        <v>5.4714285714285715</v>
      </c>
      <c r="W183" s="36">
        <f t="shared" si="76"/>
        <v>0.2</v>
      </c>
      <c r="X183" s="56">
        <f t="shared" si="70"/>
        <v>5.5</v>
      </c>
    </row>
    <row r="184" spans="1:24">
      <c r="A184" s="26" t="s">
        <v>1840</v>
      </c>
      <c r="B184" s="27">
        <v>10</v>
      </c>
      <c r="C184" s="27" t="s">
        <v>1816</v>
      </c>
      <c r="D184" s="27">
        <v>3</v>
      </c>
      <c r="E184" s="27" t="s">
        <v>1810</v>
      </c>
      <c r="F184" s="27">
        <v>0.3</v>
      </c>
      <c r="G184" s="27"/>
      <c r="H184" s="27"/>
      <c r="I184" s="27"/>
      <c r="J184" s="27"/>
      <c r="K184" s="24">
        <f t="shared" si="71"/>
        <v>0.94117647058823539</v>
      </c>
      <c r="L184" s="24">
        <f t="shared" si="77"/>
        <v>2.8235294117647061</v>
      </c>
      <c r="M184" s="24">
        <f t="shared" si="72"/>
        <v>2.2352941176470589</v>
      </c>
      <c r="N184" s="24">
        <f t="shared" si="78"/>
        <v>0.6705882352941176</v>
      </c>
      <c r="O184" s="24" t="str">
        <f t="shared" si="73"/>
        <v/>
      </c>
      <c r="P184" s="24" t="str">
        <f t="shared" si="81"/>
        <v/>
      </c>
      <c r="Q184" s="24" t="str">
        <f t="shared" si="74"/>
        <v/>
      </c>
      <c r="R184" s="24" t="str">
        <f t="shared" si="79"/>
        <v/>
      </c>
      <c r="S184" s="108">
        <f t="shared" si="82"/>
        <v>1</v>
      </c>
      <c r="T184" s="28">
        <f t="shared" si="80"/>
        <v>4.4941176470588236</v>
      </c>
      <c r="U184" s="28">
        <f t="shared" si="69"/>
        <v>4.4941176470588236</v>
      </c>
      <c r="V184" s="36">
        <f t="shared" si="75"/>
        <v>0.44941176470588234</v>
      </c>
      <c r="W184" s="36">
        <f t="shared" si="76"/>
        <v>0.32999999999999996</v>
      </c>
      <c r="X184" s="56">
        <f t="shared" si="70"/>
        <v>0.5</v>
      </c>
    </row>
    <row r="185" spans="1:24">
      <c r="A185" s="26" t="s">
        <v>1774</v>
      </c>
      <c r="B185" s="27">
        <v>10</v>
      </c>
      <c r="C185" s="27" t="s">
        <v>1813</v>
      </c>
      <c r="D185" s="27">
        <v>1</v>
      </c>
      <c r="E185" s="27" t="s">
        <v>1809</v>
      </c>
      <c r="F185" s="27">
        <v>1</v>
      </c>
      <c r="G185" s="27" t="s">
        <v>1810</v>
      </c>
      <c r="H185" s="27">
        <v>0.2</v>
      </c>
      <c r="I185" s="27"/>
      <c r="J185" s="27"/>
      <c r="K185" s="24">
        <f t="shared" si="71"/>
        <v>2.1176470588235294</v>
      </c>
      <c r="L185" s="24">
        <f t="shared" si="77"/>
        <v>2.1176470588235294</v>
      </c>
      <c r="M185" s="24">
        <f t="shared" si="72"/>
        <v>1.1176470588235294</v>
      </c>
      <c r="N185" s="24">
        <f t="shared" si="78"/>
        <v>1.1176470588235294</v>
      </c>
      <c r="O185" s="24">
        <f t="shared" si="73"/>
        <v>2.2352941176470589</v>
      </c>
      <c r="P185" s="24">
        <f t="shared" si="81"/>
        <v>0.44705882352941179</v>
      </c>
      <c r="Q185" s="24" t="str">
        <f t="shared" si="74"/>
        <v/>
      </c>
      <c r="R185" s="24" t="str">
        <f t="shared" si="79"/>
        <v/>
      </c>
      <c r="S185" s="108">
        <f t="shared" si="82"/>
        <v>1</v>
      </c>
      <c r="T185" s="28">
        <f t="shared" si="80"/>
        <v>4.6823529411764708</v>
      </c>
      <c r="U185" s="28">
        <f t="shared" si="69"/>
        <v>4.6823529411764708</v>
      </c>
      <c r="V185" s="36">
        <f t="shared" si="75"/>
        <v>0.46823529411764708</v>
      </c>
      <c r="W185" s="36">
        <f t="shared" si="76"/>
        <v>0.22</v>
      </c>
      <c r="X185" s="56">
        <f t="shared" si="70"/>
        <v>0.5</v>
      </c>
    </row>
    <row r="186" spans="1:24">
      <c r="A186" s="26" t="s">
        <v>1841</v>
      </c>
      <c r="B186" s="27">
        <v>10</v>
      </c>
      <c r="C186" s="27" t="s">
        <v>1815</v>
      </c>
      <c r="D186" s="27">
        <v>2.5</v>
      </c>
      <c r="E186" s="27"/>
      <c r="F186" s="27"/>
      <c r="G186" s="27"/>
      <c r="H186" s="27"/>
      <c r="I186" s="27"/>
      <c r="J186" s="27"/>
      <c r="K186" s="24">
        <f t="shared" si="71"/>
        <v>0.88235294117647056</v>
      </c>
      <c r="L186" s="24">
        <f t="shared" si="77"/>
        <v>2.2058823529411766</v>
      </c>
      <c r="M186" s="24" t="str">
        <f t="shared" si="72"/>
        <v/>
      </c>
      <c r="N186" s="24" t="str">
        <f t="shared" si="78"/>
        <v/>
      </c>
      <c r="O186" s="24" t="str">
        <f t="shared" si="73"/>
        <v/>
      </c>
      <c r="P186" s="24" t="str">
        <f t="shared" si="81"/>
        <v/>
      </c>
      <c r="Q186" s="24" t="str">
        <f t="shared" si="74"/>
        <v/>
      </c>
      <c r="R186" s="24" t="str">
        <f t="shared" si="79"/>
        <v/>
      </c>
      <c r="S186" s="108">
        <f t="shared" si="82"/>
        <v>1</v>
      </c>
      <c r="T186" s="28">
        <f t="shared" si="80"/>
        <v>3.2058823529411766</v>
      </c>
      <c r="U186" s="28">
        <f t="shared" si="69"/>
        <v>3.2058823529411766</v>
      </c>
      <c r="V186" s="36">
        <f t="shared" si="75"/>
        <v>0.32058823529411767</v>
      </c>
      <c r="W186" s="36">
        <f t="shared" si="76"/>
        <v>0.25</v>
      </c>
      <c r="X186" s="56">
        <f t="shared" si="70"/>
        <v>0.4</v>
      </c>
    </row>
    <row r="187" spans="1:24">
      <c r="A187" s="26" t="s">
        <v>1782</v>
      </c>
      <c r="B187" s="27">
        <v>10</v>
      </c>
      <c r="C187" s="27" t="s">
        <v>1812</v>
      </c>
      <c r="D187" s="27">
        <v>3</v>
      </c>
      <c r="E187" s="27"/>
      <c r="F187" s="27"/>
      <c r="G187" s="27"/>
      <c r="H187" s="27"/>
      <c r="I187" s="27"/>
      <c r="J187" s="27"/>
      <c r="K187" s="24">
        <f t="shared" si="71"/>
        <v>1.6470588235294117</v>
      </c>
      <c r="L187" s="24">
        <f t="shared" si="77"/>
        <v>4.9411764705882355</v>
      </c>
      <c r="M187" s="24" t="str">
        <f t="shared" si="72"/>
        <v/>
      </c>
      <c r="N187" s="24" t="str">
        <f t="shared" si="78"/>
        <v/>
      </c>
      <c r="O187" s="24" t="str">
        <f t="shared" si="73"/>
        <v/>
      </c>
      <c r="P187" s="24" t="str">
        <f t="shared" si="81"/>
        <v/>
      </c>
      <c r="Q187" s="24" t="str">
        <f t="shared" si="74"/>
        <v/>
      </c>
      <c r="R187" s="24" t="str">
        <f t="shared" si="79"/>
        <v/>
      </c>
      <c r="S187" s="108">
        <f t="shared" si="82"/>
        <v>1</v>
      </c>
      <c r="T187" s="28">
        <f t="shared" si="80"/>
        <v>5.9411764705882355</v>
      </c>
      <c r="U187" s="28">
        <f t="shared" si="69"/>
        <v>5.9411764705882355</v>
      </c>
      <c r="V187" s="36">
        <f t="shared" si="75"/>
        <v>0.59411764705882353</v>
      </c>
      <c r="W187" s="36">
        <f t="shared" si="76"/>
        <v>0.3</v>
      </c>
      <c r="X187" s="56">
        <f t="shared" si="70"/>
        <v>0.6</v>
      </c>
    </row>
    <row r="188" spans="1:24">
      <c r="A188" s="26" t="s">
        <v>1783</v>
      </c>
      <c r="B188" s="27">
        <v>10</v>
      </c>
      <c r="C188" s="27" t="s">
        <v>1842</v>
      </c>
      <c r="D188" s="27">
        <v>3</v>
      </c>
      <c r="E188" s="27"/>
      <c r="F188" s="27"/>
      <c r="G188" s="27"/>
      <c r="H188" s="27"/>
      <c r="I188" s="27"/>
      <c r="J188" s="27"/>
      <c r="K188" s="24" t="e">
        <f t="shared" si="71"/>
        <v>#N/A</v>
      </c>
      <c r="L188" s="24" t="str">
        <f t="shared" si="77"/>
        <v/>
      </c>
      <c r="M188" s="24" t="str">
        <f t="shared" si="72"/>
        <v/>
      </c>
      <c r="N188" s="24" t="str">
        <f t="shared" si="78"/>
        <v/>
      </c>
      <c r="O188" s="24" t="str">
        <f t="shared" si="73"/>
        <v/>
      </c>
      <c r="P188" s="24" t="str">
        <f t="shared" si="81"/>
        <v/>
      </c>
      <c r="Q188" s="24" t="str">
        <f t="shared" si="74"/>
        <v/>
      </c>
      <c r="R188" s="24" t="str">
        <f t="shared" si="79"/>
        <v/>
      </c>
      <c r="S188" s="108">
        <f>B188*0.3</f>
        <v>3</v>
      </c>
      <c r="T188" s="28">
        <f t="shared" si="80"/>
        <v>3</v>
      </c>
      <c r="U188" s="28">
        <f t="shared" si="69"/>
        <v>3</v>
      </c>
      <c r="V188" s="36">
        <f t="shared" si="75"/>
        <v>0.3</v>
      </c>
      <c r="W188" s="36">
        <f t="shared" si="76"/>
        <v>0.3</v>
      </c>
      <c r="X188" s="56">
        <f t="shared" si="70"/>
        <v>0.3</v>
      </c>
    </row>
    <row r="189" spans="1:24">
      <c r="A189" s="26" t="s">
        <v>1786</v>
      </c>
      <c r="B189" s="27">
        <v>10</v>
      </c>
      <c r="C189" s="27" t="s">
        <v>1845</v>
      </c>
      <c r="D189" s="27">
        <v>1</v>
      </c>
      <c r="E189" s="27" t="s">
        <v>1846</v>
      </c>
      <c r="F189" s="27">
        <v>1</v>
      </c>
      <c r="G189" s="27"/>
      <c r="H189" s="27"/>
      <c r="I189" s="27"/>
      <c r="J189" s="27"/>
      <c r="K189" s="24">
        <f t="shared" si="71"/>
        <v>1.2857142857142858</v>
      </c>
      <c r="L189" s="24">
        <f t="shared" si="77"/>
        <v>1.2857142857142858</v>
      </c>
      <c r="M189" s="24">
        <f t="shared" si="72"/>
        <v>2.5</v>
      </c>
      <c r="N189" s="24">
        <f t="shared" si="78"/>
        <v>2.5</v>
      </c>
      <c r="O189" s="24" t="str">
        <f t="shared" si="73"/>
        <v/>
      </c>
      <c r="P189" s="24" t="str">
        <f t="shared" si="81"/>
        <v/>
      </c>
      <c r="Q189" s="24" t="str">
        <f t="shared" si="74"/>
        <v/>
      </c>
      <c r="R189" s="24" t="str">
        <f t="shared" si="79"/>
        <v/>
      </c>
      <c r="S189" s="108">
        <f t="shared" si="82"/>
        <v>1</v>
      </c>
      <c r="T189" s="28">
        <f t="shared" si="80"/>
        <v>4.7857142857142856</v>
      </c>
      <c r="U189" s="28">
        <f t="shared" si="69"/>
        <v>4.7857142857142856</v>
      </c>
      <c r="V189" s="36">
        <f t="shared" si="75"/>
        <v>0.47857142857142854</v>
      </c>
      <c r="W189" s="36">
        <f t="shared" si="76"/>
        <v>0.2</v>
      </c>
      <c r="X189" s="56">
        <f t="shared" si="70"/>
        <v>0.5</v>
      </c>
    </row>
    <row r="190" spans="1:24">
      <c r="A190" s="26" t="s">
        <v>1787</v>
      </c>
      <c r="B190" s="27">
        <v>10</v>
      </c>
      <c r="C190" s="27" t="s">
        <v>1815</v>
      </c>
      <c r="D190" s="27">
        <v>3</v>
      </c>
      <c r="E190" s="27"/>
      <c r="F190" s="27"/>
      <c r="G190" s="27"/>
      <c r="H190" s="27"/>
      <c r="I190" s="27"/>
      <c r="J190" s="27"/>
      <c r="K190" s="24">
        <f t="shared" si="71"/>
        <v>0.88235294117647056</v>
      </c>
      <c r="L190" s="24">
        <f t="shared" si="77"/>
        <v>2.6470588235294117</v>
      </c>
      <c r="M190" s="24" t="str">
        <f t="shared" si="72"/>
        <v/>
      </c>
      <c r="N190" s="24" t="str">
        <f t="shared" si="78"/>
        <v/>
      </c>
      <c r="O190" s="24" t="str">
        <f t="shared" si="73"/>
        <v/>
      </c>
      <c r="P190" s="24" t="str">
        <f t="shared" si="81"/>
        <v/>
      </c>
      <c r="Q190" s="24" t="str">
        <f t="shared" si="74"/>
        <v/>
      </c>
      <c r="R190" s="24" t="str">
        <f t="shared" si="79"/>
        <v/>
      </c>
      <c r="S190" s="108">
        <f t="shared" si="82"/>
        <v>1</v>
      </c>
      <c r="T190" s="28">
        <f t="shared" si="80"/>
        <v>3.6470588235294117</v>
      </c>
      <c r="U190" s="28">
        <f t="shared" si="69"/>
        <v>3.6470588235294117</v>
      </c>
      <c r="V190" s="36">
        <f t="shared" si="75"/>
        <v>0.36470588235294116</v>
      </c>
      <c r="W190" s="36">
        <f t="shared" si="76"/>
        <v>0.3</v>
      </c>
      <c r="X190" s="56">
        <f t="shared" si="70"/>
        <v>0.4</v>
      </c>
    </row>
    <row r="191" spans="1:24">
      <c r="A191" s="26" t="s">
        <v>1788</v>
      </c>
      <c r="B191" s="27">
        <v>10</v>
      </c>
      <c r="C191" s="27" t="s">
        <v>1847</v>
      </c>
      <c r="D191" s="27">
        <v>3</v>
      </c>
      <c r="E191" s="27"/>
      <c r="F191" s="27"/>
      <c r="G191" s="27"/>
      <c r="H191" s="27"/>
      <c r="I191" s="27"/>
      <c r="J191" s="27"/>
      <c r="K191" s="24">
        <f t="shared" si="71"/>
        <v>0.70588235294117652</v>
      </c>
      <c r="L191" s="24">
        <f t="shared" si="77"/>
        <v>2.1176470588235294</v>
      </c>
      <c r="M191" s="24" t="str">
        <f t="shared" si="72"/>
        <v/>
      </c>
      <c r="N191" s="24" t="str">
        <f t="shared" si="78"/>
        <v/>
      </c>
      <c r="O191" s="24" t="str">
        <f t="shared" si="73"/>
        <v/>
      </c>
      <c r="P191" s="24" t="str">
        <f t="shared" si="81"/>
        <v/>
      </c>
      <c r="Q191" s="24" t="str">
        <f t="shared" si="74"/>
        <v/>
      </c>
      <c r="R191" s="24" t="str">
        <f t="shared" si="79"/>
        <v/>
      </c>
      <c r="S191" s="108">
        <f t="shared" si="82"/>
        <v>1</v>
      </c>
      <c r="T191" s="28">
        <f t="shared" si="80"/>
        <v>3.1176470588235294</v>
      </c>
      <c r="U191" s="28">
        <f t="shared" si="69"/>
        <v>3.1176470588235294</v>
      </c>
      <c r="V191" s="36">
        <f t="shared" si="75"/>
        <v>0.31176470588235294</v>
      </c>
      <c r="W191" s="36">
        <f t="shared" si="76"/>
        <v>0.3</v>
      </c>
      <c r="X191" s="56">
        <f t="shared" si="70"/>
        <v>0.4</v>
      </c>
    </row>
    <row r="192" spans="1:24">
      <c r="A192" s="26" t="s">
        <v>1843</v>
      </c>
      <c r="B192" s="27">
        <v>10</v>
      </c>
      <c r="C192" s="27" t="s">
        <v>1844</v>
      </c>
      <c r="D192" s="27">
        <v>3</v>
      </c>
      <c r="E192" s="27" t="s">
        <v>1810</v>
      </c>
      <c r="F192" s="27">
        <v>0.2</v>
      </c>
      <c r="G192" s="27"/>
      <c r="H192" s="27"/>
      <c r="I192" s="27"/>
      <c r="J192" s="27"/>
      <c r="K192" s="24">
        <f t="shared" si="71"/>
        <v>1.1764705882352942</v>
      </c>
      <c r="L192" s="24">
        <f t="shared" si="77"/>
        <v>3.5294117647058822</v>
      </c>
      <c r="M192" s="24">
        <f t="shared" si="72"/>
        <v>2.2352941176470589</v>
      </c>
      <c r="N192" s="24">
        <f t="shared" si="78"/>
        <v>0.44705882352941179</v>
      </c>
      <c r="O192" s="24" t="str">
        <f t="shared" si="73"/>
        <v/>
      </c>
      <c r="P192" s="24" t="str">
        <f t="shared" si="81"/>
        <v/>
      </c>
      <c r="Q192" s="24" t="str">
        <f t="shared" si="74"/>
        <v/>
      </c>
      <c r="R192" s="24" t="str">
        <f t="shared" si="79"/>
        <v/>
      </c>
      <c r="S192" s="108">
        <f t="shared" si="82"/>
        <v>1</v>
      </c>
      <c r="T192" s="28">
        <f t="shared" si="80"/>
        <v>4.9764705882352942</v>
      </c>
      <c r="U192" s="28">
        <f t="shared" si="69"/>
        <v>4.9764705882352942</v>
      </c>
      <c r="V192" s="36">
        <f t="shared" si="75"/>
        <v>0.49764705882352944</v>
      </c>
      <c r="W192" s="36">
        <f t="shared" si="76"/>
        <v>0.32</v>
      </c>
      <c r="X192" s="56">
        <f t="shared" si="70"/>
        <v>0.5</v>
      </c>
    </row>
    <row r="193" spans="1:24">
      <c r="A193" s="26" t="s">
        <v>1791</v>
      </c>
      <c r="B193" s="27">
        <v>10</v>
      </c>
      <c r="C193" s="27" t="s">
        <v>1848</v>
      </c>
      <c r="D193" s="27">
        <v>6</v>
      </c>
      <c r="E193" s="27" t="s">
        <v>1810</v>
      </c>
      <c r="F193" s="27">
        <v>1</v>
      </c>
      <c r="G193" s="27"/>
      <c r="H193" s="27"/>
      <c r="I193" s="27"/>
      <c r="J193" s="27"/>
      <c r="K193" s="24">
        <f t="shared" si="71"/>
        <v>2.1176470588235294</v>
      </c>
      <c r="L193" s="24">
        <f t="shared" si="77"/>
        <v>12.705882352941178</v>
      </c>
      <c r="M193" s="24">
        <f t="shared" si="72"/>
        <v>2.2352941176470589</v>
      </c>
      <c r="N193" s="24">
        <f t="shared" si="78"/>
        <v>2.2352941176470589</v>
      </c>
      <c r="O193" s="24" t="str">
        <f t="shared" si="73"/>
        <v/>
      </c>
      <c r="P193" s="24" t="str">
        <f t="shared" si="81"/>
        <v/>
      </c>
      <c r="Q193" s="24" t="str">
        <f t="shared" si="74"/>
        <v/>
      </c>
      <c r="R193" s="24" t="str">
        <f t="shared" si="79"/>
        <v/>
      </c>
      <c r="S193" s="108">
        <f t="shared" si="82"/>
        <v>1</v>
      </c>
      <c r="T193" s="28">
        <f t="shared" si="80"/>
        <v>15.941176470588236</v>
      </c>
      <c r="U193" s="28">
        <f t="shared" si="69"/>
        <v>15.941176470588236</v>
      </c>
      <c r="V193" s="36">
        <f t="shared" si="75"/>
        <v>1.5941176470588236</v>
      </c>
      <c r="W193" s="36">
        <f t="shared" si="76"/>
        <v>0.7</v>
      </c>
      <c r="X193" s="56">
        <f t="shared" si="70"/>
        <v>1.6</v>
      </c>
    </row>
    <row r="194" spans="1:24">
      <c r="A194" s="26" t="s">
        <v>1792</v>
      </c>
      <c r="B194" s="27">
        <v>10</v>
      </c>
      <c r="C194" s="27" t="s">
        <v>1849</v>
      </c>
      <c r="D194" s="27">
        <v>3</v>
      </c>
      <c r="E194" s="27"/>
      <c r="F194" s="27"/>
      <c r="G194" s="27"/>
      <c r="H194" s="27"/>
      <c r="I194" s="27"/>
      <c r="J194" s="27"/>
      <c r="K194" s="24" t="e">
        <f t="shared" si="71"/>
        <v>#N/A</v>
      </c>
      <c r="L194" s="24" t="str">
        <f t="shared" si="77"/>
        <v/>
      </c>
      <c r="M194" s="24" t="str">
        <f t="shared" si="72"/>
        <v/>
      </c>
      <c r="N194" s="24" t="str">
        <f t="shared" si="78"/>
        <v/>
      </c>
      <c r="O194" s="24" t="str">
        <f t="shared" si="73"/>
        <v/>
      </c>
      <c r="P194" s="24" t="str">
        <f t="shared" si="81"/>
        <v/>
      </c>
      <c r="Q194" s="24" t="str">
        <f t="shared" si="74"/>
        <v/>
      </c>
      <c r="R194" s="24" t="str">
        <f t="shared" si="79"/>
        <v/>
      </c>
      <c r="S194" s="108">
        <f>B194*0.3</f>
        <v>3</v>
      </c>
      <c r="T194" s="28">
        <f t="shared" si="80"/>
        <v>3</v>
      </c>
      <c r="U194" s="28">
        <f t="shared" si="69"/>
        <v>3</v>
      </c>
      <c r="V194" s="36">
        <f t="shared" si="75"/>
        <v>0.3</v>
      </c>
      <c r="W194" s="36">
        <f t="shared" si="76"/>
        <v>0.3</v>
      </c>
      <c r="X194" s="56">
        <f t="shared" si="70"/>
        <v>0.3</v>
      </c>
    </row>
    <row r="195" spans="1:24">
      <c r="A195" s="26" t="s">
        <v>1804</v>
      </c>
      <c r="B195" s="27">
        <v>10</v>
      </c>
      <c r="C195" s="27" t="s">
        <v>1850</v>
      </c>
      <c r="D195" s="27">
        <v>3</v>
      </c>
      <c r="E195" s="27"/>
      <c r="F195" s="27"/>
      <c r="G195" s="27"/>
      <c r="H195" s="27"/>
      <c r="I195" s="27"/>
      <c r="J195" s="27"/>
      <c r="K195" s="24">
        <f t="shared" si="71"/>
        <v>2.7142857142857144</v>
      </c>
      <c r="L195" s="24">
        <f t="shared" si="77"/>
        <v>8.1428571428571423</v>
      </c>
      <c r="M195" s="24" t="str">
        <f t="shared" si="72"/>
        <v/>
      </c>
      <c r="N195" s="24" t="str">
        <f t="shared" si="78"/>
        <v/>
      </c>
      <c r="O195" s="24" t="str">
        <f t="shared" si="73"/>
        <v/>
      </c>
      <c r="P195" s="24" t="str">
        <f t="shared" si="81"/>
        <v/>
      </c>
      <c r="Q195" s="24" t="str">
        <f t="shared" si="74"/>
        <v/>
      </c>
      <c r="R195" s="24" t="str">
        <f t="shared" si="79"/>
        <v/>
      </c>
      <c r="S195" s="108">
        <f>B195*0.001</f>
        <v>0.01</v>
      </c>
      <c r="T195" s="28">
        <f t="shared" si="80"/>
        <v>8.1528571428571421</v>
      </c>
      <c r="U195" s="28">
        <f t="shared" si="69"/>
        <v>8.1528571428571421</v>
      </c>
      <c r="V195" s="36">
        <f t="shared" si="75"/>
        <v>0.81528571428571417</v>
      </c>
      <c r="W195" s="36">
        <f t="shared" si="76"/>
        <v>0.3</v>
      </c>
      <c r="X195" s="56">
        <f t="shared" si="70"/>
        <v>0.9</v>
      </c>
    </row>
    <row r="196" spans="1:24">
      <c r="A196" s="26" t="s">
        <v>1801</v>
      </c>
      <c r="B196" s="27">
        <v>10</v>
      </c>
      <c r="C196" s="27" t="s">
        <v>1851</v>
      </c>
      <c r="D196" s="27">
        <v>2</v>
      </c>
      <c r="E196" s="27"/>
      <c r="F196" s="27"/>
      <c r="G196" s="27"/>
      <c r="H196" s="27"/>
      <c r="I196" s="27"/>
      <c r="J196" s="27"/>
      <c r="K196" s="24">
        <f t="shared" si="71"/>
        <v>1.6470588235294117</v>
      </c>
      <c r="L196" s="24">
        <f t="shared" si="77"/>
        <v>3.2941176470588234</v>
      </c>
      <c r="M196" s="24" t="str">
        <f t="shared" si="72"/>
        <v/>
      </c>
      <c r="N196" s="24" t="str">
        <f t="shared" si="78"/>
        <v/>
      </c>
      <c r="O196" s="24" t="str">
        <f t="shared" si="73"/>
        <v/>
      </c>
      <c r="P196" s="24" t="str">
        <f t="shared" si="81"/>
        <v/>
      </c>
      <c r="Q196" s="24" t="str">
        <f t="shared" si="74"/>
        <v/>
      </c>
      <c r="R196" s="24" t="str">
        <f t="shared" si="79"/>
        <v/>
      </c>
      <c r="S196" s="108">
        <f t="shared" si="82"/>
        <v>1</v>
      </c>
      <c r="T196" s="28">
        <f t="shared" si="80"/>
        <v>4.2941176470588234</v>
      </c>
      <c r="U196" s="28">
        <f t="shared" si="69"/>
        <v>4.2941176470588234</v>
      </c>
      <c r="V196" s="36">
        <f t="shared" si="75"/>
        <v>0.42941176470588233</v>
      </c>
      <c r="W196" s="36">
        <f t="shared" si="76"/>
        <v>0.2</v>
      </c>
      <c r="X196" s="56">
        <f t="shared" si="70"/>
        <v>0.5</v>
      </c>
    </row>
    <row r="197" spans="1:24">
      <c r="A197" s="26" t="s">
        <v>1802</v>
      </c>
      <c r="B197" s="27">
        <v>10</v>
      </c>
      <c r="C197" s="27" t="s">
        <v>1815</v>
      </c>
      <c r="D197" s="27">
        <v>1.5</v>
      </c>
      <c r="E197" s="27" t="s">
        <v>1852</v>
      </c>
      <c r="F197" s="27">
        <v>1.5</v>
      </c>
      <c r="G197" s="27" t="s">
        <v>1810</v>
      </c>
      <c r="H197" s="27">
        <v>0.2</v>
      </c>
      <c r="I197" s="27"/>
      <c r="J197" s="27"/>
      <c r="K197" s="24">
        <f t="shared" si="71"/>
        <v>0.88235294117647056</v>
      </c>
      <c r="L197" s="24">
        <f t="shared" si="77"/>
        <v>1.3235294117647058</v>
      </c>
      <c r="M197" s="24">
        <f t="shared" si="72"/>
        <v>0.94117647058823539</v>
      </c>
      <c r="N197" s="24">
        <f t="shared" si="78"/>
        <v>1.411764705882353</v>
      </c>
      <c r="O197" s="24">
        <f t="shared" si="73"/>
        <v>2.2352941176470589</v>
      </c>
      <c r="P197" s="24">
        <f t="shared" si="81"/>
        <v>0.44705882352941179</v>
      </c>
      <c r="Q197" s="24" t="str">
        <f t="shared" si="74"/>
        <v/>
      </c>
      <c r="R197" s="24" t="str">
        <f t="shared" si="79"/>
        <v/>
      </c>
      <c r="S197" s="108">
        <f t="shared" si="82"/>
        <v>1</v>
      </c>
      <c r="T197" s="28">
        <f t="shared" si="80"/>
        <v>4.1823529411764708</v>
      </c>
      <c r="U197" s="28">
        <f t="shared" si="69"/>
        <v>4.1823529411764708</v>
      </c>
      <c r="V197" s="36">
        <f t="shared" si="75"/>
        <v>0.41823529411764709</v>
      </c>
      <c r="W197" s="36">
        <f t="shared" si="76"/>
        <v>0.32</v>
      </c>
      <c r="X197" s="56">
        <f t="shared" si="70"/>
        <v>0.5</v>
      </c>
    </row>
    <row r="198" spans="1:24">
      <c r="A198" s="26" t="s">
        <v>1803</v>
      </c>
      <c r="B198" s="27">
        <v>80</v>
      </c>
      <c r="C198" s="27" t="s">
        <v>348</v>
      </c>
      <c r="D198" s="27">
        <v>1</v>
      </c>
      <c r="E198" s="27"/>
      <c r="F198" s="27"/>
      <c r="G198" s="27"/>
      <c r="H198" s="27"/>
      <c r="I198" s="27"/>
      <c r="J198" s="27"/>
      <c r="K198" s="24">
        <f t="shared" si="71"/>
        <v>34.285714285714285</v>
      </c>
      <c r="L198" s="24">
        <f t="shared" si="77"/>
        <v>34.285714285714285</v>
      </c>
      <c r="M198" s="24" t="str">
        <f t="shared" si="72"/>
        <v/>
      </c>
      <c r="N198" s="24" t="str">
        <f t="shared" si="78"/>
        <v/>
      </c>
      <c r="O198" s="24" t="str">
        <f t="shared" si="73"/>
        <v/>
      </c>
      <c r="P198" s="24" t="str">
        <f t="shared" si="81"/>
        <v/>
      </c>
      <c r="Q198" s="24" t="str">
        <f t="shared" si="74"/>
        <v/>
      </c>
      <c r="R198" s="24" t="str">
        <f t="shared" si="79"/>
        <v/>
      </c>
      <c r="S198" s="108">
        <f t="shared" si="82"/>
        <v>8</v>
      </c>
      <c r="T198" s="28">
        <f t="shared" si="80"/>
        <v>42.285714285714285</v>
      </c>
      <c r="U198" s="28">
        <f t="shared" si="69"/>
        <v>42.285714285714285</v>
      </c>
      <c r="V198" s="36">
        <f t="shared" si="75"/>
        <v>0.52857142857142858</v>
      </c>
      <c r="W198" s="36">
        <f t="shared" si="76"/>
        <v>1.2500000000000001E-2</v>
      </c>
      <c r="X198" s="56">
        <f t="shared" si="70"/>
        <v>0.6</v>
      </c>
    </row>
    <row r="199" spans="1:24">
      <c r="A199" s="26" t="s">
        <v>1805</v>
      </c>
      <c r="B199" s="27">
        <v>10</v>
      </c>
      <c r="C199" s="27" t="s">
        <v>1292</v>
      </c>
      <c r="D199" s="27">
        <v>1</v>
      </c>
      <c r="E199" s="27" t="s">
        <v>1815</v>
      </c>
      <c r="F199" s="27">
        <v>1</v>
      </c>
      <c r="G199" s="27"/>
      <c r="H199" s="27"/>
      <c r="I199" s="27"/>
      <c r="J199" s="27"/>
      <c r="K199" s="24">
        <f t="shared" si="71"/>
        <v>2.8571428571428572</v>
      </c>
      <c r="L199" s="24">
        <f t="shared" si="77"/>
        <v>2.8571428571428572</v>
      </c>
      <c r="M199" s="24">
        <f t="shared" si="72"/>
        <v>0.88235294117647056</v>
      </c>
      <c r="N199" s="24">
        <f t="shared" si="78"/>
        <v>0.88235294117647056</v>
      </c>
      <c r="O199" s="24" t="str">
        <f t="shared" si="73"/>
        <v/>
      </c>
      <c r="P199" s="24" t="str">
        <f t="shared" si="81"/>
        <v/>
      </c>
      <c r="Q199" s="24" t="str">
        <f t="shared" si="74"/>
        <v/>
      </c>
      <c r="R199" s="24" t="str">
        <f t="shared" si="79"/>
        <v/>
      </c>
      <c r="S199" s="108">
        <f t="shared" si="82"/>
        <v>1</v>
      </c>
      <c r="T199" s="28">
        <f t="shared" si="80"/>
        <v>4.7394957983193278</v>
      </c>
      <c r="U199" s="28">
        <f t="shared" si="69"/>
        <v>4.7394957983193278</v>
      </c>
      <c r="V199" s="36">
        <f t="shared" si="75"/>
        <v>0.47394957983193275</v>
      </c>
      <c r="W199" s="36">
        <f t="shared" si="76"/>
        <v>0.2</v>
      </c>
      <c r="X199" s="56">
        <f t="shared" si="70"/>
        <v>0.5</v>
      </c>
    </row>
    <row r="200" spans="1:24">
      <c r="A200" s="26" t="s">
        <v>1806</v>
      </c>
      <c r="B200" s="27">
        <v>10</v>
      </c>
      <c r="C200" s="27" t="s">
        <v>1847</v>
      </c>
      <c r="D200" s="27">
        <v>2.8</v>
      </c>
      <c r="E200" s="27"/>
      <c r="F200" s="27"/>
      <c r="G200" s="27"/>
      <c r="H200" s="27"/>
      <c r="I200" s="27"/>
      <c r="J200" s="27"/>
      <c r="K200" s="24">
        <f t="shared" si="71"/>
        <v>0.70588235294117652</v>
      </c>
      <c r="L200" s="24">
        <f t="shared" si="77"/>
        <v>1.9764705882352942</v>
      </c>
      <c r="M200" s="24" t="str">
        <f t="shared" si="72"/>
        <v/>
      </c>
      <c r="N200" s="24" t="str">
        <f t="shared" si="78"/>
        <v/>
      </c>
      <c r="O200" s="24" t="str">
        <f t="shared" si="73"/>
        <v/>
      </c>
      <c r="P200" s="24" t="str">
        <f t="shared" si="81"/>
        <v/>
      </c>
      <c r="Q200" s="24" t="str">
        <f t="shared" si="74"/>
        <v/>
      </c>
      <c r="R200" s="24" t="str">
        <f t="shared" si="79"/>
        <v/>
      </c>
      <c r="S200" s="108">
        <f t="shared" si="82"/>
        <v>1</v>
      </c>
      <c r="T200" s="28">
        <f t="shared" si="80"/>
        <v>2.9764705882352942</v>
      </c>
      <c r="U200" s="28">
        <f t="shared" si="69"/>
        <v>2.9764705882352942</v>
      </c>
      <c r="V200" s="36">
        <f t="shared" si="75"/>
        <v>0.29764705882352943</v>
      </c>
      <c r="W200" s="36">
        <f t="shared" si="76"/>
        <v>0.27999999999999997</v>
      </c>
      <c r="X200" s="56">
        <f t="shared" si="70"/>
        <v>0.30000000000000004</v>
      </c>
    </row>
    <row r="201" spans="1:24">
      <c r="A201" s="26" t="s">
        <v>1798</v>
      </c>
      <c r="B201" s="27">
        <v>10</v>
      </c>
      <c r="C201" s="27" t="s">
        <v>1851</v>
      </c>
      <c r="D201" s="27">
        <v>5</v>
      </c>
      <c r="E201" s="27"/>
      <c r="F201" s="27"/>
      <c r="G201" s="27"/>
      <c r="H201" s="27"/>
      <c r="I201" s="27"/>
      <c r="J201" s="27"/>
      <c r="K201" s="24">
        <f t="shared" si="71"/>
        <v>1.6470588235294117</v>
      </c>
      <c r="L201" s="24">
        <f t="shared" si="77"/>
        <v>8.235294117647058</v>
      </c>
      <c r="M201" s="24" t="str">
        <f t="shared" si="72"/>
        <v/>
      </c>
      <c r="N201" s="24" t="str">
        <f t="shared" si="78"/>
        <v/>
      </c>
      <c r="O201" s="24" t="str">
        <f t="shared" si="73"/>
        <v/>
      </c>
      <c r="P201" s="24" t="str">
        <f t="shared" si="81"/>
        <v/>
      </c>
      <c r="Q201" s="24" t="str">
        <f t="shared" si="74"/>
        <v/>
      </c>
      <c r="R201" s="24" t="str">
        <f t="shared" si="79"/>
        <v/>
      </c>
      <c r="S201" s="108">
        <f t="shared" si="82"/>
        <v>1</v>
      </c>
      <c r="T201" s="28">
        <f t="shared" si="80"/>
        <v>9.235294117647058</v>
      </c>
      <c r="U201" s="28">
        <f t="shared" si="69"/>
        <v>9.235294117647058</v>
      </c>
      <c r="V201" s="36">
        <f t="shared" si="75"/>
        <v>0.92352941176470582</v>
      </c>
      <c r="W201" s="36">
        <f t="shared" si="76"/>
        <v>0.5</v>
      </c>
      <c r="X201" s="56">
        <f t="shared" si="70"/>
        <v>1</v>
      </c>
    </row>
    <row r="202" spans="1:24">
      <c r="A202" s="26" t="s">
        <v>1799</v>
      </c>
      <c r="B202" s="27">
        <v>10</v>
      </c>
      <c r="C202" s="27" t="s">
        <v>1847</v>
      </c>
      <c r="D202" s="27">
        <v>6</v>
      </c>
      <c r="E202" s="27"/>
      <c r="F202" s="27"/>
      <c r="G202" s="27"/>
      <c r="H202" s="27"/>
      <c r="I202" s="27"/>
      <c r="J202" s="27"/>
      <c r="K202" s="24">
        <f t="shared" si="71"/>
        <v>0.70588235294117652</v>
      </c>
      <c r="L202" s="24">
        <f t="shared" si="77"/>
        <v>4.2352941176470589</v>
      </c>
      <c r="M202" s="24" t="str">
        <f t="shared" si="72"/>
        <v/>
      </c>
      <c r="N202" s="24" t="str">
        <f t="shared" si="78"/>
        <v/>
      </c>
      <c r="O202" s="24" t="str">
        <f t="shared" si="73"/>
        <v/>
      </c>
      <c r="P202" s="24" t="str">
        <f t="shared" si="81"/>
        <v/>
      </c>
      <c r="Q202" s="24" t="str">
        <f t="shared" si="74"/>
        <v/>
      </c>
      <c r="R202" s="24" t="str">
        <f t="shared" si="79"/>
        <v/>
      </c>
      <c r="S202" s="108">
        <f>B202*0.4</f>
        <v>4</v>
      </c>
      <c r="T202" s="28">
        <f t="shared" si="80"/>
        <v>8.235294117647058</v>
      </c>
      <c r="U202" s="28">
        <f t="shared" si="69"/>
        <v>8.235294117647058</v>
      </c>
      <c r="V202" s="36">
        <f t="shared" si="75"/>
        <v>0.82352941176470584</v>
      </c>
      <c r="W202" s="36">
        <f t="shared" si="76"/>
        <v>0.6</v>
      </c>
      <c r="X202" s="56">
        <f t="shared" si="70"/>
        <v>0.9</v>
      </c>
    </row>
    <row r="203" spans="1:24">
      <c r="A203" s="26" t="s">
        <v>1978</v>
      </c>
      <c r="B203" s="27">
        <v>10</v>
      </c>
      <c r="C203" s="27" t="s">
        <v>1979</v>
      </c>
      <c r="D203" s="27">
        <v>2</v>
      </c>
      <c r="E203" s="27"/>
      <c r="F203" s="27"/>
      <c r="G203" s="27"/>
      <c r="H203" s="27"/>
      <c r="I203" s="27"/>
      <c r="J203" s="27"/>
      <c r="K203" s="24">
        <f t="shared" si="71"/>
        <v>0.88235294117647056</v>
      </c>
      <c r="L203" s="24">
        <f t="shared" si="77"/>
        <v>1.7647058823529411</v>
      </c>
      <c r="M203" s="24" t="str">
        <f t="shared" si="72"/>
        <v/>
      </c>
      <c r="N203" s="24" t="str">
        <f t="shared" si="78"/>
        <v/>
      </c>
      <c r="O203" s="24" t="str">
        <f t="shared" si="73"/>
        <v/>
      </c>
      <c r="P203" s="24" t="str">
        <f t="shared" si="81"/>
        <v/>
      </c>
      <c r="Q203" s="24" t="str">
        <f t="shared" si="74"/>
        <v/>
      </c>
      <c r="R203" s="24" t="str">
        <f t="shared" si="79"/>
        <v/>
      </c>
      <c r="S203" s="108">
        <f t="shared" si="82"/>
        <v>1</v>
      </c>
      <c r="T203" s="28">
        <f t="shared" si="80"/>
        <v>2.7647058823529411</v>
      </c>
      <c r="U203" s="28">
        <f t="shared" si="69"/>
        <v>2.7647058823529411</v>
      </c>
      <c r="V203" s="36">
        <f t="shared" si="75"/>
        <v>0.27647058823529413</v>
      </c>
      <c r="W203" s="36">
        <f t="shared" si="76"/>
        <v>0.2</v>
      </c>
      <c r="X203" s="56">
        <f t="shared" si="70"/>
        <v>0.30000000000000004</v>
      </c>
    </row>
    <row r="204" spans="1:24" ht="28.5">
      <c r="A204" s="26" t="s">
        <v>1982</v>
      </c>
      <c r="B204" s="27">
        <v>10</v>
      </c>
      <c r="C204" s="27" t="s">
        <v>1983</v>
      </c>
      <c r="D204" s="27">
        <v>3</v>
      </c>
      <c r="E204" s="27"/>
      <c r="F204" s="27"/>
      <c r="G204" s="27"/>
      <c r="H204" s="27"/>
      <c r="I204" s="27"/>
      <c r="J204" s="27"/>
      <c r="K204" s="24">
        <f t="shared" si="71"/>
        <v>1.1764705882352942</v>
      </c>
      <c r="L204" s="24">
        <f t="shared" si="77"/>
        <v>3.5294117647058822</v>
      </c>
      <c r="M204" s="24" t="str">
        <f t="shared" si="72"/>
        <v/>
      </c>
      <c r="N204" s="24" t="str">
        <f t="shared" si="78"/>
        <v/>
      </c>
      <c r="O204" s="24" t="str">
        <f t="shared" si="73"/>
        <v/>
      </c>
      <c r="P204" s="24" t="str">
        <f t="shared" si="81"/>
        <v/>
      </c>
      <c r="Q204" s="24" t="str">
        <f t="shared" si="74"/>
        <v/>
      </c>
      <c r="R204" s="24" t="str">
        <f t="shared" si="79"/>
        <v/>
      </c>
      <c r="S204" s="108">
        <f t="shared" si="82"/>
        <v>1</v>
      </c>
      <c r="T204" s="28">
        <f t="shared" si="80"/>
        <v>4.5294117647058822</v>
      </c>
      <c r="U204" s="28">
        <f t="shared" si="69"/>
        <v>4.5294117647058822</v>
      </c>
      <c r="V204" s="36">
        <f t="shared" si="75"/>
        <v>0.45294117647058824</v>
      </c>
      <c r="W204" s="36">
        <f t="shared" si="76"/>
        <v>0.3</v>
      </c>
      <c r="X204" s="56">
        <f t="shared" si="70"/>
        <v>0.5</v>
      </c>
    </row>
    <row r="205" spans="1:24">
      <c r="A205" s="26" t="s">
        <v>119</v>
      </c>
      <c r="B205" s="27">
        <v>65</v>
      </c>
      <c r="C205" s="27" t="s">
        <v>119</v>
      </c>
      <c r="D205" s="27">
        <v>1</v>
      </c>
      <c r="E205" s="27"/>
      <c r="F205" s="27"/>
      <c r="G205" s="27"/>
      <c r="H205" s="27"/>
      <c r="I205" s="27"/>
      <c r="J205" s="27"/>
      <c r="K205" s="24">
        <f t="shared" si="71"/>
        <v>18.571428571428573</v>
      </c>
      <c r="L205" s="24">
        <f t="shared" si="77"/>
        <v>18.571428571428573</v>
      </c>
      <c r="M205" s="24" t="str">
        <f t="shared" si="72"/>
        <v/>
      </c>
      <c r="N205" s="24" t="str">
        <f t="shared" si="78"/>
        <v/>
      </c>
      <c r="O205" s="24" t="str">
        <f t="shared" si="73"/>
        <v/>
      </c>
      <c r="P205" s="24" t="str">
        <f t="shared" si="81"/>
        <v/>
      </c>
      <c r="Q205" s="24" t="str">
        <f t="shared" si="74"/>
        <v/>
      </c>
      <c r="R205" s="24" t="str">
        <f t="shared" si="79"/>
        <v/>
      </c>
      <c r="S205" s="108">
        <f>B205*0.001</f>
        <v>6.5000000000000002E-2</v>
      </c>
      <c r="T205" s="28">
        <f t="shared" si="80"/>
        <v>18.636428571428574</v>
      </c>
      <c r="U205" s="28">
        <f t="shared" si="69"/>
        <v>18.636428571428574</v>
      </c>
      <c r="V205" s="36">
        <f t="shared" si="75"/>
        <v>0.28671428571428575</v>
      </c>
      <c r="W205" s="36">
        <f t="shared" si="76"/>
        <v>1.5384615384615385E-2</v>
      </c>
      <c r="X205" s="56">
        <f t="shared" si="70"/>
        <v>0.30000000000000004</v>
      </c>
    </row>
    <row r="206" spans="1:24">
      <c r="A206" s="26" t="s">
        <v>1986</v>
      </c>
      <c r="B206" s="27">
        <v>10</v>
      </c>
      <c r="C206" s="27" t="s">
        <v>1987</v>
      </c>
      <c r="D206" s="27">
        <v>10</v>
      </c>
      <c r="E206" s="27"/>
      <c r="F206" s="27"/>
      <c r="G206" s="27"/>
      <c r="H206" s="27"/>
      <c r="I206" s="27"/>
      <c r="J206" s="27"/>
      <c r="K206" s="24">
        <f t="shared" si="71"/>
        <v>2.3529411764705883</v>
      </c>
      <c r="L206" s="24">
        <f t="shared" si="77"/>
        <v>23.529411764705884</v>
      </c>
      <c r="M206" s="24" t="str">
        <f t="shared" si="72"/>
        <v/>
      </c>
      <c r="N206" s="24" t="str">
        <f t="shared" si="78"/>
        <v/>
      </c>
      <c r="O206" s="24" t="str">
        <f t="shared" si="73"/>
        <v/>
      </c>
      <c r="P206" s="24" t="str">
        <f t="shared" si="81"/>
        <v/>
      </c>
      <c r="Q206" s="24" t="str">
        <f t="shared" si="74"/>
        <v/>
      </c>
      <c r="R206" s="24" t="str">
        <f t="shared" si="79"/>
        <v/>
      </c>
      <c r="S206" s="108">
        <f t="shared" si="82"/>
        <v>1</v>
      </c>
      <c r="T206" s="28">
        <f t="shared" si="80"/>
        <v>24.529411764705884</v>
      </c>
      <c r="U206" s="28">
        <f t="shared" si="69"/>
        <v>24.529411764705884</v>
      </c>
      <c r="V206" s="36">
        <f t="shared" si="75"/>
        <v>2.4529411764705884</v>
      </c>
      <c r="W206" s="36">
        <f t="shared" si="76"/>
        <v>1</v>
      </c>
      <c r="X206" s="56">
        <f t="shared" si="70"/>
        <v>2.5</v>
      </c>
    </row>
    <row r="207" spans="1:24">
      <c r="A207" s="26" t="s">
        <v>1984</v>
      </c>
      <c r="B207" s="27">
        <v>10</v>
      </c>
      <c r="C207" s="27" t="s">
        <v>2166</v>
      </c>
      <c r="D207" s="27">
        <v>5</v>
      </c>
      <c r="E207" s="27" t="s">
        <v>1988</v>
      </c>
      <c r="F207" s="27">
        <v>0.3</v>
      </c>
      <c r="G207" s="27" t="s">
        <v>1989</v>
      </c>
      <c r="H207" s="27">
        <v>0.4</v>
      </c>
      <c r="I207" s="27"/>
      <c r="J207" s="27"/>
      <c r="K207" s="24">
        <f t="shared" si="71"/>
        <v>4.3999999999999995</v>
      </c>
      <c r="L207" s="24">
        <f t="shared" si="77"/>
        <v>21.999999999999996</v>
      </c>
      <c r="M207" s="24">
        <f t="shared" si="72"/>
        <v>2.2352941176470589</v>
      </c>
      <c r="N207" s="24">
        <f t="shared" si="78"/>
        <v>0.6705882352941176</v>
      </c>
      <c r="O207" s="24">
        <f t="shared" si="73"/>
        <v>8.3529411764705888</v>
      </c>
      <c r="P207" s="24">
        <f t="shared" si="81"/>
        <v>3.3411764705882359</v>
      </c>
      <c r="Q207" s="24" t="str">
        <f t="shared" si="74"/>
        <v/>
      </c>
      <c r="R207" s="24" t="str">
        <f t="shared" si="79"/>
        <v/>
      </c>
      <c r="S207" s="108">
        <f>B207*0.2</f>
        <v>2</v>
      </c>
      <c r="T207" s="28">
        <f t="shared" si="80"/>
        <v>28.011764705882349</v>
      </c>
      <c r="U207" s="28">
        <f t="shared" si="69"/>
        <v>28.011764705882349</v>
      </c>
      <c r="V207" s="36">
        <f t="shared" si="75"/>
        <v>2.8011764705882349</v>
      </c>
      <c r="W207" s="36">
        <f t="shared" si="76"/>
        <v>0.57000000000000006</v>
      </c>
      <c r="X207" s="56">
        <f t="shared" si="70"/>
        <v>2.9</v>
      </c>
    </row>
    <row r="208" spans="1:24">
      <c r="A208" s="26" t="s">
        <v>1985</v>
      </c>
      <c r="B208" s="27">
        <v>10</v>
      </c>
      <c r="C208" s="27" t="s">
        <v>1990</v>
      </c>
      <c r="D208" s="27">
        <v>2</v>
      </c>
      <c r="E208" s="27" t="s">
        <v>1991</v>
      </c>
      <c r="F208" s="27">
        <v>3</v>
      </c>
      <c r="G208" s="27"/>
      <c r="H208" s="27"/>
      <c r="I208" s="27"/>
      <c r="J208" s="27"/>
      <c r="K208" s="24">
        <f t="shared" si="71"/>
        <v>42.857142857142861</v>
      </c>
      <c r="L208" s="24">
        <f t="shared" si="77"/>
        <v>85.714285714285722</v>
      </c>
      <c r="M208" s="24">
        <f t="shared" si="72"/>
        <v>2.3529411764705883</v>
      </c>
      <c r="N208" s="24">
        <f t="shared" si="78"/>
        <v>7.0588235294117645</v>
      </c>
      <c r="O208" s="24" t="str">
        <f t="shared" si="73"/>
        <v/>
      </c>
      <c r="P208" s="24" t="str">
        <f t="shared" si="81"/>
        <v/>
      </c>
      <c r="Q208" s="24" t="str">
        <f t="shared" si="74"/>
        <v/>
      </c>
      <c r="R208" s="24" t="str">
        <f t="shared" si="79"/>
        <v/>
      </c>
      <c r="S208" s="108">
        <f t="shared" si="82"/>
        <v>1</v>
      </c>
      <c r="T208" s="28">
        <f t="shared" si="80"/>
        <v>93.77310924369749</v>
      </c>
      <c r="U208" s="28">
        <f t="shared" si="69"/>
        <v>93.77310924369749</v>
      </c>
      <c r="V208" s="36">
        <f t="shared" si="75"/>
        <v>9.3773109243697483</v>
      </c>
      <c r="W208" s="36">
        <f t="shared" si="76"/>
        <v>0.5</v>
      </c>
      <c r="X208" s="56">
        <f t="shared" si="70"/>
        <v>9.4</v>
      </c>
    </row>
    <row r="209" spans="1:24">
      <c r="A209" s="26" t="s">
        <v>1997</v>
      </c>
      <c r="B209" s="27">
        <v>100</v>
      </c>
      <c r="C209" s="27" t="s">
        <v>224</v>
      </c>
      <c r="D209" s="27">
        <v>23</v>
      </c>
      <c r="E209" s="27"/>
      <c r="F209" s="27"/>
      <c r="G209" s="27"/>
      <c r="H209" s="27"/>
      <c r="I209" s="27"/>
      <c r="J209" s="27"/>
      <c r="K209" s="24">
        <f t="shared" si="71"/>
        <v>26.571428571428577</v>
      </c>
      <c r="L209" s="24">
        <f t="shared" si="77"/>
        <v>611.14285714285722</v>
      </c>
      <c r="M209" s="24" t="str">
        <f t="shared" si="72"/>
        <v/>
      </c>
      <c r="N209" s="24" t="str">
        <f t="shared" si="78"/>
        <v/>
      </c>
      <c r="O209" s="24" t="str">
        <f t="shared" si="73"/>
        <v/>
      </c>
      <c r="P209" s="24" t="str">
        <f t="shared" si="81"/>
        <v/>
      </c>
      <c r="Q209" s="24" t="str">
        <f t="shared" si="74"/>
        <v/>
      </c>
      <c r="R209" s="24" t="str">
        <f t="shared" si="79"/>
        <v/>
      </c>
      <c r="S209" s="108">
        <f>B209*0.9</f>
        <v>90</v>
      </c>
      <c r="T209" s="28">
        <f t="shared" si="80"/>
        <v>701.14285714285722</v>
      </c>
      <c r="U209" s="28">
        <f t="shared" si="69"/>
        <v>701.14285714285722</v>
      </c>
      <c r="V209" s="36">
        <f t="shared" si="75"/>
        <v>7.0114285714285725</v>
      </c>
      <c r="W209" s="36">
        <f t="shared" si="76"/>
        <v>0.23</v>
      </c>
      <c r="X209" s="56">
        <f t="shared" si="70"/>
        <v>7.1</v>
      </c>
    </row>
    <row r="210" spans="1:24">
      <c r="A210" s="26" t="s">
        <v>1999</v>
      </c>
      <c r="B210" s="27">
        <v>10</v>
      </c>
      <c r="C210" s="27" t="s">
        <v>2000</v>
      </c>
      <c r="D210" s="27">
        <v>3</v>
      </c>
      <c r="E210" s="27"/>
      <c r="F210" s="27"/>
      <c r="G210" s="27"/>
      <c r="H210" s="27"/>
      <c r="I210" s="27"/>
      <c r="J210" s="27"/>
      <c r="K210" s="24">
        <f t="shared" si="71"/>
        <v>1.7647058823529411</v>
      </c>
      <c r="L210" s="24">
        <f t="shared" si="77"/>
        <v>5.2941176470588234</v>
      </c>
      <c r="M210" s="24" t="str">
        <f t="shared" si="72"/>
        <v/>
      </c>
      <c r="N210" s="24" t="str">
        <f t="shared" si="78"/>
        <v/>
      </c>
      <c r="O210" s="24" t="str">
        <f t="shared" si="73"/>
        <v/>
      </c>
      <c r="P210" s="24" t="str">
        <f t="shared" si="81"/>
        <v/>
      </c>
      <c r="Q210" s="24" t="str">
        <f t="shared" si="74"/>
        <v/>
      </c>
      <c r="R210" s="24" t="str">
        <f t="shared" si="79"/>
        <v/>
      </c>
      <c r="S210" s="108">
        <f t="shared" si="82"/>
        <v>1</v>
      </c>
      <c r="T210" s="28">
        <f t="shared" si="80"/>
        <v>6.2941176470588234</v>
      </c>
      <c r="U210" s="28">
        <f t="shared" si="69"/>
        <v>6.2941176470588234</v>
      </c>
      <c r="V210" s="36">
        <f t="shared" si="75"/>
        <v>0.62941176470588234</v>
      </c>
      <c r="W210" s="36">
        <f t="shared" si="76"/>
        <v>0.3</v>
      </c>
      <c r="X210" s="56">
        <f t="shared" si="70"/>
        <v>0.7</v>
      </c>
    </row>
    <row r="211" spans="1:24" ht="28.5">
      <c r="A211" s="26" t="s">
        <v>2025</v>
      </c>
      <c r="B211" s="27">
        <v>10</v>
      </c>
      <c r="C211" s="27" t="s">
        <v>2027</v>
      </c>
      <c r="D211" s="27">
        <v>2</v>
      </c>
      <c r="E211" s="27"/>
      <c r="F211" s="27"/>
      <c r="G211" s="27"/>
      <c r="H211" s="27"/>
      <c r="I211" s="27"/>
      <c r="J211" s="27"/>
      <c r="K211" s="24">
        <f t="shared" si="71"/>
        <v>0.88235294117647056</v>
      </c>
      <c r="L211" s="24">
        <f t="shared" si="77"/>
        <v>1.7647058823529411</v>
      </c>
      <c r="M211" s="24" t="str">
        <f t="shared" si="72"/>
        <v/>
      </c>
      <c r="N211" s="24" t="str">
        <f t="shared" si="78"/>
        <v/>
      </c>
      <c r="O211" s="24" t="str">
        <f t="shared" si="73"/>
        <v/>
      </c>
      <c r="P211" s="24" t="str">
        <f t="shared" si="81"/>
        <v/>
      </c>
      <c r="Q211" s="24" t="str">
        <f t="shared" si="74"/>
        <v/>
      </c>
      <c r="R211" s="24" t="str">
        <f t="shared" si="79"/>
        <v/>
      </c>
      <c r="S211" s="108">
        <f t="shared" si="82"/>
        <v>1</v>
      </c>
      <c r="T211" s="28">
        <f t="shared" si="80"/>
        <v>2.7647058823529411</v>
      </c>
      <c r="U211" s="28">
        <f t="shared" si="69"/>
        <v>2.7647058823529411</v>
      </c>
      <c r="V211" s="36">
        <f t="shared" si="75"/>
        <v>0.27647058823529413</v>
      </c>
      <c r="W211" s="36">
        <f t="shared" si="76"/>
        <v>0.2</v>
      </c>
      <c r="X211" s="56">
        <f t="shared" si="70"/>
        <v>0.30000000000000004</v>
      </c>
    </row>
    <row r="212" spans="1:24" ht="28.5">
      <c r="A212" s="26" t="s">
        <v>2026</v>
      </c>
      <c r="B212" s="27">
        <v>10</v>
      </c>
      <c r="C212" s="27" t="s">
        <v>2028</v>
      </c>
      <c r="D212" s="27">
        <v>2.5</v>
      </c>
      <c r="E212" s="27"/>
      <c r="F212" s="27"/>
      <c r="G212" s="27"/>
      <c r="H212" s="27"/>
      <c r="I212" s="27"/>
      <c r="J212" s="27"/>
      <c r="K212" s="24">
        <f t="shared" si="71"/>
        <v>1.1176470588235294</v>
      </c>
      <c r="L212" s="24">
        <f t="shared" si="77"/>
        <v>2.7941176470588234</v>
      </c>
      <c r="M212" s="24" t="str">
        <f t="shared" si="72"/>
        <v/>
      </c>
      <c r="N212" s="24" t="str">
        <f t="shared" si="78"/>
        <v/>
      </c>
      <c r="O212" s="24" t="str">
        <f t="shared" si="73"/>
        <v/>
      </c>
      <c r="P212" s="24" t="str">
        <f t="shared" si="81"/>
        <v/>
      </c>
      <c r="Q212" s="24" t="str">
        <f t="shared" si="74"/>
        <v/>
      </c>
      <c r="R212" s="24" t="str">
        <f t="shared" si="79"/>
        <v/>
      </c>
      <c r="S212" s="108">
        <f t="shared" si="82"/>
        <v>1</v>
      </c>
      <c r="T212" s="28">
        <f t="shared" si="80"/>
        <v>3.7941176470588234</v>
      </c>
      <c r="U212" s="28">
        <f t="shared" si="69"/>
        <v>3.7941176470588234</v>
      </c>
      <c r="V212" s="36">
        <f t="shared" si="75"/>
        <v>0.37941176470588234</v>
      </c>
      <c r="W212" s="36">
        <f t="shared" si="76"/>
        <v>0.25</v>
      </c>
      <c r="X212" s="56">
        <f t="shared" si="70"/>
        <v>0.4</v>
      </c>
    </row>
    <row r="213" spans="1:24">
      <c r="A213" s="26" t="s">
        <v>2052</v>
      </c>
      <c r="B213" s="27">
        <v>10</v>
      </c>
      <c r="C213" s="27" t="s">
        <v>2053</v>
      </c>
      <c r="D213" s="27">
        <v>6</v>
      </c>
      <c r="E213" s="27" t="s">
        <v>2054</v>
      </c>
      <c r="F213" s="27">
        <v>1</v>
      </c>
      <c r="G213" s="27"/>
      <c r="H213" s="27"/>
      <c r="I213" s="27"/>
      <c r="J213" s="27"/>
      <c r="K213" s="24">
        <f t="shared" si="71"/>
        <v>3.2941176470588234</v>
      </c>
      <c r="L213" s="24">
        <f t="shared" si="77"/>
        <v>19.764705882352942</v>
      </c>
      <c r="M213" s="24">
        <f t="shared" si="72"/>
        <v>2.1176470588235294</v>
      </c>
      <c r="N213" s="24">
        <f t="shared" si="78"/>
        <v>2.1176470588235294</v>
      </c>
      <c r="O213" s="24" t="str">
        <f t="shared" si="73"/>
        <v/>
      </c>
      <c r="P213" s="24" t="str">
        <f t="shared" si="81"/>
        <v/>
      </c>
      <c r="Q213" s="24" t="str">
        <f t="shared" si="74"/>
        <v/>
      </c>
      <c r="R213" s="24" t="str">
        <f t="shared" si="79"/>
        <v/>
      </c>
      <c r="S213" s="108">
        <f>B213*0.4</f>
        <v>4</v>
      </c>
      <c r="T213" s="28">
        <f t="shared" si="80"/>
        <v>25.882352941176471</v>
      </c>
      <c r="U213" s="28">
        <f t="shared" si="69"/>
        <v>25.882352941176471</v>
      </c>
      <c r="V213" s="36">
        <f t="shared" si="75"/>
        <v>2.5882352941176472</v>
      </c>
      <c r="W213" s="36">
        <f t="shared" si="76"/>
        <v>0.7</v>
      </c>
      <c r="X213" s="56">
        <f t="shared" si="70"/>
        <v>2.6</v>
      </c>
    </row>
    <row r="214" spans="1:24">
      <c r="A214" s="120" t="s">
        <v>2063</v>
      </c>
      <c r="B214" s="27">
        <v>10</v>
      </c>
      <c r="C214" s="27" t="s">
        <v>2064</v>
      </c>
      <c r="D214" s="27">
        <v>2</v>
      </c>
      <c r="E214" s="27"/>
      <c r="F214" s="27"/>
      <c r="G214" s="27"/>
      <c r="H214" s="27"/>
      <c r="I214" s="27"/>
      <c r="J214" s="27"/>
      <c r="K214" s="24">
        <f t="shared" si="71"/>
        <v>2.1176470588235294</v>
      </c>
      <c r="L214" s="24">
        <f t="shared" si="77"/>
        <v>4.2352941176470589</v>
      </c>
      <c r="M214" s="24" t="str">
        <f t="shared" si="72"/>
        <v/>
      </c>
      <c r="N214" s="24" t="str">
        <f t="shared" si="78"/>
        <v/>
      </c>
      <c r="O214" s="24" t="str">
        <f t="shared" si="73"/>
        <v/>
      </c>
      <c r="P214" s="24" t="str">
        <f t="shared" si="81"/>
        <v/>
      </c>
      <c r="Q214" s="24" t="str">
        <f t="shared" si="74"/>
        <v/>
      </c>
      <c r="R214" s="24" t="str">
        <f t="shared" si="79"/>
        <v/>
      </c>
      <c r="S214" s="108">
        <f t="shared" si="82"/>
        <v>1</v>
      </c>
      <c r="T214" s="28">
        <f t="shared" si="80"/>
        <v>5.2352941176470589</v>
      </c>
      <c r="U214" s="28">
        <f t="shared" si="69"/>
        <v>5.2352941176470589</v>
      </c>
      <c r="V214" s="36">
        <f t="shared" si="75"/>
        <v>0.52352941176470591</v>
      </c>
      <c r="W214" s="36">
        <f t="shared" si="76"/>
        <v>0.2</v>
      </c>
      <c r="X214" s="56">
        <f t="shared" si="70"/>
        <v>0.6</v>
      </c>
    </row>
    <row r="215" spans="1:24">
      <c r="A215" s="26" t="s">
        <v>2065</v>
      </c>
      <c r="B215" s="27">
        <v>10</v>
      </c>
      <c r="C215" s="27" t="s">
        <v>2066</v>
      </c>
      <c r="D215" s="27">
        <v>3</v>
      </c>
      <c r="E215" s="27"/>
      <c r="F215" s="27"/>
      <c r="G215" s="27"/>
      <c r="H215" s="27"/>
      <c r="I215" s="27"/>
      <c r="J215" s="27"/>
      <c r="K215" s="24">
        <f t="shared" si="71"/>
        <v>1.0588235294117647</v>
      </c>
      <c r="L215" s="24">
        <f t="shared" si="77"/>
        <v>3.1764705882352944</v>
      </c>
      <c r="M215" s="24" t="str">
        <f t="shared" si="72"/>
        <v/>
      </c>
      <c r="N215" s="24" t="str">
        <f t="shared" si="78"/>
        <v/>
      </c>
      <c r="O215" s="24" t="str">
        <f t="shared" si="73"/>
        <v/>
      </c>
      <c r="P215" s="24" t="str">
        <f t="shared" si="81"/>
        <v/>
      </c>
      <c r="Q215" s="24" t="str">
        <f t="shared" si="74"/>
        <v/>
      </c>
      <c r="R215" s="24" t="str">
        <f t="shared" si="79"/>
        <v/>
      </c>
      <c r="S215" s="108">
        <f t="shared" si="82"/>
        <v>1</v>
      </c>
      <c r="T215" s="28">
        <f t="shared" si="80"/>
        <v>4.1764705882352944</v>
      </c>
      <c r="U215" s="28">
        <f t="shared" si="69"/>
        <v>4.1764705882352944</v>
      </c>
      <c r="V215" s="36">
        <f t="shared" si="75"/>
        <v>0.41764705882352943</v>
      </c>
      <c r="W215" s="36">
        <f t="shared" si="76"/>
        <v>0.3</v>
      </c>
      <c r="X215" s="56">
        <f t="shared" si="70"/>
        <v>0.5</v>
      </c>
    </row>
    <row r="216" spans="1:24">
      <c r="A216" s="26" t="s">
        <v>2095</v>
      </c>
      <c r="B216" s="27">
        <v>10</v>
      </c>
      <c r="C216" s="27" t="s">
        <v>1295</v>
      </c>
      <c r="D216" s="27">
        <v>4</v>
      </c>
      <c r="E216" s="27" t="s">
        <v>2096</v>
      </c>
      <c r="F216" s="27">
        <v>0.3</v>
      </c>
      <c r="G216" s="27" t="s">
        <v>2097</v>
      </c>
      <c r="H216" s="27">
        <v>0.5</v>
      </c>
      <c r="I216" s="27"/>
      <c r="J216" s="27"/>
      <c r="K216" s="24">
        <f t="shared" si="71"/>
        <v>7.8571428571428577</v>
      </c>
      <c r="L216" s="24">
        <f t="shared" si="77"/>
        <v>31.428571428571431</v>
      </c>
      <c r="M216" s="24">
        <f t="shared" si="72"/>
        <v>2.2352941176470589</v>
      </c>
      <c r="N216" s="24">
        <f t="shared" si="78"/>
        <v>0.6705882352941176</v>
      </c>
      <c r="O216" s="24">
        <f t="shared" si="73"/>
        <v>8.3529411764705888</v>
      </c>
      <c r="P216" s="24">
        <f t="shared" si="81"/>
        <v>4.1764705882352944</v>
      </c>
      <c r="Q216" s="24" t="str">
        <f t="shared" si="74"/>
        <v/>
      </c>
      <c r="R216" s="24" t="str">
        <f t="shared" si="79"/>
        <v/>
      </c>
      <c r="S216" s="108">
        <f t="shared" si="82"/>
        <v>1</v>
      </c>
      <c r="T216" s="28">
        <f t="shared" si="80"/>
        <v>37.275630252100846</v>
      </c>
      <c r="U216" s="28">
        <f t="shared" si="69"/>
        <v>37.275630252100846</v>
      </c>
      <c r="V216" s="36">
        <f t="shared" si="75"/>
        <v>3.7275630252100846</v>
      </c>
      <c r="W216" s="36">
        <f t="shared" si="76"/>
        <v>0.48000000000000004</v>
      </c>
      <c r="X216" s="56">
        <f t="shared" si="70"/>
        <v>3.8000000000000003</v>
      </c>
    </row>
    <row r="217" spans="1:24">
      <c r="A217" s="26" t="s">
        <v>2125</v>
      </c>
      <c r="B217" s="27">
        <v>10</v>
      </c>
      <c r="C217" s="27" t="s">
        <v>2165</v>
      </c>
      <c r="D217" s="27">
        <v>6</v>
      </c>
      <c r="E217" s="27" t="s">
        <v>2096</v>
      </c>
      <c r="F217" s="27">
        <v>0.3</v>
      </c>
      <c r="G217" s="27" t="s">
        <v>2097</v>
      </c>
      <c r="H217" s="27">
        <v>0.5</v>
      </c>
      <c r="I217" s="27"/>
      <c r="J217" s="27"/>
      <c r="K217" s="24">
        <f t="shared" si="71"/>
        <v>4.3999999999999995</v>
      </c>
      <c r="L217" s="24">
        <f t="shared" si="77"/>
        <v>26.4</v>
      </c>
      <c r="M217" s="24">
        <f t="shared" si="72"/>
        <v>2.2352941176470589</v>
      </c>
      <c r="N217" s="24">
        <f t="shared" si="78"/>
        <v>0.6705882352941176</v>
      </c>
      <c r="O217" s="24">
        <f t="shared" si="73"/>
        <v>8.3529411764705888</v>
      </c>
      <c r="P217" s="24">
        <f t="shared" si="81"/>
        <v>4.1764705882352944</v>
      </c>
      <c r="Q217" s="24" t="str">
        <f t="shared" si="74"/>
        <v/>
      </c>
      <c r="R217" s="24" t="str">
        <f t="shared" si="79"/>
        <v/>
      </c>
      <c r="S217" s="108">
        <f t="shared" si="82"/>
        <v>1</v>
      </c>
      <c r="T217" s="28">
        <f t="shared" si="80"/>
        <v>32.247058823529414</v>
      </c>
      <c r="U217" s="28">
        <f t="shared" si="69"/>
        <v>32.247058823529414</v>
      </c>
      <c r="V217" s="36">
        <f t="shared" si="75"/>
        <v>3.2247058823529415</v>
      </c>
      <c r="W217" s="36">
        <f t="shared" si="76"/>
        <v>0.68</v>
      </c>
      <c r="X217" s="56">
        <f t="shared" si="70"/>
        <v>3.3000000000000003</v>
      </c>
    </row>
    <row r="218" spans="1:24" ht="28.5">
      <c r="A218" s="26" t="s">
        <v>2174</v>
      </c>
      <c r="B218" s="27">
        <v>10</v>
      </c>
      <c r="C218" s="27" t="s">
        <v>1009</v>
      </c>
      <c r="D218" s="27">
        <v>0.1</v>
      </c>
      <c r="E218" s="27" t="s">
        <v>2175</v>
      </c>
      <c r="F218" s="27">
        <v>1</v>
      </c>
      <c r="G218" s="27"/>
      <c r="H218" s="27"/>
      <c r="I218" s="27"/>
      <c r="J218" s="27"/>
      <c r="K218" s="24">
        <f t="shared" si="71"/>
        <v>61.428571428571431</v>
      </c>
      <c r="L218" s="24">
        <f t="shared" si="77"/>
        <v>6.1428571428571432</v>
      </c>
      <c r="M218" s="24">
        <f t="shared" si="72"/>
        <v>0.88235294117647056</v>
      </c>
      <c r="N218" s="24">
        <f t="shared" si="78"/>
        <v>0.88235294117647056</v>
      </c>
      <c r="O218" s="24" t="str">
        <f t="shared" si="73"/>
        <v/>
      </c>
      <c r="P218" s="24" t="str">
        <f t="shared" si="81"/>
        <v/>
      </c>
      <c r="Q218" s="24" t="str">
        <f t="shared" si="74"/>
        <v/>
      </c>
      <c r="R218" s="24" t="str">
        <f t="shared" si="79"/>
        <v/>
      </c>
      <c r="S218" s="108">
        <f t="shared" si="82"/>
        <v>1</v>
      </c>
      <c r="T218" s="28">
        <f t="shared" si="80"/>
        <v>8.0252100840336134</v>
      </c>
      <c r="U218" s="28">
        <f t="shared" si="69"/>
        <v>8.0252100840336134</v>
      </c>
      <c r="V218" s="36">
        <f t="shared" si="75"/>
        <v>0.80252100840336138</v>
      </c>
      <c r="W218" s="36">
        <f t="shared" si="76"/>
        <v>0.11</v>
      </c>
      <c r="X218" s="56">
        <f t="shared" si="70"/>
        <v>0.9</v>
      </c>
    </row>
    <row r="219" spans="1:24">
      <c r="A219" s="26" t="s">
        <v>2176</v>
      </c>
      <c r="B219" s="27">
        <v>10</v>
      </c>
      <c r="C219" s="27" t="s">
        <v>2177</v>
      </c>
      <c r="D219" s="27">
        <v>7</v>
      </c>
      <c r="E219" s="27" t="s">
        <v>2178</v>
      </c>
      <c r="F219" s="27">
        <v>0.3</v>
      </c>
      <c r="G219" s="27"/>
      <c r="H219" s="27"/>
      <c r="I219" s="27"/>
      <c r="J219" s="27"/>
      <c r="K219" s="24">
        <f t="shared" si="71"/>
        <v>1</v>
      </c>
      <c r="L219" s="24">
        <f t="shared" si="77"/>
        <v>7</v>
      </c>
      <c r="M219" s="24">
        <f t="shared" si="72"/>
        <v>14.285714285714286</v>
      </c>
      <c r="N219" s="24">
        <f t="shared" si="78"/>
        <v>4.2857142857142856</v>
      </c>
      <c r="O219" s="24" t="str">
        <f t="shared" si="73"/>
        <v/>
      </c>
      <c r="P219" s="24" t="str">
        <f t="shared" si="81"/>
        <v/>
      </c>
      <c r="Q219" s="24" t="str">
        <f t="shared" si="74"/>
        <v/>
      </c>
      <c r="R219" s="24" t="str">
        <f t="shared" si="79"/>
        <v/>
      </c>
      <c r="S219" s="108">
        <f t="shared" si="82"/>
        <v>1</v>
      </c>
      <c r="T219" s="28">
        <f t="shared" si="80"/>
        <v>12.285714285714285</v>
      </c>
      <c r="U219" s="28">
        <f t="shared" si="69"/>
        <v>12.285714285714285</v>
      </c>
      <c r="V219" s="36">
        <f t="shared" si="75"/>
        <v>1.2285714285714284</v>
      </c>
      <c r="W219" s="36">
        <f t="shared" si="76"/>
        <v>0.73</v>
      </c>
      <c r="X219" s="56">
        <f t="shared" si="70"/>
        <v>1.3</v>
      </c>
    </row>
    <row r="220" spans="1:24">
      <c r="A220" s="26" t="s">
        <v>2300</v>
      </c>
      <c r="B220" s="27">
        <v>1</v>
      </c>
      <c r="C220" s="27" t="s">
        <v>1279</v>
      </c>
      <c r="D220" s="27">
        <v>0.35</v>
      </c>
      <c r="E220" s="27"/>
      <c r="F220" s="27"/>
      <c r="G220" s="27"/>
      <c r="H220" s="27"/>
      <c r="I220" s="27"/>
      <c r="J220" s="27"/>
      <c r="K220" s="24">
        <v>4.5783132530120483</v>
      </c>
      <c r="L220" s="24">
        <v>1.6024096385542168</v>
      </c>
      <c r="M220" s="24" t="s">
        <v>1411</v>
      </c>
      <c r="N220" s="24" t="s">
        <v>1411</v>
      </c>
      <c r="O220" s="24" t="s">
        <v>1411</v>
      </c>
      <c r="P220" s="24" t="s">
        <v>1411</v>
      </c>
      <c r="Q220" s="24" t="s">
        <v>1411</v>
      </c>
      <c r="R220" s="24" t="s">
        <v>1411</v>
      </c>
      <c r="S220" s="108">
        <v>0.1</v>
      </c>
      <c r="T220" s="28">
        <v>1.7024096385542169</v>
      </c>
      <c r="U220" s="28">
        <v>1.7024096385542169</v>
      </c>
      <c r="V220" s="36">
        <v>1.7024096385542169</v>
      </c>
      <c r="W220" s="36">
        <v>0.35</v>
      </c>
      <c r="X220" s="56">
        <v>1.8</v>
      </c>
    </row>
    <row r="221" spans="1:24">
      <c r="A221" s="26" t="s">
        <v>2299</v>
      </c>
      <c r="B221" s="27">
        <v>1</v>
      </c>
      <c r="C221" s="27" t="s">
        <v>2299</v>
      </c>
      <c r="D221" s="27">
        <v>0.4</v>
      </c>
      <c r="E221" s="27"/>
      <c r="F221" s="27"/>
      <c r="G221" s="27"/>
      <c r="H221" s="27"/>
      <c r="I221" s="27"/>
      <c r="J221" s="27"/>
      <c r="K221" s="24">
        <v>4.5</v>
      </c>
      <c r="L221" s="24">
        <v>1.8</v>
      </c>
      <c r="M221" s="24" t="s">
        <v>1411</v>
      </c>
      <c r="N221" s="24" t="s">
        <v>1411</v>
      </c>
      <c r="O221" s="24" t="s">
        <v>1411</v>
      </c>
      <c r="P221" s="24" t="s">
        <v>1411</v>
      </c>
      <c r="Q221" s="24" t="s">
        <v>1411</v>
      </c>
      <c r="R221" s="24" t="s">
        <v>1411</v>
      </c>
      <c r="S221" s="108">
        <v>0.1</v>
      </c>
      <c r="T221" s="28">
        <v>1.9000000000000001</v>
      </c>
      <c r="U221" s="28">
        <v>1.9000000000000001</v>
      </c>
      <c r="V221" s="36">
        <v>1.9000000000000001</v>
      </c>
      <c r="W221" s="36">
        <v>0.4</v>
      </c>
      <c r="X221" s="56">
        <v>1.9</v>
      </c>
    </row>
    <row r="222" spans="1:24">
      <c r="A222" s="26" t="s">
        <v>2274</v>
      </c>
      <c r="B222" s="27">
        <v>10</v>
      </c>
      <c r="C222" s="27" t="s">
        <v>2799</v>
      </c>
      <c r="D222" s="27">
        <v>2</v>
      </c>
      <c r="E222" s="27" t="s">
        <v>2313</v>
      </c>
      <c r="F222" s="27">
        <v>0.1</v>
      </c>
      <c r="G222" s="27"/>
      <c r="H222" s="27"/>
      <c r="I222" s="27"/>
      <c r="J222" s="27"/>
      <c r="K222" s="24">
        <f t="shared" si="71"/>
        <v>1.6235294117647059</v>
      </c>
      <c r="L222" s="24">
        <f t="shared" si="77"/>
        <v>3.2470588235294118</v>
      </c>
      <c r="M222" s="24">
        <f t="shared" si="72"/>
        <v>1.6470588235294117</v>
      </c>
      <c r="N222" s="24">
        <f t="shared" si="78"/>
        <v>0.16470588235294117</v>
      </c>
      <c r="O222" s="24" t="str">
        <f t="shared" si="73"/>
        <v/>
      </c>
      <c r="P222" s="24" t="str">
        <f t="shared" si="81"/>
        <v/>
      </c>
      <c r="Q222" s="24" t="str">
        <f t="shared" si="74"/>
        <v/>
      </c>
      <c r="R222" s="24" t="str">
        <f t="shared" si="79"/>
        <v/>
      </c>
      <c r="S222" s="108">
        <f t="shared" si="82"/>
        <v>1</v>
      </c>
      <c r="T222" s="28">
        <f t="shared" si="80"/>
        <v>4.4117647058823533</v>
      </c>
      <c r="U222" s="28">
        <f t="shared" si="69"/>
        <v>4.4117647058823533</v>
      </c>
      <c r="V222" s="36">
        <f t="shared" si="75"/>
        <v>0.44117647058823534</v>
      </c>
      <c r="W222" s="36">
        <f t="shared" si="76"/>
        <v>0.21000000000000002</v>
      </c>
      <c r="X222" s="56">
        <f t="shared" si="70"/>
        <v>0.5</v>
      </c>
    </row>
    <row r="223" spans="1:24">
      <c r="A223" s="26" t="s">
        <v>2261</v>
      </c>
      <c r="B223" s="27">
        <v>10</v>
      </c>
      <c r="C223" s="27" t="s">
        <v>2314</v>
      </c>
      <c r="D223" s="27">
        <v>2</v>
      </c>
      <c r="E223" s="27"/>
      <c r="F223" s="27"/>
      <c r="G223" s="27"/>
      <c r="H223" s="27"/>
      <c r="I223" s="27"/>
      <c r="J223" s="27"/>
      <c r="K223" s="24">
        <f t="shared" si="71"/>
        <v>0.88235294117647056</v>
      </c>
      <c r="L223" s="24">
        <f t="shared" si="77"/>
        <v>1.7647058823529411</v>
      </c>
      <c r="M223" s="24" t="str">
        <f t="shared" si="72"/>
        <v/>
      </c>
      <c r="N223" s="24" t="str">
        <f t="shared" si="78"/>
        <v/>
      </c>
      <c r="O223" s="24" t="str">
        <f t="shared" si="73"/>
        <v/>
      </c>
      <c r="P223" s="24" t="str">
        <f t="shared" si="81"/>
        <v/>
      </c>
      <c r="Q223" s="24" t="str">
        <f t="shared" si="74"/>
        <v/>
      </c>
      <c r="R223" s="24" t="str">
        <f t="shared" si="79"/>
        <v/>
      </c>
      <c r="S223" s="108">
        <f t="shared" si="82"/>
        <v>1</v>
      </c>
      <c r="T223" s="28">
        <f t="shared" si="80"/>
        <v>2.7647058823529411</v>
      </c>
      <c r="U223" s="28">
        <f t="shared" si="69"/>
        <v>2.7647058823529411</v>
      </c>
      <c r="V223" s="36">
        <f t="shared" si="75"/>
        <v>0.27647058823529413</v>
      </c>
      <c r="W223" s="36">
        <f t="shared" si="76"/>
        <v>0.2</v>
      </c>
      <c r="X223" s="56">
        <f t="shared" si="70"/>
        <v>0.30000000000000004</v>
      </c>
    </row>
    <row r="224" spans="1:24">
      <c r="A224" s="26" t="s">
        <v>2262</v>
      </c>
      <c r="B224" s="27">
        <v>10</v>
      </c>
      <c r="C224" s="27" t="s">
        <v>2315</v>
      </c>
      <c r="D224" s="27">
        <v>2</v>
      </c>
      <c r="E224" s="27"/>
      <c r="F224" s="27"/>
      <c r="G224" s="27"/>
      <c r="H224" s="27"/>
      <c r="I224" s="27"/>
      <c r="J224" s="27"/>
      <c r="K224" s="24">
        <f t="shared" si="71"/>
        <v>1</v>
      </c>
      <c r="L224" s="24">
        <f t="shared" si="77"/>
        <v>2</v>
      </c>
      <c r="M224" s="24" t="str">
        <f t="shared" si="72"/>
        <v/>
      </c>
      <c r="N224" s="24" t="str">
        <f t="shared" si="78"/>
        <v/>
      </c>
      <c r="O224" s="24" t="str">
        <f t="shared" si="73"/>
        <v/>
      </c>
      <c r="P224" s="24" t="str">
        <f t="shared" si="81"/>
        <v/>
      </c>
      <c r="Q224" s="24" t="str">
        <f t="shared" si="74"/>
        <v/>
      </c>
      <c r="R224" s="24" t="str">
        <f t="shared" si="79"/>
        <v/>
      </c>
      <c r="S224" s="108">
        <f t="shared" si="82"/>
        <v>1</v>
      </c>
      <c r="T224" s="28">
        <f t="shared" si="80"/>
        <v>3</v>
      </c>
      <c r="U224" s="28">
        <f t="shared" si="69"/>
        <v>3</v>
      </c>
      <c r="V224" s="36">
        <f t="shared" si="75"/>
        <v>0.3</v>
      </c>
      <c r="W224" s="36">
        <f t="shared" si="76"/>
        <v>0.2</v>
      </c>
      <c r="X224" s="56">
        <f t="shared" si="70"/>
        <v>0.3</v>
      </c>
    </row>
    <row r="225" spans="1:24">
      <c r="A225" s="26" t="s">
        <v>2263</v>
      </c>
      <c r="B225" s="27">
        <v>10</v>
      </c>
      <c r="C225" s="27" t="s">
        <v>2316</v>
      </c>
      <c r="D225" s="27">
        <v>3</v>
      </c>
      <c r="E225" s="27" t="s">
        <v>2317</v>
      </c>
      <c r="F225" s="27">
        <v>0.05</v>
      </c>
      <c r="G225" s="27"/>
      <c r="H225" s="27"/>
      <c r="I225" s="27"/>
      <c r="J225" s="27"/>
      <c r="K225" s="24">
        <f t="shared" si="71"/>
        <v>1.0588235294117647</v>
      </c>
      <c r="L225" s="24">
        <f t="shared" si="77"/>
        <v>3.1764705882352944</v>
      </c>
      <c r="M225" s="24">
        <f t="shared" si="72"/>
        <v>14.285714285714286</v>
      </c>
      <c r="N225" s="24">
        <f t="shared" si="78"/>
        <v>0.71428571428571441</v>
      </c>
      <c r="O225" s="24" t="str">
        <f t="shared" si="73"/>
        <v/>
      </c>
      <c r="P225" s="24" t="str">
        <f t="shared" si="81"/>
        <v/>
      </c>
      <c r="Q225" s="24" t="str">
        <f t="shared" si="74"/>
        <v/>
      </c>
      <c r="R225" s="24" t="str">
        <f t="shared" si="79"/>
        <v/>
      </c>
      <c r="S225" s="108">
        <f t="shared" si="82"/>
        <v>1</v>
      </c>
      <c r="T225" s="28">
        <f t="shared" si="80"/>
        <v>4.8907563025210088</v>
      </c>
      <c r="U225" s="28">
        <f t="shared" si="69"/>
        <v>4.8907563025210088</v>
      </c>
      <c r="V225" s="36">
        <f t="shared" si="75"/>
        <v>0.48907563025210088</v>
      </c>
      <c r="W225" s="36">
        <f t="shared" si="76"/>
        <v>0.30499999999999999</v>
      </c>
      <c r="X225" s="56">
        <f t="shared" si="70"/>
        <v>0.5</v>
      </c>
    </row>
    <row r="226" spans="1:24">
      <c r="A226" s="26" t="s">
        <v>2261</v>
      </c>
      <c r="B226" s="27">
        <v>10</v>
      </c>
      <c r="C226" s="27" t="s">
        <v>2314</v>
      </c>
      <c r="D226" s="27">
        <v>2</v>
      </c>
      <c r="E226" s="27"/>
      <c r="F226" s="27"/>
      <c r="G226" s="27"/>
      <c r="H226" s="27"/>
      <c r="I226" s="27"/>
      <c r="J226" s="27"/>
      <c r="K226" s="24">
        <f t="shared" si="71"/>
        <v>0.88235294117647056</v>
      </c>
      <c r="L226" s="24">
        <f t="shared" si="77"/>
        <v>1.7647058823529411</v>
      </c>
      <c r="M226" s="24" t="str">
        <f t="shared" si="72"/>
        <v/>
      </c>
      <c r="N226" s="24" t="str">
        <f t="shared" si="78"/>
        <v/>
      </c>
      <c r="O226" s="24" t="str">
        <f t="shared" si="73"/>
        <v/>
      </c>
      <c r="P226" s="24" t="str">
        <f t="shared" si="81"/>
        <v/>
      </c>
      <c r="Q226" s="24" t="str">
        <f t="shared" si="74"/>
        <v/>
      </c>
      <c r="R226" s="24" t="str">
        <f t="shared" si="79"/>
        <v/>
      </c>
      <c r="S226" s="108">
        <f t="shared" si="82"/>
        <v>1</v>
      </c>
      <c r="T226" s="28">
        <f t="shared" si="80"/>
        <v>2.7647058823529411</v>
      </c>
      <c r="U226" s="28">
        <f t="shared" si="69"/>
        <v>2.7647058823529411</v>
      </c>
      <c r="V226" s="36">
        <f t="shared" si="75"/>
        <v>0.27647058823529413</v>
      </c>
      <c r="W226" s="36">
        <f t="shared" si="76"/>
        <v>0.2</v>
      </c>
      <c r="X226" s="56">
        <f t="shared" si="70"/>
        <v>0.30000000000000004</v>
      </c>
    </row>
    <row r="227" spans="1:24">
      <c r="A227" s="26" t="s">
        <v>2266</v>
      </c>
      <c r="B227" s="27">
        <v>10</v>
      </c>
      <c r="C227" s="27" t="s">
        <v>2318</v>
      </c>
      <c r="D227" s="27">
        <v>1</v>
      </c>
      <c r="E227" s="27" t="s">
        <v>1299</v>
      </c>
      <c r="F227" s="27">
        <v>0.5</v>
      </c>
      <c r="G227" s="27"/>
      <c r="H227" s="27"/>
      <c r="I227" s="27"/>
      <c r="J227" s="27"/>
      <c r="K227" s="24">
        <f t="shared" si="71"/>
        <v>0.70588235294117652</v>
      </c>
      <c r="L227" s="24">
        <f t="shared" si="77"/>
        <v>0.70588235294117652</v>
      </c>
      <c r="M227" s="24">
        <f t="shared" si="72"/>
        <v>6.4285714285714288</v>
      </c>
      <c r="N227" s="24">
        <f t="shared" si="78"/>
        <v>3.2142857142857144</v>
      </c>
      <c r="O227" s="24" t="str">
        <f t="shared" si="73"/>
        <v/>
      </c>
      <c r="P227" s="24" t="str">
        <f t="shared" si="81"/>
        <v/>
      </c>
      <c r="Q227" s="24" t="str">
        <f t="shared" si="74"/>
        <v/>
      </c>
      <c r="R227" s="24" t="str">
        <f t="shared" si="79"/>
        <v/>
      </c>
      <c r="S227" s="108">
        <f t="shared" si="82"/>
        <v>1</v>
      </c>
      <c r="T227" s="28">
        <f t="shared" si="80"/>
        <v>4.920168067226891</v>
      </c>
      <c r="U227" s="28">
        <f t="shared" ref="U227:U290" si="83">T227*(1+凉菜物料)</f>
        <v>4.920168067226891</v>
      </c>
      <c r="V227" s="36">
        <f t="shared" si="75"/>
        <v>0.4920168067226891</v>
      </c>
      <c r="W227" s="36">
        <f t="shared" si="76"/>
        <v>0.15000000000000002</v>
      </c>
      <c r="X227" s="56">
        <f t="shared" ref="X227:X290" si="84">ROUNDUP(V227*(1+凉菜毛利),1)</f>
        <v>0.5</v>
      </c>
    </row>
    <row r="228" spans="1:24">
      <c r="A228" s="26" t="s">
        <v>2267</v>
      </c>
      <c r="B228" s="27">
        <v>10</v>
      </c>
      <c r="C228" s="27" t="s">
        <v>2313</v>
      </c>
      <c r="D228" s="27">
        <v>1.5</v>
      </c>
      <c r="E228" s="27"/>
      <c r="F228" s="27"/>
      <c r="G228" s="27"/>
      <c r="H228" s="27"/>
      <c r="I228" s="27"/>
      <c r="J228" s="27"/>
      <c r="K228" s="24">
        <f t="shared" ref="K228:K291" si="85">IF(C228="","",VLOOKUP(C228,成本单价,8,0))</f>
        <v>1.6470588235294117</v>
      </c>
      <c r="L228" s="24">
        <f t="shared" si="77"/>
        <v>2.4705882352941178</v>
      </c>
      <c r="M228" s="24" t="str">
        <f t="shared" ref="M228:M291" si="86">IF(E228="","",VLOOKUP(E228,成本单价,8,0))</f>
        <v/>
      </c>
      <c r="N228" s="24" t="str">
        <f t="shared" si="78"/>
        <v/>
      </c>
      <c r="O228" s="24" t="str">
        <f t="shared" ref="O228:O291" si="87">IF(G228="","",VLOOKUP(G228,成本单价,8,0))</f>
        <v/>
      </c>
      <c r="P228" s="24" t="str">
        <f t="shared" si="81"/>
        <v/>
      </c>
      <c r="Q228" s="24" t="str">
        <f t="shared" ref="Q228:Q291" si="88">IF(I228="","",VLOOKUP(I228,成本单价,8,0))</f>
        <v/>
      </c>
      <c r="R228" s="24" t="str">
        <f t="shared" si="79"/>
        <v/>
      </c>
      <c r="S228" s="108">
        <f t="shared" si="82"/>
        <v>1</v>
      </c>
      <c r="T228" s="28">
        <f t="shared" si="80"/>
        <v>3.4705882352941178</v>
      </c>
      <c r="U228" s="28">
        <f t="shared" si="83"/>
        <v>3.4705882352941178</v>
      </c>
      <c r="V228" s="36">
        <f t="shared" ref="V228:V291" si="89">U228/B228</f>
        <v>0.34705882352941175</v>
      </c>
      <c r="W228" s="36">
        <f t="shared" ref="W228:W291" si="90">D228/B228+F228/B228+H228/B228+J228/B228</f>
        <v>0.15</v>
      </c>
      <c r="X228" s="56">
        <f t="shared" si="84"/>
        <v>0.4</v>
      </c>
    </row>
    <row r="229" spans="1:24">
      <c r="A229" s="26" t="s">
        <v>2268</v>
      </c>
      <c r="B229" s="27">
        <v>10</v>
      </c>
      <c r="C229" s="27" t="s">
        <v>2319</v>
      </c>
      <c r="D229" s="27">
        <v>3</v>
      </c>
      <c r="E229" s="27"/>
      <c r="F229" s="27"/>
      <c r="G229" s="27"/>
      <c r="H229" s="27"/>
      <c r="I229" s="27"/>
      <c r="J229" s="27"/>
      <c r="K229" s="24">
        <f t="shared" si="85"/>
        <v>0.94117647058823539</v>
      </c>
      <c r="L229" s="24">
        <f t="shared" ref="L229:L292" si="91">IFERROR(D229*K229,"")</f>
        <v>2.8235294117647061</v>
      </c>
      <c r="M229" s="24" t="str">
        <f t="shared" si="86"/>
        <v/>
      </c>
      <c r="N229" s="24" t="str">
        <f t="shared" ref="N229:N292" si="92">IFERROR(F229*M229,"")</f>
        <v/>
      </c>
      <c r="O229" s="24" t="str">
        <f t="shared" si="87"/>
        <v/>
      </c>
      <c r="P229" s="24" t="str">
        <f t="shared" si="81"/>
        <v/>
      </c>
      <c r="Q229" s="24" t="str">
        <f t="shared" si="88"/>
        <v/>
      </c>
      <c r="R229" s="24" t="str">
        <f t="shared" ref="R229:R292" si="93">IFERROR(J229*Q229,"")</f>
        <v/>
      </c>
      <c r="S229" s="108">
        <f t="shared" si="82"/>
        <v>1</v>
      </c>
      <c r="T229" s="28">
        <f t="shared" ref="T229:T292" si="94">IFERROR(SUM(L229,N229,P229,R229,S229),"")</f>
        <v>3.8235294117647061</v>
      </c>
      <c r="U229" s="28">
        <f t="shared" si="83"/>
        <v>3.8235294117647061</v>
      </c>
      <c r="V229" s="36">
        <f t="shared" si="89"/>
        <v>0.38235294117647062</v>
      </c>
      <c r="W229" s="36">
        <f t="shared" si="90"/>
        <v>0.3</v>
      </c>
      <c r="X229" s="56">
        <f t="shared" si="84"/>
        <v>0.4</v>
      </c>
    </row>
    <row r="230" spans="1:24">
      <c r="A230" s="26" t="s">
        <v>2269</v>
      </c>
      <c r="B230" s="27">
        <v>10</v>
      </c>
      <c r="C230" s="27" t="s">
        <v>2320</v>
      </c>
      <c r="D230" s="27">
        <v>1.5</v>
      </c>
      <c r="E230" s="27" t="s">
        <v>1299</v>
      </c>
      <c r="F230" s="27">
        <v>0.5</v>
      </c>
      <c r="G230" s="27"/>
      <c r="H230" s="27"/>
      <c r="I230" s="27"/>
      <c r="J230" s="27"/>
      <c r="K230" s="24">
        <f t="shared" si="85"/>
        <v>0.94117647058823539</v>
      </c>
      <c r="L230" s="24">
        <f t="shared" si="91"/>
        <v>1.411764705882353</v>
      </c>
      <c r="M230" s="24">
        <f t="shared" si="86"/>
        <v>6.4285714285714288</v>
      </c>
      <c r="N230" s="24">
        <f t="shared" si="92"/>
        <v>3.2142857142857144</v>
      </c>
      <c r="O230" s="24" t="str">
        <f t="shared" si="87"/>
        <v/>
      </c>
      <c r="P230" s="24" t="str">
        <f t="shared" ref="P230:P293" si="95">IFERROR(H230*O230,"")</f>
        <v/>
      </c>
      <c r="Q230" s="24" t="str">
        <f t="shared" si="88"/>
        <v/>
      </c>
      <c r="R230" s="24" t="str">
        <f t="shared" si="93"/>
        <v/>
      </c>
      <c r="S230" s="108">
        <f t="shared" si="82"/>
        <v>1</v>
      </c>
      <c r="T230" s="28">
        <f t="shared" si="94"/>
        <v>5.6260504201680677</v>
      </c>
      <c r="U230" s="28">
        <f t="shared" si="83"/>
        <v>5.6260504201680677</v>
      </c>
      <c r="V230" s="36">
        <f t="shared" si="89"/>
        <v>0.56260504201680672</v>
      </c>
      <c r="W230" s="36">
        <f t="shared" si="90"/>
        <v>0.2</v>
      </c>
      <c r="X230" s="56">
        <f t="shared" si="84"/>
        <v>0.6</v>
      </c>
    </row>
    <row r="231" spans="1:24">
      <c r="A231" s="26" t="s">
        <v>2270</v>
      </c>
      <c r="B231" s="27">
        <v>10</v>
      </c>
      <c r="C231" s="27" t="s">
        <v>2321</v>
      </c>
      <c r="D231" s="27">
        <v>3</v>
      </c>
      <c r="E231" s="27"/>
      <c r="F231" s="27"/>
      <c r="G231" s="27"/>
      <c r="H231" s="27"/>
      <c r="I231" s="27"/>
      <c r="J231" s="27"/>
      <c r="K231" s="24">
        <f t="shared" si="85"/>
        <v>1</v>
      </c>
      <c r="L231" s="24">
        <f t="shared" si="91"/>
        <v>3</v>
      </c>
      <c r="M231" s="24" t="str">
        <f t="shared" si="86"/>
        <v/>
      </c>
      <c r="N231" s="24" t="str">
        <f t="shared" si="92"/>
        <v/>
      </c>
      <c r="O231" s="24" t="str">
        <f t="shared" si="87"/>
        <v/>
      </c>
      <c r="P231" s="24" t="str">
        <f t="shared" si="95"/>
        <v/>
      </c>
      <c r="Q231" s="24" t="str">
        <f t="shared" si="88"/>
        <v/>
      </c>
      <c r="R231" s="24" t="str">
        <f t="shared" si="93"/>
        <v/>
      </c>
      <c r="S231" s="108">
        <f t="shared" si="82"/>
        <v>1</v>
      </c>
      <c r="T231" s="28">
        <f t="shared" si="94"/>
        <v>4</v>
      </c>
      <c r="U231" s="28">
        <f t="shared" si="83"/>
        <v>4</v>
      </c>
      <c r="V231" s="36">
        <f t="shared" si="89"/>
        <v>0.4</v>
      </c>
      <c r="W231" s="36">
        <f t="shared" si="90"/>
        <v>0.3</v>
      </c>
      <c r="X231" s="56">
        <f t="shared" si="84"/>
        <v>0.4</v>
      </c>
    </row>
    <row r="232" spans="1:24">
      <c r="A232" s="26" t="s">
        <v>2224</v>
      </c>
      <c r="B232" s="27">
        <v>10</v>
      </c>
      <c r="C232" s="27" t="s">
        <v>2318</v>
      </c>
      <c r="D232" s="27">
        <v>3</v>
      </c>
      <c r="E232" s="27"/>
      <c r="F232" s="27"/>
      <c r="G232" s="27"/>
      <c r="H232" s="27"/>
      <c r="I232" s="27"/>
      <c r="J232" s="27"/>
      <c r="K232" s="24">
        <f t="shared" si="85"/>
        <v>0.70588235294117652</v>
      </c>
      <c r="L232" s="24">
        <f t="shared" si="91"/>
        <v>2.1176470588235294</v>
      </c>
      <c r="M232" s="24" t="str">
        <f t="shared" si="86"/>
        <v/>
      </c>
      <c r="N232" s="24" t="str">
        <f t="shared" si="92"/>
        <v/>
      </c>
      <c r="O232" s="24" t="str">
        <f t="shared" si="87"/>
        <v/>
      </c>
      <c r="P232" s="24" t="str">
        <f t="shared" si="95"/>
        <v/>
      </c>
      <c r="Q232" s="24" t="str">
        <f t="shared" si="88"/>
        <v/>
      </c>
      <c r="R232" s="24" t="str">
        <f t="shared" si="93"/>
        <v/>
      </c>
      <c r="S232" s="108">
        <f t="shared" si="82"/>
        <v>1</v>
      </c>
      <c r="T232" s="28">
        <f t="shared" si="94"/>
        <v>3.1176470588235294</v>
      </c>
      <c r="U232" s="28">
        <f t="shared" si="83"/>
        <v>3.1176470588235294</v>
      </c>
      <c r="V232" s="36">
        <f t="shared" si="89"/>
        <v>0.31176470588235294</v>
      </c>
      <c r="W232" s="36">
        <f t="shared" si="90"/>
        <v>0.3</v>
      </c>
      <c r="X232" s="56">
        <f t="shared" si="84"/>
        <v>0.4</v>
      </c>
    </row>
    <row r="233" spans="1:24">
      <c r="A233" s="26" t="s">
        <v>2271</v>
      </c>
      <c r="B233" s="27">
        <v>50</v>
      </c>
      <c r="C233" s="27" t="s">
        <v>2322</v>
      </c>
      <c r="D233" s="27">
        <v>1</v>
      </c>
      <c r="E233" s="27"/>
      <c r="F233" s="27"/>
      <c r="G233" s="27"/>
      <c r="H233" s="27"/>
      <c r="I233" s="27"/>
      <c r="J233" s="27"/>
      <c r="K233" s="24">
        <f t="shared" si="85"/>
        <v>25.714285714285715</v>
      </c>
      <c r="L233" s="24">
        <f t="shared" si="91"/>
        <v>25.714285714285715</v>
      </c>
      <c r="M233" s="24" t="str">
        <f t="shared" si="86"/>
        <v/>
      </c>
      <c r="N233" s="24" t="str">
        <f t="shared" si="92"/>
        <v/>
      </c>
      <c r="O233" s="24" t="str">
        <f t="shared" si="87"/>
        <v/>
      </c>
      <c r="P233" s="24" t="str">
        <f t="shared" si="95"/>
        <v/>
      </c>
      <c r="Q233" s="24" t="str">
        <f t="shared" si="88"/>
        <v/>
      </c>
      <c r="R233" s="24" t="str">
        <f t="shared" si="93"/>
        <v/>
      </c>
      <c r="S233" s="108">
        <f t="shared" si="82"/>
        <v>5</v>
      </c>
      <c r="T233" s="28">
        <f t="shared" si="94"/>
        <v>30.714285714285715</v>
      </c>
      <c r="U233" s="28">
        <f t="shared" si="83"/>
        <v>30.714285714285715</v>
      </c>
      <c r="V233" s="36">
        <f t="shared" si="89"/>
        <v>0.61428571428571432</v>
      </c>
      <c r="W233" s="36">
        <f t="shared" si="90"/>
        <v>0.02</v>
      </c>
      <c r="X233" s="56">
        <f t="shared" si="84"/>
        <v>0.7</v>
      </c>
    </row>
    <row r="234" spans="1:24">
      <c r="A234" s="26" t="s">
        <v>2261</v>
      </c>
      <c r="B234" s="27">
        <v>10</v>
      </c>
      <c r="C234" s="27" t="s">
        <v>2314</v>
      </c>
      <c r="D234" s="27">
        <v>2</v>
      </c>
      <c r="E234" s="27"/>
      <c r="F234" s="27"/>
      <c r="G234" s="27"/>
      <c r="H234" s="27"/>
      <c r="I234" s="27"/>
      <c r="J234" s="27"/>
      <c r="K234" s="24">
        <f t="shared" si="85"/>
        <v>0.88235294117647056</v>
      </c>
      <c r="L234" s="24">
        <f t="shared" si="91"/>
        <v>1.7647058823529411</v>
      </c>
      <c r="M234" s="24" t="str">
        <f t="shared" si="86"/>
        <v/>
      </c>
      <c r="N234" s="24" t="str">
        <f t="shared" si="92"/>
        <v/>
      </c>
      <c r="O234" s="24" t="str">
        <f t="shared" si="87"/>
        <v/>
      </c>
      <c r="P234" s="24" t="str">
        <f t="shared" si="95"/>
        <v/>
      </c>
      <c r="Q234" s="24" t="str">
        <f t="shared" si="88"/>
        <v/>
      </c>
      <c r="R234" s="24" t="str">
        <f t="shared" si="93"/>
        <v/>
      </c>
      <c r="S234" s="108">
        <f t="shared" si="82"/>
        <v>1</v>
      </c>
      <c r="T234" s="28">
        <f t="shared" si="94"/>
        <v>2.7647058823529411</v>
      </c>
      <c r="U234" s="28">
        <f t="shared" si="83"/>
        <v>2.7647058823529411</v>
      </c>
      <c r="V234" s="36">
        <f t="shared" si="89"/>
        <v>0.27647058823529413</v>
      </c>
      <c r="W234" s="36">
        <f t="shared" si="90"/>
        <v>0.2</v>
      </c>
      <c r="X234" s="56">
        <f t="shared" si="84"/>
        <v>0.30000000000000004</v>
      </c>
    </row>
    <row r="235" spans="1:24">
      <c r="A235" s="26" t="s">
        <v>2272</v>
      </c>
      <c r="B235" s="27">
        <v>10</v>
      </c>
      <c r="C235" s="27" t="s">
        <v>2759</v>
      </c>
      <c r="D235" s="27">
        <v>2</v>
      </c>
      <c r="E235" s="27"/>
      <c r="F235" s="27"/>
      <c r="G235" s="27"/>
      <c r="H235" s="27"/>
      <c r="I235" s="27"/>
      <c r="J235" s="27"/>
      <c r="K235" s="24">
        <f t="shared" si="85"/>
        <v>1.6235294117647059</v>
      </c>
      <c r="L235" s="24">
        <f t="shared" si="91"/>
        <v>3.2470588235294118</v>
      </c>
      <c r="M235" s="24" t="str">
        <f t="shared" si="86"/>
        <v/>
      </c>
      <c r="N235" s="24" t="str">
        <f t="shared" si="92"/>
        <v/>
      </c>
      <c r="O235" s="24" t="str">
        <f t="shared" si="87"/>
        <v/>
      </c>
      <c r="P235" s="24" t="str">
        <f t="shared" si="95"/>
        <v/>
      </c>
      <c r="Q235" s="24" t="str">
        <f t="shared" si="88"/>
        <v/>
      </c>
      <c r="R235" s="24" t="str">
        <f t="shared" si="93"/>
        <v/>
      </c>
      <c r="S235" s="108">
        <f t="shared" si="82"/>
        <v>1</v>
      </c>
      <c r="T235" s="28">
        <f t="shared" si="94"/>
        <v>4.2470588235294118</v>
      </c>
      <c r="U235" s="28">
        <f t="shared" si="83"/>
        <v>4.2470588235294118</v>
      </c>
      <c r="V235" s="36">
        <f t="shared" si="89"/>
        <v>0.42470588235294116</v>
      </c>
      <c r="W235" s="36">
        <f t="shared" si="90"/>
        <v>0.2</v>
      </c>
      <c r="X235" s="56">
        <f t="shared" si="84"/>
        <v>0.5</v>
      </c>
    </row>
    <row r="236" spans="1:24">
      <c r="A236" s="26" t="s">
        <v>2273</v>
      </c>
      <c r="B236" s="27">
        <v>10</v>
      </c>
      <c r="C236" s="27" t="s">
        <v>131</v>
      </c>
      <c r="D236" s="27">
        <v>3</v>
      </c>
      <c r="E236" s="27"/>
      <c r="F236" s="27"/>
      <c r="G236" s="27"/>
      <c r="H236" s="27"/>
      <c r="I236" s="27"/>
      <c r="J236" s="27"/>
      <c r="K236" s="24">
        <f t="shared" si="85"/>
        <v>0.88235294117647056</v>
      </c>
      <c r="L236" s="24">
        <f t="shared" si="91"/>
        <v>2.6470588235294117</v>
      </c>
      <c r="M236" s="24" t="str">
        <f t="shared" si="86"/>
        <v/>
      </c>
      <c r="N236" s="24" t="str">
        <f t="shared" si="92"/>
        <v/>
      </c>
      <c r="O236" s="24" t="str">
        <f t="shared" si="87"/>
        <v/>
      </c>
      <c r="P236" s="24" t="str">
        <f t="shared" si="95"/>
        <v/>
      </c>
      <c r="Q236" s="24" t="str">
        <f t="shared" si="88"/>
        <v/>
      </c>
      <c r="R236" s="24" t="str">
        <f t="shared" si="93"/>
        <v/>
      </c>
      <c r="S236" s="108">
        <f t="shared" si="82"/>
        <v>1</v>
      </c>
      <c r="T236" s="28">
        <f t="shared" si="94"/>
        <v>3.6470588235294117</v>
      </c>
      <c r="U236" s="28">
        <f t="shared" si="83"/>
        <v>3.6470588235294117</v>
      </c>
      <c r="V236" s="36">
        <f t="shared" si="89"/>
        <v>0.36470588235294116</v>
      </c>
      <c r="W236" s="36">
        <f t="shared" si="90"/>
        <v>0.3</v>
      </c>
      <c r="X236" s="56">
        <f t="shared" si="84"/>
        <v>0.4</v>
      </c>
    </row>
    <row r="237" spans="1:24">
      <c r="A237" s="26" t="s">
        <v>2324</v>
      </c>
      <c r="B237" s="27">
        <v>10</v>
      </c>
      <c r="C237" s="27" t="s">
        <v>1009</v>
      </c>
      <c r="D237" s="27">
        <v>0.6</v>
      </c>
      <c r="E237" s="27" t="s">
        <v>2325</v>
      </c>
      <c r="F237" s="27">
        <v>0.5</v>
      </c>
      <c r="G237" s="27" t="s">
        <v>2326</v>
      </c>
      <c r="H237" s="27">
        <v>0.5</v>
      </c>
      <c r="I237" s="27"/>
      <c r="J237" s="27"/>
      <c r="K237" s="24">
        <f t="shared" si="85"/>
        <v>61.428571428571431</v>
      </c>
      <c r="L237" s="24">
        <f t="shared" si="91"/>
        <v>36.857142857142854</v>
      </c>
      <c r="M237" s="24">
        <f t="shared" si="86"/>
        <v>1.1176470588235294</v>
      </c>
      <c r="N237" s="24">
        <f t="shared" si="92"/>
        <v>0.55882352941176472</v>
      </c>
      <c r="O237" s="24">
        <f t="shared" si="87"/>
        <v>8.3529411764705888</v>
      </c>
      <c r="P237" s="24">
        <f t="shared" si="95"/>
        <v>4.1764705882352944</v>
      </c>
      <c r="Q237" s="24" t="str">
        <f t="shared" si="88"/>
        <v/>
      </c>
      <c r="R237" s="24" t="str">
        <f t="shared" si="93"/>
        <v/>
      </c>
      <c r="S237" s="108">
        <f t="shared" si="82"/>
        <v>1</v>
      </c>
      <c r="T237" s="28">
        <f t="shared" si="94"/>
        <v>42.592436974789919</v>
      </c>
      <c r="U237" s="28">
        <f t="shared" si="83"/>
        <v>42.592436974789919</v>
      </c>
      <c r="V237" s="36">
        <f t="shared" si="89"/>
        <v>4.2592436974789916</v>
      </c>
      <c r="W237" s="36">
        <f t="shared" si="90"/>
        <v>0.16</v>
      </c>
      <c r="X237" s="56">
        <f t="shared" si="84"/>
        <v>4.3</v>
      </c>
    </row>
    <row r="238" spans="1:24">
      <c r="A238" s="26" t="s">
        <v>2164</v>
      </c>
      <c r="B238" s="27">
        <v>10</v>
      </c>
      <c r="C238" s="27" t="s">
        <v>2536</v>
      </c>
      <c r="D238" s="27">
        <v>8</v>
      </c>
      <c r="E238" s="27"/>
      <c r="F238" s="27"/>
      <c r="G238" s="27"/>
      <c r="H238" s="27"/>
      <c r="I238" s="27"/>
      <c r="J238" s="27"/>
      <c r="K238" s="24" t="e">
        <f t="shared" si="85"/>
        <v>#N/A</v>
      </c>
      <c r="L238" s="24" t="str">
        <f t="shared" si="91"/>
        <v/>
      </c>
      <c r="M238" s="24" t="str">
        <f t="shared" si="86"/>
        <v/>
      </c>
      <c r="N238" s="24" t="str">
        <f t="shared" si="92"/>
        <v/>
      </c>
      <c r="O238" s="24" t="str">
        <f t="shared" si="87"/>
        <v/>
      </c>
      <c r="P238" s="24" t="str">
        <f t="shared" si="95"/>
        <v/>
      </c>
      <c r="Q238" s="24" t="str">
        <f t="shared" si="88"/>
        <v/>
      </c>
      <c r="R238" s="24" t="str">
        <f t="shared" si="93"/>
        <v/>
      </c>
      <c r="S238" s="108">
        <f t="shared" si="82"/>
        <v>1</v>
      </c>
      <c r="T238" s="28">
        <f t="shared" si="94"/>
        <v>1</v>
      </c>
      <c r="U238" s="28">
        <f t="shared" si="83"/>
        <v>1</v>
      </c>
      <c r="V238" s="36">
        <f t="shared" si="89"/>
        <v>0.1</v>
      </c>
      <c r="W238" s="36">
        <f t="shared" si="90"/>
        <v>0.8</v>
      </c>
      <c r="X238" s="56">
        <f t="shared" si="84"/>
        <v>0.1</v>
      </c>
    </row>
    <row r="239" spans="1:24">
      <c r="A239" s="26" t="s">
        <v>2335</v>
      </c>
      <c r="B239" s="27">
        <v>10</v>
      </c>
      <c r="C239" s="27" t="s">
        <v>2142</v>
      </c>
      <c r="D239" s="27">
        <v>6</v>
      </c>
      <c r="E239" s="27" t="s">
        <v>2336</v>
      </c>
      <c r="F239" s="27">
        <v>0.3</v>
      </c>
      <c r="G239" s="27"/>
      <c r="H239" s="27"/>
      <c r="I239" s="27"/>
      <c r="J239" s="27"/>
      <c r="K239" s="24">
        <f t="shared" si="85"/>
        <v>2.5333333333333332</v>
      </c>
      <c r="L239" s="24">
        <f t="shared" si="91"/>
        <v>15.2</v>
      </c>
      <c r="M239" s="24">
        <f t="shared" si="86"/>
        <v>2.2352941176470589</v>
      </c>
      <c r="N239" s="24">
        <f t="shared" si="92"/>
        <v>0.6705882352941176</v>
      </c>
      <c r="O239" s="24" t="str">
        <f t="shared" si="87"/>
        <v/>
      </c>
      <c r="P239" s="24" t="str">
        <f t="shared" si="95"/>
        <v/>
      </c>
      <c r="Q239" s="24" t="str">
        <f t="shared" si="88"/>
        <v/>
      </c>
      <c r="R239" s="24" t="str">
        <f t="shared" si="93"/>
        <v/>
      </c>
      <c r="S239" s="108">
        <f t="shared" si="82"/>
        <v>1</v>
      </c>
      <c r="T239" s="28">
        <f t="shared" si="94"/>
        <v>16.870588235294115</v>
      </c>
      <c r="U239" s="28">
        <f t="shared" si="83"/>
        <v>16.870588235294115</v>
      </c>
      <c r="V239" s="36">
        <f t="shared" si="89"/>
        <v>1.6870588235294115</v>
      </c>
      <c r="W239" s="36">
        <f t="shared" si="90"/>
        <v>0.63</v>
      </c>
      <c r="X239" s="56">
        <f t="shared" si="84"/>
        <v>1.7000000000000002</v>
      </c>
    </row>
    <row r="240" spans="1:24">
      <c r="A240" s="26" t="s">
        <v>2221</v>
      </c>
      <c r="B240" s="27">
        <v>10</v>
      </c>
      <c r="C240" s="27" t="s">
        <v>2374</v>
      </c>
      <c r="D240" s="27">
        <v>1</v>
      </c>
      <c r="E240" s="27" t="s">
        <v>2375</v>
      </c>
      <c r="F240" s="27">
        <v>5</v>
      </c>
      <c r="G240" s="27"/>
      <c r="H240" s="27"/>
      <c r="I240" s="27"/>
      <c r="J240" s="27"/>
      <c r="K240" s="24">
        <f t="shared" si="85"/>
        <v>2.1176470588235294</v>
      </c>
      <c r="L240" s="24">
        <f t="shared" si="91"/>
        <v>2.1176470588235294</v>
      </c>
      <c r="M240" s="24">
        <f t="shared" si="86"/>
        <v>4.5333333333333332</v>
      </c>
      <c r="N240" s="24">
        <f t="shared" si="92"/>
        <v>22.666666666666664</v>
      </c>
      <c r="O240" s="24" t="str">
        <f t="shared" si="87"/>
        <v/>
      </c>
      <c r="P240" s="24" t="str">
        <f t="shared" si="95"/>
        <v/>
      </c>
      <c r="Q240" s="24" t="str">
        <f t="shared" si="88"/>
        <v/>
      </c>
      <c r="R240" s="24" t="str">
        <f t="shared" si="93"/>
        <v/>
      </c>
      <c r="S240" s="108">
        <f t="shared" si="82"/>
        <v>1</v>
      </c>
      <c r="T240" s="28">
        <f t="shared" si="94"/>
        <v>25.784313725490193</v>
      </c>
      <c r="U240" s="28">
        <f t="shared" si="83"/>
        <v>25.784313725490193</v>
      </c>
      <c r="V240" s="36">
        <f t="shared" si="89"/>
        <v>2.5784313725490193</v>
      </c>
      <c r="W240" s="36">
        <f t="shared" si="90"/>
        <v>0.6</v>
      </c>
      <c r="X240" s="56">
        <f t="shared" si="84"/>
        <v>2.6</v>
      </c>
    </row>
    <row r="241" spans="1:24">
      <c r="A241" s="26" t="s">
        <v>2373</v>
      </c>
      <c r="B241" s="27">
        <v>10</v>
      </c>
      <c r="C241" s="27" t="s">
        <v>2142</v>
      </c>
      <c r="D241" s="27">
        <v>6</v>
      </c>
      <c r="E241" s="27"/>
      <c r="F241" s="27"/>
      <c r="G241" s="27"/>
      <c r="H241" s="27"/>
      <c r="I241" s="27"/>
      <c r="J241" s="27"/>
      <c r="K241" s="24">
        <f t="shared" si="85"/>
        <v>2.5333333333333332</v>
      </c>
      <c r="L241" s="24">
        <f t="shared" si="91"/>
        <v>15.2</v>
      </c>
      <c r="M241" s="24" t="str">
        <f t="shared" si="86"/>
        <v/>
      </c>
      <c r="N241" s="24" t="str">
        <f t="shared" si="92"/>
        <v/>
      </c>
      <c r="O241" s="24" t="str">
        <f t="shared" si="87"/>
        <v/>
      </c>
      <c r="P241" s="24" t="str">
        <f t="shared" si="95"/>
        <v/>
      </c>
      <c r="Q241" s="24" t="str">
        <f t="shared" si="88"/>
        <v/>
      </c>
      <c r="R241" s="24" t="str">
        <f t="shared" si="93"/>
        <v/>
      </c>
      <c r="S241" s="108">
        <f>B241*0.6</f>
        <v>6</v>
      </c>
      <c r="T241" s="28">
        <f t="shared" si="94"/>
        <v>21.2</v>
      </c>
      <c r="U241" s="28">
        <f t="shared" si="83"/>
        <v>21.2</v>
      </c>
      <c r="V241" s="36">
        <f t="shared" si="89"/>
        <v>2.12</v>
      </c>
      <c r="W241" s="36">
        <f t="shared" si="90"/>
        <v>0.6</v>
      </c>
      <c r="X241" s="56">
        <f t="shared" si="84"/>
        <v>2.2000000000000002</v>
      </c>
    </row>
    <row r="242" spans="1:24">
      <c r="A242" s="26" t="s">
        <v>2376</v>
      </c>
      <c r="B242" s="27">
        <v>15</v>
      </c>
      <c r="C242" s="27" t="s">
        <v>2322</v>
      </c>
      <c r="D242" s="27">
        <v>1</v>
      </c>
      <c r="E242" s="27" t="s">
        <v>2377</v>
      </c>
      <c r="F242" s="27">
        <v>1</v>
      </c>
      <c r="G242" s="27" t="s">
        <v>2336</v>
      </c>
      <c r="H242" s="27">
        <v>1</v>
      </c>
      <c r="I242" s="27"/>
      <c r="J242" s="27"/>
      <c r="K242" s="24">
        <f t="shared" si="85"/>
        <v>25.714285714285715</v>
      </c>
      <c r="L242" s="24">
        <f t="shared" si="91"/>
        <v>25.714285714285715</v>
      </c>
      <c r="M242" s="24">
        <f t="shared" si="86"/>
        <v>3.4117647058823528</v>
      </c>
      <c r="N242" s="24">
        <f t="shared" si="92"/>
        <v>3.4117647058823528</v>
      </c>
      <c r="O242" s="24">
        <f t="shared" si="87"/>
        <v>2.2352941176470589</v>
      </c>
      <c r="P242" s="24">
        <f t="shared" si="95"/>
        <v>2.2352941176470589</v>
      </c>
      <c r="Q242" s="24" t="str">
        <f t="shared" si="88"/>
        <v/>
      </c>
      <c r="R242" s="24" t="str">
        <f t="shared" si="93"/>
        <v/>
      </c>
      <c r="S242" s="108">
        <f t="shared" si="82"/>
        <v>1.5</v>
      </c>
      <c r="T242" s="28">
        <f t="shared" si="94"/>
        <v>32.861344537815128</v>
      </c>
      <c r="U242" s="28">
        <f t="shared" si="83"/>
        <v>32.861344537815128</v>
      </c>
      <c r="V242" s="36">
        <f t="shared" si="89"/>
        <v>2.1907563025210086</v>
      </c>
      <c r="W242" s="36">
        <f t="shared" si="90"/>
        <v>0.2</v>
      </c>
      <c r="X242" s="56">
        <f t="shared" si="84"/>
        <v>2.2000000000000002</v>
      </c>
    </row>
    <row r="243" spans="1:24">
      <c r="A243" s="26" t="s">
        <v>2542</v>
      </c>
      <c r="B243" s="27">
        <v>10</v>
      </c>
      <c r="C243" s="27" t="s">
        <v>2543</v>
      </c>
      <c r="D243" s="27">
        <v>2</v>
      </c>
      <c r="E243" s="27"/>
      <c r="F243" s="27"/>
      <c r="G243" s="27"/>
      <c r="H243" s="27"/>
      <c r="I243" s="27"/>
      <c r="J243" s="27"/>
      <c r="K243" s="24">
        <f t="shared" si="85"/>
        <v>0.94117647058823539</v>
      </c>
      <c r="L243" s="24">
        <f t="shared" si="91"/>
        <v>1.8823529411764708</v>
      </c>
      <c r="M243" s="24" t="str">
        <f t="shared" si="86"/>
        <v/>
      </c>
      <c r="N243" s="24" t="str">
        <f t="shared" si="92"/>
        <v/>
      </c>
      <c r="O243" s="24" t="str">
        <f t="shared" si="87"/>
        <v/>
      </c>
      <c r="P243" s="24" t="str">
        <f t="shared" si="95"/>
        <v/>
      </c>
      <c r="Q243" s="24" t="str">
        <f t="shared" si="88"/>
        <v/>
      </c>
      <c r="R243" s="24" t="str">
        <f t="shared" si="93"/>
        <v/>
      </c>
      <c r="S243" s="108">
        <f>B243*0.2</f>
        <v>2</v>
      </c>
      <c r="T243" s="28">
        <f t="shared" si="94"/>
        <v>3.882352941176471</v>
      </c>
      <c r="U243" s="28">
        <f t="shared" si="83"/>
        <v>3.882352941176471</v>
      </c>
      <c r="V243" s="36">
        <f t="shared" si="89"/>
        <v>0.38823529411764712</v>
      </c>
      <c r="W243" s="36">
        <f t="shared" si="90"/>
        <v>0.2</v>
      </c>
      <c r="X243" s="56">
        <f t="shared" si="84"/>
        <v>0.4</v>
      </c>
    </row>
    <row r="244" spans="1:24">
      <c r="A244" s="26" t="s">
        <v>2558</v>
      </c>
      <c r="B244" s="27">
        <v>10</v>
      </c>
      <c r="C244" s="27" t="s">
        <v>2559</v>
      </c>
      <c r="D244" s="27">
        <v>6</v>
      </c>
      <c r="E244" s="27" t="s">
        <v>2560</v>
      </c>
      <c r="F244" s="27">
        <v>1</v>
      </c>
      <c r="G244" s="27"/>
      <c r="H244" s="27"/>
      <c r="I244" s="27"/>
      <c r="J244" s="27"/>
      <c r="K244" s="24">
        <f t="shared" si="85"/>
        <v>1.6470588235294117</v>
      </c>
      <c r="L244" s="24">
        <f t="shared" si="91"/>
        <v>9.882352941176471</v>
      </c>
      <c r="M244" s="24">
        <f t="shared" si="86"/>
        <v>8.3529411764705888</v>
      </c>
      <c r="N244" s="24">
        <f t="shared" si="92"/>
        <v>8.3529411764705888</v>
      </c>
      <c r="O244" s="24" t="str">
        <f t="shared" si="87"/>
        <v/>
      </c>
      <c r="P244" s="24" t="str">
        <f t="shared" si="95"/>
        <v/>
      </c>
      <c r="Q244" s="24" t="str">
        <f t="shared" si="88"/>
        <v/>
      </c>
      <c r="R244" s="24" t="str">
        <f t="shared" si="93"/>
        <v/>
      </c>
      <c r="S244" s="108">
        <f t="shared" si="82"/>
        <v>1</v>
      </c>
      <c r="T244" s="28">
        <f t="shared" si="94"/>
        <v>19.235294117647058</v>
      </c>
      <c r="U244" s="28">
        <f t="shared" si="83"/>
        <v>19.235294117647058</v>
      </c>
      <c r="V244" s="36">
        <f t="shared" si="89"/>
        <v>1.9235294117647057</v>
      </c>
      <c r="W244" s="36">
        <f t="shared" si="90"/>
        <v>0.7</v>
      </c>
      <c r="X244" s="56">
        <f t="shared" si="84"/>
        <v>2</v>
      </c>
    </row>
    <row r="245" spans="1:24">
      <c r="A245" s="26" t="s">
        <v>2796</v>
      </c>
      <c r="B245" s="27">
        <v>10</v>
      </c>
      <c r="C245" s="27" t="s">
        <v>2798</v>
      </c>
      <c r="D245" s="27">
        <v>3</v>
      </c>
      <c r="E245" s="27"/>
      <c r="F245" s="27"/>
      <c r="G245" s="27"/>
      <c r="H245" s="27"/>
      <c r="I245" s="27"/>
      <c r="J245" s="27"/>
      <c r="K245" s="24">
        <f t="shared" si="85"/>
        <v>0.94117647058823539</v>
      </c>
      <c r="L245" s="24">
        <f t="shared" si="91"/>
        <v>2.8235294117647061</v>
      </c>
      <c r="M245" s="24" t="str">
        <f t="shared" si="86"/>
        <v/>
      </c>
      <c r="N245" s="24" t="str">
        <f t="shared" si="92"/>
        <v/>
      </c>
      <c r="O245" s="24" t="str">
        <f t="shared" si="87"/>
        <v/>
      </c>
      <c r="P245" s="24" t="str">
        <f t="shared" si="95"/>
        <v/>
      </c>
      <c r="Q245" s="24" t="str">
        <f t="shared" si="88"/>
        <v/>
      </c>
      <c r="R245" s="24" t="str">
        <f t="shared" si="93"/>
        <v/>
      </c>
      <c r="S245" s="108">
        <f t="shared" si="82"/>
        <v>1</v>
      </c>
      <c r="T245" s="28">
        <f t="shared" si="94"/>
        <v>3.8235294117647061</v>
      </c>
      <c r="U245" s="28">
        <f t="shared" si="83"/>
        <v>3.8235294117647061</v>
      </c>
      <c r="V245" s="36">
        <f t="shared" si="89"/>
        <v>0.38235294117647062</v>
      </c>
      <c r="W245" s="36">
        <f t="shared" si="90"/>
        <v>0.3</v>
      </c>
      <c r="X245" s="56">
        <f t="shared" si="84"/>
        <v>0.4</v>
      </c>
    </row>
    <row r="246" spans="1:24">
      <c r="A246" s="26"/>
      <c r="B246" s="27"/>
      <c r="C246" s="27"/>
      <c r="D246" s="27"/>
      <c r="E246" s="27"/>
      <c r="F246" s="27"/>
      <c r="G246" s="27"/>
      <c r="H246" s="27"/>
      <c r="I246" s="27"/>
      <c r="J246" s="27"/>
      <c r="K246" s="24" t="str">
        <f t="shared" si="85"/>
        <v/>
      </c>
      <c r="L246" s="24" t="str">
        <f t="shared" si="91"/>
        <v/>
      </c>
      <c r="M246" s="24" t="str">
        <f t="shared" si="86"/>
        <v/>
      </c>
      <c r="N246" s="24" t="str">
        <f t="shared" si="92"/>
        <v/>
      </c>
      <c r="O246" s="24" t="str">
        <f t="shared" si="87"/>
        <v/>
      </c>
      <c r="P246" s="24" t="str">
        <f t="shared" si="95"/>
        <v/>
      </c>
      <c r="Q246" s="24" t="str">
        <f t="shared" si="88"/>
        <v/>
      </c>
      <c r="R246" s="24" t="str">
        <f t="shared" si="93"/>
        <v/>
      </c>
      <c r="S246" s="108">
        <f t="shared" ref="S246:S309" si="96">B246*0.1</f>
        <v>0</v>
      </c>
      <c r="T246" s="28">
        <f t="shared" si="94"/>
        <v>0</v>
      </c>
      <c r="U246" s="28">
        <f t="shared" si="83"/>
        <v>0</v>
      </c>
      <c r="V246" s="36" t="e">
        <f t="shared" si="89"/>
        <v>#DIV/0!</v>
      </c>
      <c r="W246" s="36" t="e">
        <f t="shared" si="90"/>
        <v>#DIV/0!</v>
      </c>
      <c r="X246" s="56" t="e">
        <f t="shared" si="84"/>
        <v>#DIV/0!</v>
      </c>
    </row>
    <row r="247" spans="1:24">
      <c r="A247" s="26"/>
      <c r="B247" s="27"/>
      <c r="C247" s="27"/>
      <c r="D247" s="27"/>
      <c r="E247" s="27"/>
      <c r="F247" s="27"/>
      <c r="G247" s="27"/>
      <c r="H247" s="27"/>
      <c r="I247" s="27"/>
      <c r="J247" s="27"/>
      <c r="K247" s="24" t="str">
        <f t="shared" si="85"/>
        <v/>
      </c>
      <c r="L247" s="24" t="str">
        <f t="shared" si="91"/>
        <v/>
      </c>
      <c r="M247" s="24" t="str">
        <f t="shared" si="86"/>
        <v/>
      </c>
      <c r="N247" s="24" t="str">
        <f t="shared" si="92"/>
        <v/>
      </c>
      <c r="O247" s="24" t="str">
        <f t="shared" si="87"/>
        <v/>
      </c>
      <c r="P247" s="24" t="str">
        <f t="shared" si="95"/>
        <v/>
      </c>
      <c r="Q247" s="24" t="str">
        <f t="shared" si="88"/>
        <v/>
      </c>
      <c r="R247" s="24" t="str">
        <f t="shared" si="93"/>
        <v/>
      </c>
      <c r="S247" s="108">
        <f t="shared" si="96"/>
        <v>0</v>
      </c>
      <c r="T247" s="28">
        <f t="shared" si="94"/>
        <v>0</v>
      </c>
      <c r="U247" s="28">
        <f t="shared" si="83"/>
        <v>0</v>
      </c>
      <c r="V247" s="36" t="e">
        <f t="shared" si="89"/>
        <v>#DIV/0!</v>
      </c>
      <c r="W247" s="36" t="e">
        <f t="shared" si="90"/>
        <v>#DIV/0!</v>
      </c>
      <c r="X247" s="56" t="e">
        <f t="shared" si="84"/>
        <v>#DIV/0!</v>
      </c>
    </row>
    <row r="248" spans="1:24">
      <c r="A248" s="26"/>
      <c r="B248" s="27"/>
      <c r="C248" s="27"/>
      <c r="D248" s="27"/>
      <c r="E248" s="27"/>
      <c r="F248" s="27"/>
      <c r="G248" s="27"/>
      <c r="H248" s="27"/>
      <c r="I248" s="27"/>
      <c r="J248" s="27"/>
      <c r="K248" s="24" t="str">
        <f t="shared" si="85"/>
        <v/>
      </c>
      <c r="L248" s="24" t="str">
        <f t="shared" si="91"/>
        <v/>
      </c>
      <c r="M248" s="24" t="str">
        <f t="shared" si="86"/>
        <v/>
      </c>
      <c r="N248" s="24" t="str">
        <f t="shared" si="92"/>
        <v/>
      </c>
      <c r="O248" s="24" t="str">
        <f t="shared" si="87"/>
        <v/>
      </c>
      <c r="P248" s="24" t="str">
        <f t="shared" si="95"/>
        <v/>
      </c>
      <c r="Q248" s="24" t="str">
        <f t="shared" si="88"/>
        <v/>
      </c>
      <c r="R248" s="24" t="str">
        <f t="shared" si="93"/>
        <v/>
      </c>
      <c r="S248" s="108">
        <f t="shared" si="96"/>
        <v>0</v>
      </c>
      <c r="T248" s="28">
        <f t="shared" si="94"/>
        <v>0</v>
      </c>
      <c r="U248" s="28">
        <f t="shared" si="83"/>
        <v>0</v>
      </c>
      <c r="V248" s="36" t="e">
        <f t="shared" si="89"/>
        <v>#DIV/0!</v>
      </c>
      <c r="W248" s="36" t="e">
        <f t="shared" si="90"/>
        <v>#DIV/0!</v>
      </c>
      <c r="X248" s="56" t="e">
        <f t="shared" si="84"/>
        <v>#DIV/0!</v>
      </c>
    </row>
    <row r="249" spans="1:24">
      <c r="A249" s="26"/>
      <c r="B249" s="27"/>
      <c r="C249" s="27"/>
      <c r="D249" s="27"/>
      <c r="E249" s="27"/>
      <c r="F249" s="27"/>
      <c r="G249" s="27"/>
      <c r="H249" s="27"/>
      <c r="I249" s="27"/>
      <c r="J249" s="27"/>
      <c r="K249" s="24" t="str">
        <f t="shared" si="85"/>
        <v/>
      </c>
      <c r="L249" s="24" t="str">
        <f t="shared" si="91"/>
        <v/>
      </c>
      <c r="M249" s="24" t="str">
        <f t="shared" si="86"/>
        <v/>
      </c>
      <c r="N249" s="24" t="str">
        <f t="shared" si="92"/>
        <v/>
      </c>
      <c r="O249" s="24" t="str">
        <f t="shared" si="87"/>
        <v/>
      </c>
      <c r="P249" s="24" t="str">
        <f t="shared" si="95"/>
        <v/>
      </c>
      <c r="Q249" s="24" t="str">
        <f t="shared" si="88"/>
        <v/>
      </c>
      <c r="R249" s="24" t="str">
        <f t="shared" si="93"/>
        <v/>
      </c>
      <c r="S249" s="108">
        <f t="shared" si="96"/>
        <v>0</v>
      </c>
      <c r="T249" s="28">
        <f t="shared" si="94"/>
        <v>0</v>
      </c>
      <c r="U249" s="28">
        <f t="shared" si="83"/>
        <v>0</v>
      </c>
      <c r="V249" s="36" t="e">
        <f t="shared" si="89"/>
        <v>#DIV/0!</v>
      </c>
      <c r="W249" s="36" t="e">
        <f t="shared" si="90"/>
        <v>#DIV/0!</v>
      </c>
      <c r="X249" s="56" t="e">
        <f t="shared" si="84"/>
        <v>#DIV/0!</v>
      </c>
    </row>
    <row r="250" spans="1:24">
      <c r="A250" s="26"/>
      <c r="B250" s="27"/>
      <c r="C250" s="27"/>
      <c r="D250" s="27"/>
      <c r="E250" s="27"/>
      <c r="F250" s="27"/>
      <c r="G250" s="27"/>
      <c r="H250" s="27"/>
      <c r="I250" s="27"/>
      <c r="J250" s="27"/>
      <c r="K250" s="24" t="str">
        <f t="shared" si="85"/>
        <v/>
      </c>
      <c r="L250" s="24" t="str">
        <f t="shared" si="91"/>
        <v/>
      </c>
      <c r="M250" s="24" t="str">
        <f t="shared" si="86"/>
        <v/>
      </c>
      <c r="N250" s="24" t="str">
        <f t="shared" si="92"/>
        <v/>
      </c>
      <c r="O250" s="24" t="str">
        <f t="shared" si="87"/>
        <v/>
      </c>
      <c r="P250" s="24" t="str">
        <f t="shared" si="95"/>
        <v/>
      </c>
      <c r="Q250" s="24" t="str">
        <f t="shared" si="88"/>
        <v/>
      </c>
      <c r="R250" s="24" t="str">
        <f t="shared" si="93"/>
        <v/>
      </c>
      <c r="S250" s="108">
        <f t="shared" si="96"/>
        <v>0</v>
      </c>
      <c r="T250" s="28">
        <f t="shared" si="94"/>
        <v>0</v>
      </c>
      <c r="U250" s="28">
        <f t="shared" si="83"/>
        <v>0</v>
      </c>
      <c r="V250" s="36" t="e">
        <f t="shared" si="89"/>
        <v>#DIV/0!</v>
      </c>
      <c r="W250" s="36" t="e">
        <f t="shared" si="90"/>
        <v>#DIV/0!</v>
      </c>
      <c r="X250" s="56" t="e">
        <f t="shared" si="84"/>
        <v>#DIV/0!</v>
      </c>
    </row>
    <row r="251" spans="1:24">
      <c r="A251" s="26"/>
      <c r="B251" s="27"/>
      <c r="C251" s="27"/>
      <c r="D251" s="27"/>
      <c r="E251" s="27"/>
      <c r="F251" s="27"/>
      <c r="G251" s="27"/>
      <c r="H251" s="27"/>
      <c r="I251" s="27"/>
      <c r="J251" s="27"/>
      <c r="K251" s="24" t="str">
        <f t="shared" si="85"/>
        <v/>
      </c>
      <c r="L251" s="24" t="str">
        <f t="shared" si="91"/>
        <v/>
      </c>
      <c r="M251" s="24" t="str">
        <f t="shared" si="86"/>
        <v/>
      </c>
      <c r="N251" s="24" t="str">
        <f t="shared" si="92"/>
        <v/>
      </c>
      <c r="O251" s="24" t="str">
        <f t="shared" si="87"/>
        <v/>
      </c>
      <c r="P251" s="24" t="str">
        <f t="shared" si="95"/>
        <v/>
      </c>
      <c r="Q251" s="24" t="str">
        <f t="shared" si="88"/>
        <v/>
      </c>
      <c r="R251" s="24" t="str">
        <f t="shared" si="93"/>
        <v/>
      </c>
      <c r="S251" s="108">
        <f t="shared" si="96"/>
        <v>0</v>
      </c>
      <c r="T251" s="28">
        <f t="shared" si="94"/>
        <v>0</v>
      </c>
      <c r="U251" s="28">
        <f t="shared" si="83"/>
        <v>0</v>
      </c>
      <c r="V251" s="36" t="e">
        <f t="shared" si="89"/>
        <v>#DIV/0!</v>
      </c>
      <c r="W251" s="36" t="e">
        <f t="shared" si="90"/>
        <v>#DIV/0!</v>
      </c>
      <c r="X251" s="56" t="e">
        <f t="shared" si="84"/>
        <v>#DIV/0!</v>
      </c>
    </row>
    <row r="252" spans="1:24">
      <c r="A252" s="26"/>
      <c r="B252" s="27"/>
      <c r="C252" s="27"/>
      <c r="D252" s="27"/>
      <c r="E252" s="27"/>
      <c r="F252" s="27"/>
      <c r="G252" s="27"/>
      <c r="H252" s="27"/>
      <c r="I252" s="27"/>
      <c r="J252" s="27"/>
      <c r="K252" s="24" t="str">
        <f t="shared" si="85"/>
        <v/>
      </c>
      <c r="L252" s="24" t="str">
        <f t="shared" si="91"/>
        <v/>
      </c>
      <c r="M252" s="24" t="str">
        <f t="shared" si="86"/>
        <v/>
      </c>
      <c r="N252" s="24" t="str">
        <f t="shared" si="92"/>
        <v/>
      </c>
      <c r="O252" s="24" t="str">
        <f t="shared" si="87"/>
        <v/>
      </c>
      <c r="P252" s="24" t="str">
        <f t="shared" si="95"/>
        <v/>
      </c>
      <c r="Q252" s="24" t="str">
        <f t="shared" si="88"/>
        <v/>
      </c>
      <c r="R252" s="24" t="str">
        <f t="shared" si="93"/>
        <v/>
      </c>
      <c r="S252" s="108">
        <f t="shared" si="96"/>
        <v>0</v>
      </c>
      <c r="T252" s="28">
        <f t="shared" si="94"/>
        <v>0</v>
      </c>
      <c r="U252" s="28">
        <f t="shared" si="83"/>
        <v>0</v>
      </c>
      <c r="V252" s="36" t="e">
        <f t="shared" si="89"/>
        <v>#DIV/0!</v>
      </c>
      <c r="W252" s="36" t="e">
        <f t="shared" si="90"/>
        <v>#DIV/0!</v>
      </c>
      <c r="X252" s="56" t="e">
        <f t="shared" si="84"/>
        <v>#DIV/0!</v>
      </c>
    </row>
    <row r="253" spans="1:24">
      <c r="A253" s="26"/>
      <c r="B253" s="27"/>
      <c r="C253" s="27"/>
      <c r="D253" s="27"/>
      <c r="E253" s="27"/>
      <c r="F253" s="27"/>
      <c r="G253" s="27"/>
      <c r="H253" s="27"/>
      <c r="I253" s="27"/>
      <c r="J253" s="27"/>
      <c r="K253" s="24" t="str">
        <f t="shared" si="85"/>
        <v/>
      </c>
      <c r="L253" s="24" t="str">
        <f t="shared" si="91"/>
        <v/>
      </c>
      <c r="M253" s="24" t="str">
        <f t="shared" si="86"/>
        <v/>
      </c>
      <c r="N253" s="24" t="str">
        <f t="shared" si="92"/>
        <v/>
      </c>
      <c r="O253" s="24" t="str">
        <f t="shared" si="87"/>
        <v/>
      </c>
      <c r="P253" s="24" t="str">
        <f t="shared" si="95"/>
        <v/>
      </c>
      <c r="Q253" s="24" t="str">
        <f t="shared" si="88"/>
        <v/>
      </c>
      <c r="R253" s="24" t="str">
        <f t="shared" si="93"/>
        <v/>
      </c>
      <c r="S253" s="108">
        <f t="shared" si="96"/>
        <v>0</v>
      </c>
      <c r="T253" s="28">
        <f t="shared" si="94"/>
        <v>0</v>
      </c>
      <c r="U253" s="28">
        <f t="shared" si="83"/>
        <v>0</v>
      </c>
      <c r="V253" s="36" t="e">
        <f t="shared" si="89"/>
        <v>#DIV/0!</v>
      </c>
      <c r="W253" s="36" t="e">
        <f t="shared" si="90"/>
        <v>#DIV/0!</v>
      </c>
      <c r="X253" s="56" t="e">
        <f t="shared" si="84"/>
        <v>#DIV/0!</v>
      </c>
    </row>
    <row r="254" spans="1:24">
      <c r="A254" s="26"/>
      <c r="B254" s="27"/>
      <c r="C254" s="27"/>
      <c r="D254" s="27"/>
      <c r="E254" s="27"/>
      <c r="F254" s="27"/>
      <c r="G254" s="27"/>
      <c r="H254" s="27"/>
      <c r="I254" s="27"/>
      <c r="J254" s="27"/>
      <c r="K254" s="24" t="str">
        <f t="shared" si="85"/>
        <v/>
      </c>
      <c r="L254" s="24" t="str">
        <f t="shared" si="91"/>
        <v/>
      </c>
      <c r="M254" s="24" t="str">
        <f t="shared" si="86"/>
        <v/>
      </c>
      <c r="N254" s="24" t="str">
        <f t="shared" si="92"/>
        <v/>
      </c>
      <c r="O254" s="24" t="str">
        <f t="shared" si="87"/>
        <v/>
      </c>
      <c r="P254" s="24" t="str">
        <f t="shared" si="95"/>
        <v/>
      </c>
      <c r="Q254" s="24" t="str">
        <f t="shared" si="88"/>
        <v/>
      </c>
      <c r="R254" s="24" t="str">
        <f t="shared" si="93"/>
        <v/>
      </c>
      <c r="S254" s="108">
        <f t="shared" si="96"/>
        <v>0</v>
      </c>
      <c r="T254" s="28">
        <f t="shared" si="94"/>
        <v>0</v>
      </c>
      <c r="U254" s="28">
        <f t="shared" si="83"/>
        <v>0</v>
      </c>
      <c r="V254" s="36" t="e">
        <f t="shared" si="89"/>
        <v>#DIV/0!</v>
      </c>
      <c r="W254" s="36" t="e">
        <f t="shared" si="90"/>
        <v>#DIV/0!</v>
      </c>
      <c r="X254" s="56" t="e">
        <f t="shared" si="84"/>
        <v>#DIV/0!</v>
      </c>
    </row>
    <row r="255" spans="1:24">
      <c r="A255" s="26"/>
      <c r="B255" s="27"/>
      <c r="C255" s="27"/>
      <c r="D255" s="27"/>
      <c r="E255" s="27"/>
      <c r="F255" s="27"/>
      <c r="G255" s="27"/>
      <c r="H255" s="27"/>
      <c r="I255" s="27"/>
      <c r="J255" s="27"/>
      <c r="K255" s="24" t="str">
        <f t="shared" si="85"/>
        <v/>
      </c>
      <c r="L255" s="24" t="str">
        <f t="shared" si="91"/>
        <v/>
      </c>
      <c r="M255" s="24" t="str">
        <f t="shared" si="86"/>
        <v/>
      </c>
      <c r="N255" s="24" t="str">
        <f t="shared" si="92"/>
        <v/>
      </c>
      <c r="O255" s="24" t="str">
        <f t="shared" si="87"/>
        <v/>
      </c>
      <c r="P255" s="24" t="str">
        <f t="shared" si="95"/>
        <v/>
      </c>
      <c r="Q255" s="24" t="str">
        <f t="shared" si="88"/>
        <v/>
      </c>
      <c r="R255" s="24" t="str">
        <f t="shared" si="93"/>
        <v/>
      </c>
      <c r="S255" s="108">
        <f t="shared" si="96"/>
        <v>0</v>
      </c>
      <c r="T255" s="28">
        <f t="shared" si="94"/>
        <v>0</v>
      </c>
      <c r="U255" s="28">
        <f t="shared" si="83"/>
        <v>0</v>
      </c>
      <c r="V255" s="36" t="e">
        <f t="shared" si="89"/>
        <v>#DIV/0!</v>
      </c>
      <c r="W255" s="36" t="e">
        <f t="shared" si="90"/>
        <v>#DIV/0!</v>
      </c>
      <c r="X255" s="56" t="e">
        <f t="shared" si="84"/>
        <v>#DIV/0!</v>
      </c>
    </row>
    <row r="256" spans="1:24">
      <c r="A256" s="26"/>
      <c r="B256" s="27"/>
      <c r="C256" s="27"/>
      <c r="D256" s="27"/>
      <c r="E256" s="27"/>
      <c r="F256" s="27"/>
      <c r="G256" s="27"/>
      <c r="H256" s="27"/>
      <c r="I256" s="27"/>
      <c r="J256" s="27"/>
      <c r="K256" s="24" t="str">
        <f t="shared" si="85"/>
        <v/>
      </c>
      <c r="L256" s="24" t="str">
        <f t="shared" si="91"/>
        <v/>
      </c>
      <c r="M256" s="24" t="str">
        <f t="shared" si="86"/>
        <v/>
      </c>
      <c r="N256" s="24" t="str">
        <f t="shared" si="92"/>
        <v/>
      </c>
      <c r="O256" s="24" t="str">
        <f t="shared" si="87"/>
        <v/>
      </c>
      <c r="P256" s="24" t="str">
        <f t="shared" si="95"/>
        <v/>
      </c>
      <c r="Q256" s="24" t="str">
        <f t="shared" si="88"/>
        <v/>
      </c>
      <c r="R256" s="24" t="str">
        <f t="shared" si="93"/>
        <v/>
      </c>
      <c r="S256" s="108">
        <f t="shared" si="96"/>
        <v>0</v>
      </c>
      <c r="T256" s="28">
        <f t="shared" si="94"/>
        <v>0</v>
      </c>
      <c r="U256" s="28">
        <f t="shared" si="83"/>
        <v>0</v>
      </c>
      <c r="V256" s="36" t="e">
        <f t="shared" si="89"/>
        <v>#DIV/0!</v>
      </c>
      <c r="W256" s="36" t="e">
        <f t="shared" si="90"/>
        <v>#DIV/0!</v>
      </c>
      <c r="X256" s="56" t="e">
        <f t="shared" si="84"/>
        <v>#DIV/0!</v>
      </c>
    </row>
    <row r="257" spans="1:24">
      <c r="A257" s="26"/>
      <c r="B257" s="27"/>
      <c r="C257" s="27"/>
      <c r="D257" s="27"/>
      <c r="E257" s="27"/>
      <c r="F257" s="27"/>
      <c r="G257" s="27"/>
      <c r="H257" s="27"/>
      <c r="I257" s="27"/>
      <c r="J257" s="27"/>
      <c r="K257" s="24" t="str">
        <f t="shared" si="85"/>
        <v/>
      </c>
      <c r="L257" s="24" t="str">
        <f t="shared" si="91"/>
        <v/>
      </c>
      <c r="M257" s="24" t="str">
        <f t="shared" si="86"/>
        <v/>
      </c>
      <c r="N257" s="24" t="str">
        <f t="shared" si="92"/>
        <v/>
      </c>
      <c r="O257" s="24" t="str">
        <f t="shared" si="87"/>
        <v/>
      </c>
      <c r="P257" s="24" t="str">
        <f t="shared" si="95"/>
        <v/>
      </c>
      <c r="Q257" s="24" t="str">
        <f t="shared" si="88"/>
        <v/>
      </c>
      <c r="R257" s="24" t="str">
        <f t="shared" si="93"/>
        <v/>
      </c>
      <c r="S257" s="108">
        <f t="shared" si="96"/>
        <v>0</v>
      </c>
      <c r="T257" s="28">
        <f t="shared" si="94"/>
        <v>0</v>
      </c>
      <c r="U257" s="28">
        <f t="shared" si="83"/>
        <v>0</v>
      </c>
      <c r="V257" s="36" t="e">
        <f t="shared" si="89"/>
        <v>#DIV/0!</v>
      </c>
      <c r="W257" s="36" t="e">
        <f t="shared" si="90"/>
        <v>#DIV/0!</v>
      </c>
      <c r="X257" s="56" t="e">
        <f t="shared" si="84"/>
        <v>#DIV/0!</v>
      </c>
    </row>
    <row r="258" spans="1:24">
      <c r="A258" s="26"/>
      <c r="B258" s="27"/>
      <c r="C258" s="27"/>
      <c r="D258" s="27"/>
      <c r="E258" s="27"/>
      <c r="F258" s="27"/>
      <c r="G258" s="27"/>
      <c r="H258" s="27"/>
      <c r="I258" s="27"/>
      <c r="J258" s="27"/>
      <c r="K258" s="24" t="str">
        <f t="shared" si="85"/>
        <v/>
      </c>
      <c r="L258" s="24" t="str">
        <f t="shared" si="91"/>
        <v/>
      </c>
      <c r="M258" s="24" t="str">
        <f t="shared" si="86"/>
        <v/>
      </c>
      <c r="N258" s="24" t="str">
        <f t="shared" si="92"/>
        <v/>
      </c>
      <c r="O258" s="24" t="str">
        <f t="shared" si="87"/>
        <v/>
      </c>
      <c r="P258" s="24" t="str">
        <f t="shared" si="95"/>
        <v/>
      </c>
      <c r="Q258" s="24" t="str">
        <f t="shared" si="88"/>
        <v/>
      </c>
      <c r="R258" s="24" t="str">
        <f t="shared" si="93"/>
        <v/>
      </c>
      <c r="S258" s="108">
        <f t="shared" si="96"/>
        <v>0</v>
      </c>
      <c r="T258" s="28">
        <f t="shared" si="94"/>
        <v>0</v>
      </c>
      <c r="U258" s="28">
        <f t="shared" si="83"/>
        <v>0</v>
      </c>
      <c r="V258" s="36" t="e">
        <f t="shared" si="89"/>
        <v>#DIV/0!</v>
      </c>
      <c r="W258" s="36" t="e">
        <f t="shared" si="90"/>
        <v>#DIV/0!</v>
      </c>
      <c r="X258" s="56" t="e">
        <f t="shared" si="84"/>
        <v>#DIV/0!</v>
      </c>
    </row>
    <row r="259" spans="1:24">
      <c r="A259" s="26"/>
      <c r="B259" s="27"/>
      <c r="C259" s="27"/>
      <c r="D259" s="27"/>
      <c r="E259" s="27"/>
      <c r="F259" s="27"/>
      <c r="G259" s="27"/>
      <c r="H259" s="27"/>
      <c r="I259" s="27"/>
      <c r="J259" s="27"/>
      <c r="K259" s="24" t="str">
        <f t="shared" si="85"/>
        <v/>
      </c>
      <c r="L259" s="24" t="str">
        <f t="shared" si="91"/>
        <v/>
      </c>
      <c r="M259" s="24" t="str">
        <f t="shared" si="86"/>
        <v/>
      </c>
      <c r="N259" s="24" t="str">
        <f t="shared" si="92"/>
        <v/>
      </c>
      <c r="O259" s="24" t="str">
        <f t="shared" si="87"/>
        <v/>
      </c>
      <c r="P259" s="24" t="str">
        <f t="shared" si="95"/>
        <v/>
      </c>
      <c r="Q259" s="24" t="str">
        <f t="shared" si="88"/>
        <v/>
      </c>
      <c r="R259" s="24" t="str">
        <f t="shared" si="93"/>
        <v/>
      </c>
      <c r="S259" s="108">
        <f t="shared" si="96"/>
        <v>0</v>
      </c>
      <c r="T259" s="28">
        <f t="shared" si="94"/>
        <v>0</v>
      </c>
      <c r="U259" s="28">
        <f t="shared" si="83"/>
        <v>0</v>
      </c>
      <c r="V259" s="36" t="e">
        <f t="shared" si="89"/>
        <v>#DIV/0!</v>
      </c>
      <c r="W259" s="36" t="e">
        <f t="shared" si="90"/>
        <v>#DIV/0!</v>
      </c>
      <c r="X259" s="56" t="e">
        <f t="shared" si="84"/>
        <v>#DIV/0!</v>
      </c>
    </row>
    <row r="260" spans="1:24">
      <c r="A260" s="26"/>
      <c r="B260" s="27"/>
      <c r="C260" s="27"/>
      <c r="D260" s="27"/>
      <c r="E260" s="27"/>
      <c r="F260" s="27"/>
      <c r="G260" s="27"/>
      <c r="H260" s="27"/>
      <c r="I260" s="27"/>
      <c r="J260" s="27"/>
      <c r="K260" s="24" t="str">
        <f t="shared" si="85"/>
        <v/>
      </c>
      <c r="L260" s="24" t="str">
        <f t="shared" si="91"/>
        <v/>
      </c>
      <c r="M260" s="24" t="str">
        <f t="shared" si="86"/>
        <v/>
      </c>
      <c r="N260" s="24" t="str">
        <f t="shared" si="92"/>
        <v/>
      </c>
      <c r="O260" s="24" t="str">
        <f t="shared" si="87"/>
        <v/>
      </c>
      <c r="P260" s="24" t="str">
        <f t="shared" si="95"/>
        <v/>
      </c>
      <c r="Q260" s="24" t="str">
        <f t="shared" si="88"/>
        <v/>
      </c>
      <c r="R260" s="24" t="str">
        <f t="shared" si="93"/>
        <v/>
      </c>
      <c r="S260" s="108">
        <f t="shared" si="96"/>
        <v>0</v>
      </c>
      <c r="T260" s="28">
        <f t="shared" si="94"/>
        <v>0</v>
      </c>
      <c r="U260" s="28">
        <f t="shared" si="83"/>
        <v>0</v>
      </c>
      <c r="V260" s="36" t="e">
        <f t="shared" si="89"/>
        <v>#DIV/0!</v>
      </c>
      <c r="W260" s="36" t="e">
        <f t="shared" si="90"/>
        <v>#DIV/0!</v>
      </c>
      <c r="X260" s="56" t="e">
        <f t="shared" si="84"/>
        <v>#DIV/0!</v>
      </c>
    </row>
    <row r="261" spans="1:24">
      <c r="A261" s="26"/>
      <c r="B261" s="27"/>
      <c r="C261" s="27"/>
      <c r="D261" s="27"/>
      <c r="E261" s="27"/>
      <c r="F261" s="27"/>
      <c r="G261" s="27"/>
      <c r="H261" s="27"/>
      <c r="I261" s="27"/>
      <c r="J261" s="27"/>
      <c r="K261" s="24" t="str">
        <f t="shared" si="85"/>
        <v/>
      </c>
      <c r="L261" s="24" t="str">
        <f t="shared" si="91"/>
        <v/>
      </c>
      <c r="M261" s="24" t="str">
        <f t="shared" si="86"/>
        <v/>
      </c>
      <c r="N261" s="24" t="str">
        <f t="shared" si="92"/>
        <v/>
      </c>
      <c r="O261" s="24" t="str">
        <f t="shared" si="87"/>
        <v/>
      </c>
      <c r="P261" s="24" t="str">
        <f t="shared" si="95"/>
        <v/>
      </c>
      <c r="Q261" s="24" t="str">
        <f t="shared" si="88"/>
        <v/>
      </c>
      <c r="R261" s="24" t="str">
        <f t="shared" si="93"/>
        <v/>
      </c>
      <c r="S261" s="108">
        <f t="shared" si="96"/>
        <v>0</v>
      </c>
      <c r="T261" s="28">
        <f t="shared" si="94"/>
        <v>0</v>
      </c>
      <c r="U261" s="28">
        <f t="shared" si="83"/>
        <v>0</v>
      </c>
      <c r="V261" s="36" t="e">
        <f t="shared" si="89"/>
        <v>#DIV/0!</v>
      </c>
      <c r="W261" s="36" t="e">
        <f t="shared" si="90"/>
        <v>#DIV/0!</v>
      </c>
      <c r="X261" s="56" t="e">
        <f t="shared" si="84"/>
        <v>#DIV/0!</v>
      </c>
    </row>
    <row r="262" spans="1:24">
      <c r="A262" s="26"/>
      <c r="B262" s="27"/>
      <c r="C262" s="27"/>
      <c r="D262" s="27"/>
      <c r="E262" s="27"/>
      <c r="F262" s="27"/>
      <c r="G262" s="27"/>
      <c r="H262" s="27"/>
      <c r="I262" s="27"/>
      <c r="J262" s="27"/>
      <c r="K262" s="24" t="str">
        <f t="shared" si="85"/>
        <v/>
      </c>
      <c r="L262" s="24" t="str">
        <f t="shared" si="91"/>
        <v/>
      </c>
      <c r="M262" s="24" t="str">
        <f t="shared" si="86"/>
        <v/>
      </c>
      <c r="N262" s="24" t="str">
        <f t="shared" si="92"/>
        <v/>
      </c>
      <c r="O262" s="24" t="str">
        <f t="shared" si="87"/>
        <v/>
      </c>
      <c r="P262" s="24" t="str">
        <f t="shared" si="95"/>
        <v/>
      </c>
      <c r="Q262" s="24" t="str">
        <f t="shared" si="88"/>
        <v/>
      </c>
      <c r="R262" s="24" t="str">
        <f t="shared" si="93"/>
        <v/>
      </c>
      <c r="S262" s="108">
        <f t="shared" si="96"/>
        <v>0</v>
      </c>
      <c r="T262" s="28">
        <f t="shared" si="94"/>
        <v>0</v>
      </c>
      <c r="U262" s="28">
        <f t="shared" si="83"/>
        <v>0</v>
      </c>
      <c r="V262" s="36" t="e">
        <f t="shared" si="89"/>
        <v>#DIV/0!</v>
      </c>
      <c r="W262" s="36" t="e">
        <f t="shared" si="90"/>
        <v>#DIV/0!</v>
      </c>
      <c r="X262" s="56" t="e">
        <f t="shared" si="84"/>
        <v>#DIV/0!</v>
      </c>
    </row>
    <row r="263" spans="1:24">
      <c r="A263" s="26"/>
      <c r="B263" s="27"/>
      <c r="C263" s="27"/>
      <c r="D263" s="27"/>
      <c r="E263" s="27"/>
      <c r="F263" s="27"/>
      <c r="G263" s="27"/>
      <c r="H263" s="27"/>
      <c r="I263" s="27"/>
      <c r="J263" s="27"/>
      <c r="K263" s="24" t="str">
        <f t="shared" si="85"/>
        <v/>
      </c>
      <c r="L263" s="24" t="str">
        <f t="shared" si="91"/>
        <v/>
      </c>
      <c r="M263" s="24" t="str">
        <f t="shared" si="86"/>
        <v/>
      </c>
      <c r="N263" s="24" t="str">
        <f t="shared" si="92"/>
        <v/>
      </c>
      <c r="O263" s="24" t="str">
        <f t="shared" si="87"/>
        <v/>
      </c>
      <c r="P263" s="24" t="str">
        <f t="shared" si="95"/>
        <v/>
      </c>
      <c r="Q263" s="24" t="str">
        <f t="shared" si="88"/>
        <v/>
      </c>
      <c r="R263" s="24" t="str">
        <f t="shared" si="93"/>
        <v/>
      </c>
      <c r="S263" s="108">
        <f t="shared" si="96"/>
        <v>0</v>
      </c>
      <c r="T263" s="28">
        <f t="shared" si="94"/>
        <v>0</v>
      </c>
      <c r="U263" s="28">
        <f t="shared" si="83"/>
        <v>0</v>
      </c>
      <c r="V263" s="36" t="e">
        <f t="shared" si="89"/>
        <v>#DIV/0!</v>
      </c>
      <c r="W263" s="36" t="e">
        <f t="shared" si="90"/>
        <v>#DIV/0!</v>
      </c>
      <c r="X263" s="56" t="e">
        <f t="shared" si="84"/>
        <v>#DIV/0!</v>
      </c>
    </row>
    <row r="264" spans="1:24">
      <c r="A264" s="26"/>
      <c r="B264" s="27"/>
      <c r="C264" s="27"/>
      <c r="D264" s="27"/>
      <c r="E264" s="27"/>
      <c r="F264" s="27"/>
      <c r="G264" s="27"/>
      <c r="H264" s="27"/>
      <c r="I264" s="27"/>
      <c r="J264" s="27"/>
      <c r="K264" s="24" t="str">
        <f t="shared" si="85"/>
        <v/>
      </c>
      <c r="L264" s="24" t="str">
        <f t="shared" si="91"/>
        <v/>
      </c>
      <c r="M264" s="24" t="str">
        <f t="shared" si="86"/>
        <v/>
      </c>
      <c r="N264" s="24" t="str">
        <f t="shared" si="92"/>
        <v/>
      </c>
      <c r="O264" s="24" t="str">
        <f t="shared" si="87"/>
        <v/>
      </c>
      <c r="P264" s="24" t="str">
        <f t="shared" si="95"/>
        <v/>
      </c>
      <c r="Q264" s="24" t="str">
        <f t="shared" si="88"/>
        <v/>
      </c>
      <c r="R264" s="24" t="str">
        <f t="shared" si="93"/>
        <v/>
      </c>
      <c r="S264" s="108">
        <f t="shared" si="96"/>
        <v>0</v>
      </c>
      <c r="T264" s="28">
        <f t="shared" si="94"/>
        <v>0</v>
      </c>
      <c r="U264" s="28">
        <f t="shared" si="83"/>
        <v>0</v>
      </c>
      <c r="V264" s="36" t="e">
        <f t="shared" si="89"/>
        <v>#DIV/0!</v>
      </c>
      <c r="W264" s="36" t="e">
        <f t="shared" si="90"/>
        <v>#DIV/0!</v>
      </c>
      <c r="X264" s="56" t="e">
        <f t="shared" si="84"/>
        <v>#DIV/0!</v>
      </c>
    </row>
    <row r="265" spans="1:24">
      <c r="A265" s="26"/>
      <c r="B265" s="27"/>
      <c r="C265" s="27"/>
      <c r="D265" s="27"/>
      <c r="E265" s="27"/>
      <c r="F265" s="27"/>
      <c r="G265" s="27"/>
      <c r="H265" s="27"/>
      <c r="I265" s="27"/>
      <c r="J265" s="27"/>
      <c r="K265" s="24" t="str">
        <f t="shared" si="85"/>
        <v/>
      </c>
      <c r="L265" s="24" t="str">
        <f t="shared" si="91"/>
        <v/>
      </c>
      <c r="M265" s="24" t="str">
        <f t="shared" si="86"/>
        <v/>
      </c>
      <c r="N265" s="24" t="str">
        <f t="shared" si="92"/>
        <v/>
      </c>
      <c r="O265" s="24" t="str">
        <f t="shared" si="87"/>
        <v/>
      </c>
      <c r="P265" s="24" t="str">
        <f t="shared" si="95"/>
        <v/>
      </c>
      <c r="Q265" s="24" t="str">
        <f t="shared" si="88"/>
        <v/>
      </c>
      <c r="R265" s="24" t="str">
        <f t="shared" si="93"/>
        <v/>
      </c>
      <c r="S265" s="108">
        <f t="shared" si="96"/>
        <v>0</v>
      </c>
      <c r="T265" s="28">
        <f t="shared" si="94"/>
        <v>0</v>
      </c>
      <c r="U265" s="28">
        <f t="shared" si="83"/>
        <v>0</v>
      </c>
      <c r="V265" s="36" t="e">
        <f t="shared" si="89"/>
        <v>#DIV/0!</v>
      </c>
      <c r="W265" s="36" t="e">
        <f t="shared" si="90"/>
        <v>#DIV/0!</v>
      </c>
      <c r="X265" s="56" t="e">
        <f t="shared" si="84"/>
        <v>#DIV/0!</v>
      </c>
    </row>
    <row r="266" spans="1:24">
      <c r="A266" s="26"/>
      <c r="B266" s="27"/>
      <c r="C266" s="27"/>
      <c r="D266" s="27"/>
      <c r="E266" s="27"/>
      <c r="F266" s="27"/>
      <c r="G266" s="27"/>
      <c r="H266" s="27"/>
      <c r="I266" s="27"/>
      <c r="J266" s="27"/>
      <c r="K266" s="24" t="str">
        <f t="shared" si="85"/>
        <v/>
      </c>
      <c r="L266" s="24" t="str">
        <f t="shared" si="91"/>
        <v/>
      </c>
      <c r="M266" s="24" t="str">
        <f t="shared" si="86"/>
        <v/>
      </c>
      <c r="N266" s="24" t="str">
        <f t="shared" si="92"/>
        <v/>
      </c>
      <c r="O266" s="24" t="str">
        <f t="shared" si="87"/>
        <v/>
      </c>
      <c r="P266" s="24" t="str">
        <f t="shared" si="95"/>
        <v/>
      </c>
      <c r="Q266" s="24" t="str">
        <f t="shared" si="88"/>
        <v/>
      </c>
      <c r="R266" s="24" t="str">
        <f t="shared" si="93"/>
        <v/>
      </c>
      <c r="S266" s="108">
        <f t="shared" si="96"/>
        <v>0</v>
      </c>
      <c r="T266" s="28">
        <f t="shared" si="94"/>
        <v>0</v>
      </c>
      <c r="U266" s="28">
        <f t="shared" si="83"/>
        <v>0</v>
      </c>
      <c r="V266" s="36" t="e">
        <f t="shared" si="89"/>
        <v>#DIV/0!</v>
      </c>
      <c r="W266" s="36" t="e">
        <f t="shared" si="90"/>
        <v>#DIV/0!</v>
      </c>
      <c r="X266" s="56" t="e">
        <f t="shared" si="84"/>
        <v>#DIV/0!</v>
      </c>
    </row>
    <row r="267" spans="1:24">
      <c r="A267" s="26"/>
      <c r="B267" s="27"/>
      <c r="C267" s="27"/>
      <c r="D267" s="27"/>
      <c r="E267" s="27"/>
      <c r="F267" s="27"/>
      <c r="G267" s="27"/>
      <c r="H267" s="27"/>
      <c r="I267" s="27"/>
      <c r="J267" s="27"/>
      <c r="K267" s="24" t="str">
        <f t="shared" si="85"/>
        <v/>
      </c>
      <c r="L267" s="24" t="str">
        <f t="shared" si="91"/>
        <v/>
      </c>
      <c r="M267" s="24" t="str">
        <f t="shared" si="86"/>
        <v/>
      </c>
      <c r="N267" s="24" t="str">
        <f t="shared" si="92"/>
        <v/>
      </c>
      <c r="O267" s="24" t="str">
        <f t="shared" si="87"/>
        <v/>
      </c>
      <c r="P267" s="24" t="str">
        <f t="shared" si="95"/>
        <v/>
      </c>
      <c r="Q267" s="24" t="str">
        <f t="shared" si="88"/>
        <v/>
      </c>
      <c r="R267" s="24" t="str">
        <f t="shared" si="93"/>
        <v/>
      </c>
      <c r="S267" s="108">
        <f t="shared" si="96"/>
        <v>0</v>
      </c>
      <c r="T267" s="28">
        <f t="shared" si="94"/>
        <v>0</v>
      </c>
      <c r="U267" s="28">
        <f t="shared" si="83"/>
        <v>0</v>
      </c>
      <c r="V267" s="36" t="e">
        <f t="shared" si="89"/>
        <v>#DIV/0!</v>
      </c>
      <c r="W267" s="36" t="e">
        <f t="shared" si="90"/>
        <v>#DIV/0!</v>
      </c>
      <c r="X267" s="56" t="e">
        <f t="shared" si="84"/>
        <v>#DIV/0!</v>
      </c>
    </row>
    <row r="268" spans="1:24">
      <c r="A268" s="26"/>
      <c r="B268" s="27"/>
      <c r="C268" s="27"/>
      <c r="D268" s="27"/>
      <c r="E268" s="27"/>
      <c r="F268" s="27"/>
      <c r="G268" s="27"/>
      <c r="H268" s="27"/>
      <c r="I268" s="27"/>
      <c r="J268" s="27"/>
      <c r="K268" s="24" t="str">
        <f t="shared" si="85"/>
        <v/>
      </c>
      <c r="L268" s="24" t="str">
        <f t="shared" si="91"/>
        <v/>
      </c>
      <c r="M268" s="24" t="str">
        <f t="shared" si="86"/>
        <v/>
      </c>
      <c r="N268" s="24" t="str">
        <f t="shared" si="92"/>
        <v/>
      </c>
      <c r="O268" s="24" t="str">
        <f t="shared" si="87"/>
        <v/>
      </c>
      <c r="P268" s="24" t="str">
        <f t="shared" si="95"/>
        <v/>
      </c>
      <c r="Q268" s="24" t="str">
        <f t="shared" si="88"/>
        <v/>
      </c>
      <c r="R268" s="24" t="str">
        <f t="shared" si="93"/>
        <v/>
      </c>
      <c r="S268" s="108">
        <f t="shared" si="96"/>
        <v>0</v>
      </c>
      <c r="T268" s="28">
        <f t="shared" si="94"/>
        <v>0</v>
      </c>
      <c r="U268" s="28">
        <f t="shared" si="83"/>
        <v>0</v>
      </c>
      <c r="V268" s="36" t="e">
        <f t="shared" si="89"/>
        <v>#DIV/0!</v>
      </c>
      <c r="W268" s="36" t="e">
        <f t="shared" si="90"/>
        <v>#DIV/0!</v>
      </c>
      <c r="X268" s="56" t="e">
        <f t="shared" si="84"/>
        <v>#DIV/0!</v>
      </c>
    </row>
    <row r="269" spans="1:24">
      <c r="A269" s="26"/>
      <c r="B269" s="27"/>
      <c r="C269" s="27"/>
      <c r="D269" s="27"/>
      <c r="E269" s="27"/>
      <c r="F269" s="27"/>
      <c r="G269" s="27"/>
      <c r="H269" s="27"/>
      <c r="I269" s="27"/>
      <c r="J269" s="27"/>
      <c r="K269" s="24" t="str">
        <f t="shared" si="85"/>
        <v/>
      </c>
      <c r="L269" s="24" t="str">
        <f t="shared" si="91"/>
        <v/>
      </c>
      <c r="M269" s="24" t="str">
        <f t="shared" si="86"/>
        <v/>
      </c>
      <c r="N269" s="24" t="str">
        <f t="shared" si="92"/>
        <v/>
      </c>
      <c r="O269" s="24" t="str">
        <f t="shared" si="87"/>
        <v/>
      </c>
      <c r="P269" s="24" t="str">
        <f t="shared" si="95"/>
        <v/>
      </c>
      <c r="Q269" s="24" t="str">
        <f t="shared" si="88"/>
        <v/>
      </c>
      <c r="R269" s="24" t="str">
        <f t="shared" si="93"/>
        <v/>
      </c>
      <c r="S269" s="108">
        <f t="shared" si="96"/>
        <v>0</v>
      </c>
      <c r="T269" s="28">
        <f t="shared" si="94"/>
        <v>0</v>
      </c>
      <c r="U269" s="28">
        <f t="shared" si="83"/>
        <v>0</v>
      </c>
      <c r="V269" s="36" t="e">
        <f t="shared" si="89"/>
        <v>#DIV/0!</v>
      </c>
      <c r="W269" s="36" t="e">
        <f t="shared" si="90"/>
        <v>#DIV/0!</v>
      </c>
      <c r="X269" s="56" t="e">
        <f t="shared" si="84"/>
        <v>#DIV/0!</v>
      </c>
    </row>
    <row r="270" spans="1:24">
      <c r="A270" s="26"/>
      <c r="B270" s="27"/>
      <c r="C270" s="27"/>
      <c r="D270" s="27"/>
      <c r="E270" s="27"/>
      <c r="F270" s="27"/>
      <c r="G270" s="27"/>
      <c r="H270" s="27"/>
      <c r="I270" s="27"/>
      <c r="J270" s="27"/>
      <c r="K270" s="24" t="str">
        <f t="shared" si="85"/>
        <v/>
      </c>
      <c r="L270" s="24" t="str">
        <f t="shared" si="91"/>
        <v/>
      </c>
      <c r="M270" s="24" t="str">
        <f t="shared" si="86"/>
        <v/>
      </c>
      <c r="N270" s="24" t="str">
        <f t="shared" si="92"/>
        <v/>
      </c>
      <c r="O270" s="24" t="str">
        <f t="shared" si="87"/>
        <v/>
      </c>
      <c r="P270" s="24" t="str">
        <f t="shared" si="95"/>
        <v/>
      </c>
      <c r="Q270" s="24" t="str">
        <f t="shared" si="88"/>
        <v/>
      </c>
      <c r="R270" s="24" t="str">
        <f t="shared" si="93"/>
        <v/>
      </c>
      <c r="S270" s="108">
        <f t="shared" si="96"/>
        <v>0</v>
      </c>
      <c r="T270" s="28">
        <f t="shared" si="94"/>
        <v>0</v>
      </c>
      <c r="U270" s="28">
        <f t="shared" si="83"/>
        <v>0</v>
      </c>
      <c r="V270" s="36" t="e">
        <f t="shared" si="89"/>
        <v>#DIV/0!</v>
      </c>
      <c r="W270" s="36" t="e">
        <f t="shared" si="90"/>
        <v>#DIV/0!</v>
      </c>
      <c r="X270" s="56" t="e">
        <f t="shared" si="84"/>
        <v>#DIV/0!</v>
      </c>
    </row>
    <row r="271" spans="1:24">
      <c r="A271" s="26"/>
      <c r="B271" s="27"/>
      <c r="C271" s="27"/>
      <c r="D271" s="27"/>
      <c r="E271" s="27"/>
      <c r="F271" s="27"/>
      <c r="G271" s="27"/>
      <c r="H271" s="27"/>
      <c r="I271" s="27"/>
      <c r="J271" s="27"/>
      <c r="K271" s="24" t="str">
        <f t="shared" si="85"/>
        <v/>
      </c>
      <c r="L271" s="24" t="str">
        <f t="shared" si="91"/>
        <v/>
      </c>
      <c r="M271" s="24" t="str">
        <f t="shared" si="86"/>
        <v/>
      </c>
      <c r="N271" s="24" t="str">
        <f t="shared" si="92"/>
        <v/>
      </c>
      <c r="O271" s="24" t="str">
        <f t="shared" si="87"/>
        <v/>
      </c>
      <c r="P271" s="24" t="str">
        <f t="shared" si="95"/>
        <v/>
      </c>
      <c r="Q271" s="24" t="str">
        <f t="shared" si="88"/>
        <v/>
      </c>
      <c r="R271" s="24" t="str">
        <f t="shared" si="93"/>
        <v/>
      </c>
      <c r="S271" s="108">
        <f t="shared" si="96"/>
        <v>0</v>
      </c>
      <c r="T271" s="28">
        <f t="shared" si="94"/>
        <v>0</v>
      </c>
      <c r="U271" s="28">
        <f t="shared" si="83"/>
        <v>0</v>
      </c>
      <c r="V271" s="36" t="e">
        <f t="shared" si="89"/>
        <v>#DIV/0!</v>
      </c>
      <c r="W271" s="36" t="e">
        <f t="shared" si="90"/>
        <v>#DIV/0!</v>
      </c>
      <c r="X271" s="56" t="e">
        <f t="shared" si="84"/>
        <v>#DIV/0!</v>
      </c>
    </row>
    <row r="272" spans="1:24">
      <c r="A272" s="26"/>
      <c r="B272" s="27"/>
      <c r="C272" s="27"/>
      <c r="D272" s="27"/>
      <c r="E272" s="27"/>
      <c r="F272" s="27"/>
      <c r="G272" s="27"/>
      <c r="H272" s="27"/>
      <c r="I272" s="27"/>
      <c r="J272" s="27"/>
      <c r="K272" s="24" t="str">
        <f t="shared" si="85"/>
        <v/>
      </c>
      <c r="L272" s="24" t="str">
        <f t="shared" si="91"/>
        <v/>
      </c>
      <c r="M272" s="24" t="str">
        <f t="shared" si="86"/>
        <v/>
      </c>
      <c r="N272" s="24" t="str">
        <f t="shared" si="92"/>
        <v/>
      </c>
      <c r="O272" s="24" t="str">
        <f t="shared" si="87"/>
        <v/>
      </c>
      <c r="P272" s="24" t="str">
        <f t="shared" si="95"/>
        <v/>
      </c>
      <c r="Q272" s="24" t="str">
        <f t="shared" si="88"/>
        <v/>
      </c>
      <c r="R272" s="24" t="str">
        <f t="shared" si="93"/>
        <v/>
      </c>
      <c r="S272" s="108">
        <f t="shared" si="96"/>
        <v>0</v>
      </c>
      <c r="T272" s="28">
        <f t="shared" si="94"/>
        <v>0</v>
      </c>
      <c r="U272" s="28">
        <f t="shared" si="83"/>
        <v>0</v>
      </c>
      <c r="V272" s="36" t="e">
        <f t="shared" si="89"/>
        <v>#DIV/0!</v>
      </c>
      <c r="W272" s="36" t="e">
        <f t="shared" si="90"/>
        <v>#DIV/0!</v>
      </c>
      <c r="X272" s="56" t="e">
        <f t="shared" si="84"/>
        <v>#DIV/0!</v>
      </c>
    </row>
    <row r="273" spans="1:24">
      <c r="A273" s="26"/>
      <c r="B273" s="27"/>
      <c r="C273" s="27"/>
      <c r="D273" s="27"/>
      <c r="E273" s="27"/>
      <c r="F273" s="27"/>
      <c r="G273" s="27"/>
      <c r="H273" s="27"/>
      <c r="I273" s="27"/>
      <c r="J273" s="27"/>
      <c r="K273" s="24" t="str">
        <f t="shared" si="85"/>
        <v/>
      </c>
      <c r="L273" s="24" t="str">
        <f t="shared" si="91"/>
        <v/>
      </c>
      <c r="M273" s="24" t="str">
        <f t="shared" si="86"/>
        <v/>
      </c>
      <c r="N273" s="24" t="str">
        <f t="shared" si="92"/>
        <v/>
      </c>
      <c r="O273" s="24" t="str">
        <f t="shared" si="87"/>
        <v/>
      </c>
      <c r="P273" s="24" t="str">
        <f t="shared" si="95"/>
        <v/>
      </c>
      <c r="Q273" s="24" t="str">
        <f t="shared" si="88"/>
        <v/>
      </c>
      <c r="R273" s="24" t="str">
        <f t="shared" si="93"/>
        <v/>
      </c>
      <c r="S273" s="108">
        <f t="shared" si="96"/>
        <v>0</v>
      </c>
      <c r="T273" s="28">
        <f t="shared" si="94"/>
        <v>0</v>
      </c>
      <c r="U273" s="28">
        <f t="shared" si="83"/>
        <v>0</v>
      </c>
      <c r="V273" s="36" t="e">
        <f t="shared" si="89"/>
        <v>#DIV/0!</v>
      </c>
      <c r="W273" s="36" t="e">
        <f t="shared" si="90"/>
        <v>#DIV/0!</v>
      </c>
      <c r="X273" s="56" t="e">
        <f t="shared" si="84"/>
        <v>#DIV/0!</v>
      </c>
    </row>
    <row r="274" spans="1:24">
      <c r="A274" s="26"/>
      <c r="B274" s="27"/>
      <c r="C274" s="27"/>
      <c r="D274" s="27"/>
      <c r="E274" s="27"/>
      <c r="F274" s="27"/>
      <c r="G274" s="27"/>
      <c r="H274" s="27"/>
      <c r="I274" s="27"/>
      <c r="J274" s="27"/>
      <c r="K274" s="24" t="str">
        <f t="shared" si="85"/>
        <v/>
      </c>
      <c r="L274" s="24" t="str">
        <f t="shared" si="91"/>
        <v/>
      </c>
      <c r="M274" s="24" t="str">
        <f t="shared" si="86"/>
        <v/>
      </c>
      <c r="N274" s="24" t="str">
        <f t="shared" si="92"/>
        <v/>
      </c>
      <c r="O274" s="24" t="str">
        <f t="shared" si="87"/>
        <v/>
      </c>
      <c r="P274" s="24" t="str">
        <f t="shared" si="95"/>
        <v/>
      </c>
      <c r="Q274" s="24" t="str">
        <f t="shared" si="88"/>
        <v/>
      </c>
      <c r="R274" s="24" t="str">
        <f t="shared" si="93"/>
        <v/>
      </c>
      <c r="S274" s="108">
        <f t="shared" si="96"/>
        <v>0</v>
      </c>
      <c r="T274" s="28">
        <f t="shared" si="94"/>
        <v>0</v>
      </c>
      <c r="U274" s="28">
        <f t="shared" si="83"/>
        <v>0</v>
      </c>
      <c r="V274" s="36" t="e">
        <f t="shared" si="89"/>
        <v>#DIV/0!</v>
      </c>
      <c r="W274" s="36" t="e">
        <f t="shared" si="90"/>
        <v>#DIV/0!</v>
      </c>
      <c r="X274" s="56" t="e">
        <f t="shared" si="84"/>
        <v>#DIV/0!</v>
      </c>
    </row>
    <row r="275" spans="1:24">
      <c r="A275" s="26"/>
      <c r="B275" s="27"/>
      <c r="C275" s="27"/>
      <c r="D275" s="27"/>
      <c r="E275" s="27"/>
      <c r="F275" s="27"/>
      <c r="G275" s="27"/>
      <c r="H275" s="27"/>
      <c r="I275" s="27"/>
      <c r="J275" s="27"/>
      <c r="K275" s="24" t="str">
        <f t="shared" si="85"/>
        <v/>
      </c>
      <c r="L275" s="24" t="str">
        <f t="shared" si="91"/>
        <v/>
      </c>
      <c r="M275" s="24" t="str">
        <f t="shared" si="86"/>
        <v/>
      </c>
      <c r="N275" s="24" t="str">
        <f t="shared" si="92"/>
        <v/>
      </c>
      <c r="O275" s="24" t="str">
        <f t="shared" si="87"/>
        <v/>
      </c>
      <c r="P275" s="24" t="str">
        <f t="shared" si="95"/>
        <v/>
      </c>
      <c r="Q275" s="24" t="str">
        <f t="shared" si="88"/>
        <v/>
      </c>
      <c r="R275" s="24" t="str">
        <f t="shared" si="93"/>
        <v/>
      </c>
      <c r="S275" s="108">
        <f t="shared" si="96"/>
        <v>0</v>
      </c>
      <c r="T275" s="28">
        <f t="shared" si="94"/>
        <v>0</v>
      </c>
      <c r="U275" s="28">
        <f t="shared" si="83"/>
        <v>0</v>
      </c>
      <c r="V275" s="36" t="e">
        <f t="shared" si="89"/>
        <v>#DIV/0!</v>
      </c>
      <c r="W275" s="36" t="e">
        <f t="shared" si="90"/>
        <v>#DIV/0!</v>
      </c>
      <c r="X275" s="56" t="e">
        <f t="shared" si="84"/>
        <v>#DIV/0!</v>
      </c>
    </row>
    <row r="276" spans="1:24">
      <c r="A276" s="26"/>
      <c r="B276" s="27"/>
      <c r="C276" s="27"/>
      <c r="D276" s="27"/>
      <c r="E276" s="27"/>
      <c r="F276" s="27"/>
      <c r="G276" s="27"/>
      <c r="H276" s="27"/>
      <c r="I276" s="27"/>
      <c r="J276" s="27"/>
      <c r="K276" s="24" t="str">
        <f t="shared" si="85"/>
        <v/>
      </c>
      <c r="L276" s="24" t="str">
        <f t="shared" si="91"/>
        <v/>
      </c>
      <c r="M276" s="24" t="str">
        <f t="shared" si="86"/>
        <v/>
      </c>
      <c r="N276" s="24" t="str">
        <f t="shared" si="92"/>
        <v/>
      </c>
      <c r="O276" s="24" t="str">
        <f t="shared" si="87"/>
        <v/>
      </c>
      <c r="P276" s="24" t="str">
        <f t="shared" si="95"/>
        <v/>
      </c>
      <c r="Q276" s="24" t="str">
        <f t="shared" si="88"/>
        <v/>
      </c>
      <c r="R276" s="24" t="str">
        <f t="shared" si="93"/>
        <v/>
      </c>
      <c r="S276" s="108">
        <f t="shared" si="96"/>
        <v>0</v>
      </c>
      <c r="T276" s="28">
        <f t="shared" si="94"/>
        <v>0</v>
      </c>
      <c r="U276" s="28">
        <f t="shared" si="83"/>
        <v>0</v>
      </c>
      <c r="V276" s="36" t="e">
        <f t="shared" si="89"/>
        <v>#DIV/0!</v>
      </c>
      <c r="W276" s="36" t="e">
        <f t="shared" si="90"/>
        <v>#DIV/0!</v>
      </c>
      <c r="X276" s="56" t="e">
        <f t="shared" si="84"/>
        <v>#DIV/0!</v>
      </c>
    </row>
    <row r="277" spans="1:24">
      <c r="A277" s="26"/>
      <c r="B277" s="27"/>
      <c r="C277" s="27"/>
      <c r="D277" s="27"/>
      <c r="E277" s="27"/>
      <c r="F277" s="27"/>
      <c r="G277" s="27"/>
      <c r="H277" s="27"/>
      <c r="I277" s="27"/>
      <c r="J277" s="27"/>
      <c r="K277" s="24" t="str">
        <f t="shared" si="85"/>
        <v/>
      </c>
      <c r="L277" s="24" t="str">
        <f t="shared" si="91"/>
        <v/>
      </c>
      <c r="M277" s="24" t="str">
        <f t="shared" si="86"/>
        <v/>
      </c>
      <c r="N277" s="24" t="str">
        <f t="shared" si="92"/>
        <v/>
      </c>
      <c r="O277" s="24" t="str">
        <f t="shared" si="87"/>
        <v/>
      </c>
      <c r="P277" s="24" t="str">
        <f t="shared" si="95"/>
        <v/>
      </c>
      <c r="Q277" s="24" t="str">
        <f t="shared" si="88"/>
        <v/>
      </c>
      <c r="R277" s="24" t="str">
        <f t="shared" si="93"/>
        <v/>
      </c>
      <c r="S277" s="108">
        <f t="shared" si="96"/>
        <v>0</v>
      </c>
      <c r="T277" s="28">
        <f t="shared" si="94"/>
        <v>0</v>
      </c>
      <c r="U277" s="28">
        <f t="shared" si="83"/>
        <v>0</v>
      </c>
      <c r="V277" s="36" t="e">
        <f t="shared" si="89"/>
        <v>#DIV/0!</v>
      </c>
      <c r="W277" s="36" t="e">
        <f t="shared" si="90"/>
        <v>#DIV/0!</v>
      </c>
      <c r="X277" s="56" t="e">
        <f t="shared" si="84"/>
        <v>#DIV/0!</v>
      </c>
    </row>
    <row r="278" spans="1:24">
      <c r="A278" s="26"/>
      <c r="B278" s="27"/>
      <c r="C278" s="27"/>
      <c r="D278" s="27"/>
      <c r="E278" s="27"/>
      <c r="F278" s="27"/>
      <c r="G278" s="27"/>
      <c r="H278" s="27"/>
      <c r="I278" s="27"/>
      <c r="J278" s="27"/>
      <c r="K278" s="24" t="str">
        <f t="shared" si="85"/>
        <v/>
      </c>
      <c r="L278" s="24" t="str">
        <f t="shared" si="91"/>
        <v/>
      </c>
      <c r="M278" s="24" t="str">
        <f t="shared" si="86"/>
        <v/>
      </c>
      <c r="N278" s="24" t="str">
        <f t="shared" si="92"/>
        <v/>
      </c>
      <c r="O278" s="24" t="str">
        <f t="shared" si="87"/>
        <v/>
      </c>
      <c r="P278" s="24" t="str">
        <f t="shared" si="95"/>
        <v/>
      </c>
      <c r="Q278" s="24" t="str">
        <f t="shared" si="88"/>
        <v/>
      </c>
      <c r="R278" s="24" t="str">
        <f t="shared" si="93"/>
        <v/>
      </c>
      <c r="S278" s="108">
        <f t="shared" si="96"/>
        <v>0</v>
      </c>
      <c r="T278" s="28">
        <f t="shared" si="94"/>
        <v>0</v>
      </c>
      <c r="U278" s="28">
        <f t="shared" si="83"/>
        <v>0</v>
      </c>
      <c r="V278" s="36" t="e">
        <f t="shared" si="89"/>
        <v>#DIV/0!</v>
      </c>
      <c r="W278" s="36" t="e">
        <f t="shared" si="90"/>
        <v>#DIV/0!</v>
      </c>
      <c r="X278" s="56" t="e">
        <f t="shared" si="84"/>
        <v>#DIV/0!</v>
      </c>
    </row>
    <row r="279" spans="1:24">
      <c r="A279" s="26"/>
      <c r="B279" s="27"/>
      <c r="C279" s="27"/>
      <c r="D279" s="27"/>
      <c r="E279" s="27"/>
      <c r="F279" s="27"/>
      <c r="G279" s="27"/>
      <c r="H279" s="27"/>
      <c r="I279" s="27"/>
      <c r="J279" s="27"/>
      <c r="K279" s="24" t="str">
        <f t="shared" si="85"/>
        <v/>
      </c>
      <c r="L279" s="24" t="str">
        <f t="shared" si="91"/>
        <v/>
      </c>
      <c r="M279" s="24" t="str">
        <f t="shared" si="86"/>
        <v/>
      </c>
      <c r="N279" s="24" t="str">
        <f t="shared" si="92"/>
        <v/>
      </c>
      <c r="O279" s="24" t="str">
        <f t="shared" si="87"/>
        <v/>
      </c>
      <c r="P279" s="24" t="str">
        <f t="shared" si="95"/>
        <v/>
      </c>
      <c r="Q279" s="24" t="str">
        <f t="shared" si="88"/>
        <v/>
      </c>
      <c r="R279" s="24" t="str">
        <f t="shared" si="93"/>
        <v/>
      </c>
      <c r="S279" s="108">
        <f t="shared" si="96"/>
        <v>0</v>
      </c>
      <c r="T279" s="28">
        <f t="shared" si="94"/>
        <v>0</v>
      </c>
      <c r="U279" s="28">
        <f t="shared" si="83"/>
        <v>0</v>
      </c>
      <c r="V279" s="36" t="e">
        <f t="shared" si="89"/>
        <v>#DIV/0!</v>
      </c>
      <c r="W279" s="36" t="e">
        <f t="shared" si="90"/>
        <v>#DIV/0!</v>
      </c>
      <c r="X279" s="56" t="e">
        <f t="shared" si="84"/>
        <v>#DIV/0!</v>
      </c>
    </row>
    <row r="280" spans="1:24">
      <c r="A280" s="26"/>
      <c r="B280" s="27"/>
      <c r="C280" s="27"/>
      <c r="D280" s="27"/>
      <c r="E280" s="27"/>
      <c r="F280" s="27"/>
      <c r="G280" s="27"/>
      <c r="H280" s="27"/>
      <c r="I280" s="27"/>
      <c r="J280" s="27"/>
      <c r="K280" s="24" t="str">
        <f t="shared" si="85"/>
        <v/>
      </c>
      <c r="L280" s="24" t="str">
        <f t="shared" si="91"/>
        <v/>
      </c>
      <c r="M280" s="24" t="str">
        <f t="shared" si="86"/>
        <v/>
      </c>
      <c r="N280" s="24" t="str">
        <f t="shared" si="92"/>
        <v/>
      </c>
      <c r="O280" s="24" t="str">
        <f t="shared" si="87"/>
        <v/>
      </c>
      <c r="P280" s="24" t="str">
        <f t="shared" si="95"/>
        <v/>
      </c>
      <c r="Q280" s="24" t="str">
        <f t="shared" si="88"/>
        <v/>
      </c>
      <c r="R280" s="24" t="str">
        <f t="shared" si="93"/>
        <v/>
      </c>
      <c r="S280" s="108">
        <f t="shared" si="96"/>
        <v>0</v>
      </c>
      <c r="T280" s="28">
        <f t="shared" si="94"/>
        <v>0</v>
      </c>
      <c r="U280" s="28">
        <f t="shared" si="83"/>
        <v>0</v>
      </c>
      <c r="V280" s="36" t="e">
        <f t="shared" si="89"/>
        <v>#DIV/0!</v>
      </c>
      <c r="W280" s="36" t="e">
        <f t="shared" si="90"/>
        <v>#DIV/0!</v>
      </c>
      <c r="X280" s="56" t="e">
        <f t="shared" si="84"/>
        <v>#DIV/0!</v>
      </c>
    </row>
    <row r="281" spans="1:24">
      <c r="A281" s="26"/>
      <c r="B281" s="27"/>
      <c r="C281" s="27"/>
      <c r="D281" s="27"/>
      <c r="E281" s="27"/>
      <c r="F281" s="27"/>
      <c r="G281" s="27"/>
      <c r="H281" s="27"/>
      <c r="I281" s="27"/>
      <c r="J281" s="27"/>
      <c r="K281" s="24" t="str">
        <f t="shared" si="85"/>
        <v/>
      </c>
      <c r="L281" s="24" t="str">
        <f t="shared" si="91"/>
        <v/>
      </c>
      <c r="M281" s="24" t="str">
        <f t="shared" si="86"/>
        <v/>
      </c>
      <c r="N281" s="24" t="str">
        <f t="shared" si="92"/>
        <v/>
      </c>
      <c r="O281" s="24" t="str">
        <f t="shared" si="87"/>
        <v/>
      </c>
      <c r="P281" s="24" t="str">
        <f t="shared" si="95"/>
        <v/>
      </c>
      <c r="Q281" s="24" t="str">
        <f t="shared" si="88"/>
        <v/>
      </c>
      <c r="R281" s="24" t="str">
        <f t="shared" si="93"/>
        <v/>
      </c>
      <c r="S281" s="108">
        <f t="shared" si="96"/>
        <v>0</v>
      </c>
      <c r="T281" s="28">
        <f t="shared" si="94"/>
        <v>0</v>
      </c>
      <c r="U281" s="28">
        <f t="shared" si="83"/>
        <v>0</v>
      </c>
      <c r="V281" s="36" t="e">
        <f t="shared" si="89"/>
        <v>#DIV/0!</v>
      </c>
      <c r="W281" s="36" t="e">
        <f t="shared" si="90"/>
        <v>#DIV/0!</v>
      </c>
      <c r="X281" s="56" t="e">
        <f t="shared" si="84"/>
        <v>#DIV/0!</v>
      </c>
    </row>
    <row r="282" spans="1:24">
      <c r="A282" s="26"/>
      <c r="B282" s="27"/>
      <c r="C282" s="27"/>
      <c r="D282" s="27"/>
      <c r="E282" s="27"/>
      <c r="F282" s="27"/>
      <c r="G282" s="27"/>
      <c r="H282" s="27"/>
      <c r="I282" s="27"/>
      <c r="J282" s="27"/>
      <c r="K282" s="24" t="str">
        <f t="shared" si="85"/>
        <v/>
      </c>
      <c r="L282" s="24" t="str">
        <f t="shared" si="91"/>
        <v/>
      </c>
      <c r="M282" s="24" t="str">
        <f t="shared" si="86"/>
        <v/>
      </c>
      <c r="N282" s="24" t="str">
        <f t="shared" si="92"/>
        <v/>
      </c>
      <c r="O282" s="24" t="str">
        <f t="shared" si="87"/>
        <v/>
      </c>
      <c r="P282" s="24" t="str">
        <f t="shared" si="95"/>
        <v/>
      </c>
      <c r="Q282" s="24" t="str">
        <f t="shared" si="88"/>
        <v/>
      </c>
      <c r="R282" s="24" t="str">
        <f t="shared" si="93"/>
        <v/>
      </c>
      <c r="S282" s="108">
        <f t="shared" si="96"/>
        <v>0</v>
      </c>
      <c r="T282" s="28">
        <f t="shared" si="94"/>
        <v>0</v>
      </c>
      <c r="U282" s="28">
        <f t="shared" si="83"/>
        <v>0</v>
      </c>
      <c r="V282" s="36" t="e">
        <f t="shared" si="89"/>
        <v>#DIV/0!</v>
      </c>
      <c r="W282" s="36" t="e">
        <f t="shared" si="90"/>
        <v>#DIV/0!</v>
      </c>
      <c r="X282" s="56" t="e">
        <f t="shared" si="84"/>
        <v>#DIV/0!</v>
      </c>
    </row>
    <row r="283" spans="1:24">
      <c r="A283" s="26"/>
      <c r="B283" s="27"/>
      <c r="C283" s="27"/>
      <c r="D283" s="27"/>
      <c r="E283" s="27"/>
      <c r="F283" s="27"/>
      <c r="G283" s="27"/>
      <c r="H283" s="27"/>
      <c r="I283" s="27"/>
      <c r="J283" s="27"/>
      <c r="K283" s="24" t="str">
        <f t="shared" si="85"/>
        <v/>
      </c>
      <c r="L283" s="24" t="str">
        <f t="shared" si="91"/>
        <v/>
      </c>
      <c r="M283" s="24" t="str">
        <f t="shared" si="86"/>
        <v/>
      </c>
      <c r="N283" s="24" t="str">
        <f t="shared" si="92"/>
        <v/>
      </c>
      <c r="O283" s="24" t="str">
        <f t="shared" si="87"/>
        <v/>
      </c>
      <c r="P283" s="24" t="str">
        <f t="shared" si="95"/>
        <v/>
      </c>
      <c r="Q283" s="24" t="str">
        <f t="shared" si="88"/>
        <v/>
      </c>
      <c r="R283" s="24" t="str">
        <f t="shared" si="93"/>
        <v/>
      </c>
      <c r="S283" s="108">
        <f t="shared" si="96"/>
        <v>0</v>
      </c>
      <c r="T283" s="28">
        <f t="shared" si="94"/>
        <v>0</v>
      </c>
      <c r="U283" s="28">
        <f t="shared" si="83"/>
        <v>0</v>
      </c>
      <c r="V283" s="36" t="e">
        <f t="shared" si="89"/>
        <v>#DIV/0!</v>
      </c>
      <c r="W283" s="36" t="e">
        <f t="shared" si="90"/>
        <v>#DIV/0!</v>
      </c>
      <c r="X283" s="56" t="e">
        <f t="shared" si="84"/>
        <v>#DIV/0!</v>
      </c>
    </row>
    <row r="284" spans="1:24">
      <c r="A284" s="26"/>
      <c r="B284" s="27"/>
      <c r="C284" s="27"/>
      <c r="D284" s="27"/>
      <c r="E284" s="27"/>
      <c r="F284" s="27"/>
      <c r="G284" s="27"/>
      <c r="H284" s="27"/>
      <c r="I284" s="27"/>
      <c r="J284" s="27"/>
      <c r="K284" s="24" t="str">
        <f t="shared" si="85"/>
        <v/>
      </c>
      <c r="L284" s="24" t="str">
        <f t="shared" si="91"/>
        <v/>
      </c>
      <c r="M284" s="24" t="str">
        <f t="shared" si="86"/>
        <v/>
      </c>
      <c r="N284" s="24" t="str">
        <f t="shared" si="92"/>
        <v/>
      </c>
      <c r="O284" s="24" t="str">
        <f t="shared" si="87"/>
        <v/>
      </c>
      <c r="P284" s="24" t="str">
        <f t="shared" si="95"/>
        <v/>
      </c>
      <c r="Q284" s="24" t="str">
        <f t="shared" si="88"/>
        <v/>
      </c>
      <c r="R284" s="24" t="str">
        <f t="shared" si="93"/>
        <v/>
      </c>
      <c r="S284" s="108">
        <f t="shared" si="96"/>
        <v>0</v>
      </c>
      <c r="T284" s="28">
        <f t="shared" si="94"/>
        <v>0</v>
      </c>
      <c r="U284" s="28">
        <f t="shared" si="83"/>
        <v>0</v>
      </c>
      <c r="V284" s="36" t="e">
        <f t="shared" si="89"/>
        <v>#DIV/0!</v>
      </c>
      <c r="W284" s="36" t="e">
        <f t="shared" si="90"/>
        <v>#DIV/0!</v>
      </c>
      <c r="X284" s="56" t="e">
        <f t="shared" si="84"/>
        <v>#DIV/0!</v>
      </c>
    </row>
    <row r="285" spans="1:24">
      <c r="A285" s="26"/>
      <c r="B285" s="27"/>
      <c r="C285" s="27"/>
      <c r="D285" s="27"/>
      <c r="E285" s="27"/>
      <c r="F285" s="27"/>
      <c r="G285" s="27"/>
      <c r="H285" s="27"/>
      <c r="I285" s="27"/>
      <c r="J285" s="27"/>
      <c r="K285" s="24" t="str">
        <f t="shared" si="85"/>
        <v/>
      </c>
      <c r="L285" s="24" t="str">
        <f t="shared" si="91"/>
        <v/>
      </c>
      <c r="M285" s="24" t="str">
        <f t="shared" si="86"/>
        <v/>
      </c>
      <c r="N285" s="24" t="str">
        <f t="shared" si="92"/>
        <v/>
      </c>
      <c r="O285" s="24" t="str">
        <f t="shared" si="87"/>
        <v/>
      </c>
      <c r="P285" s="24" t="str">
        <f t="shared" si="95"/>
        <v/>
      </c>
      <c r="Q285" s="24" t="str">
        <f t="shared" si="88"/>
        <v/>
      </c>
      <c r="R285" s="24" t="str">
        <f t="shared" si="93"/>
        <v/>
      </c>
      <c r="S285" s="108">
        <f t="shared" si="96"/>
        <v>0</v>
      </c>
      <c r="T285" s="28">
        <f t="shared" si="94"/>
        <v>0</v>
      </c>
      <c r="U285" s="28">
        <f t="shared" si="83"/>
        <v>0</v>
      </c>
      <c r="V285" s="36" t="e">
        <f t="shared" si="89"/>
        <v>#DIV/0!</v>
      </c>
      <c r="W285" s="36" t="e">
        <f t="shared" si="90"/>
        <v>#DIV/0!</v>
      </c>
      <c r="X285" s="56" t="e">
        <f t="shared" si="84"/>
        <v>#DIV/0!</v>
      </c>
    </row>
    <row r="286" spans="1:24">
      <c r="A286" s="26"/>
      <c r="B286" s="27"/>
      <c r="C286" s="27"/>
      <c r="D286" s="27"/>
      <c r="E286" s="27"/>
      <c r="F286" s="27"/>
      <c r="G286" s="27"/>
      <c r="H286" s="27"/>
      <c r="I286" s="27"/>
      <c r="J286" s="27"/>
      <c r="K286" s="24" t="str">
        <f t="shared" si="85"/>
        <v/>
      </c>
      <c r="L286" s="24" t="str">
        <f t="shared" si="91"/>
        <v/>
      </c>
      <c r="M286" s="24" t="str">
        <f t="shared" si="86"/>
        <v/>
      </c>
      <c r="N286" s="24" t="str">
        <f t="shared" si="92"/>
        <v/>
      </c>
      <c r="O286" s="24" t="str">
        <f t="shared" si="87"/>
        <v/>
      </c>
      <c r="P286" s="24" t="str">
        <f t="shared" si="95"/>
        <v/>
      </c>
      <c r="Q286" s="24" t="str">
        <f t="shared" si="88"/>
        <v/>
      </c>
      <c r="R286" s="24" t="str">
        <f t="shared" si="93"/>
        <v/>
      </c>
      <c r="S286" s="108">
        <f t="shared" si="96"/>
        <v>0</v>
      </c>
      <c r="T286" s="28">
        <f t="shared" si="94"/>
        <v>0</v>
      </c>
      <c r="U286" s="28">
        <f t="shared" si="83"/>
        <v>0</v>
      </c>
      <c r="V286" s="36" t="e">
        <f t="shared" si="89"/>
        <v>#DIV/0!</v>
      </c>
      <c r="W286" s="36" t="e">
        <f t="shared" si="90"/>
        <v>#DIV/0!</v>
      </c>
      <c r="X286" s="56" t="e">
        <f t="shared" si="84"/>
        <v>#DIV/0!</v>
      </c>
    </row>
    <row r="287" spans="1:24">
      <c r="A287" s="26"/>
      <c r="B287" s="27"/>
      <c r="C287" s="27"/>
      <c r="D287" s="27"/>
      <c r="E287" s="27"/>
      <c r="F287" s="27"/>
      <c r="G287" s="27"/>
      <c r="H287" s="27"/>
      <c r="I287" s="27"/>
      <c r="J287" s="27"/>
      <c r="K287" s="24" t="str">
        <f t="shared" si="85"/>
        <v/>
      </c>
      <c r="L287" s="24" t="str">
        <f t="shared" si="91"/>
        <v/>
      </c>
      <c r="M287" s="24" t="str">
        <f t="shared" si="86"/>
        <v/>
      </c>
      <c r="N287" s="24" t="str">
        <f t="shared" si="92"/>
        <v/>
      </c>
      <c r="O287" s="24" t="str">
        <f t="shared" si="87"/>
        <v/>
      </c>
      <c r="P287" s="24" t="str">
        <f t="shared" si="95"/>
        <v/>
      </c>
      <c r="Q287" s="24" t="str">
        <f t="shared" si="88"/>
        <v/>
      </c>
      <c r="R287" s="24" t="str">
        <f t="shared" si="93"/>
        <v/>
      </c>
      <c r="S287" s="108">
        <f t="shared" si="96"/>
        <v>0</v>
      </c>
      <c r="T287" s="28">
        <f t="shared" si="94"/>
        <v>0</v>
      </c>
      <c r="U287" s="28">
        <f t="shared" si="83"/>
        <v>0</v>
      </c>
      <c r="V287" s="36" t="e">
        <f t="shared" si="89"/>
        <v>#DIV/0!</v>
      </c>
      <c r="W287" s="36" t="e">
        <f t="shared" si="90"/>
        <v>#DIV/0!</v>
      </c>
      <c r="X287" s="56" t="e">
        <f t="shared" si="84"/>
        <v>#DIV/0!</v>
      </c>
    </row>
    <row r="288" spans="1:24">
      <c r="A288" s="26"/>
      <c r="B288" s="27"/>
      <c r="C288" s="27"/>
      <c r="D288" s="27"/>
      <c r="E288" s="27"/>
      <c r="F288" s="27"/>
      <c r="G288" s="27"/>
      <c r="H288" s="27"/>
      <c r="I288" s="27"/>
      <c r="J288" s="27"/>
      <c r="K288" s="24" t="str">
        <f t="shared" si="85"/>
        <v/>
      </c>
      <c r="L288" s="24" t="str">
        <f t="shared" si="91"/>
        <v/>
      </c>
      <c r="M288" s="24" t="str">
        <f t="shared" si="86"/>
        <v/>
      </c>
      <c r="N288" s="24" t="str">
        <f t="shared" si="92"/>
        <v/>
      </c>
      <c r="O288" s="24" t="str">
        <f t="shared" si="87"/>
        <v/>
      </c>
      <c r="P288" s="24" t="str">
        <f t="shared" si="95"/>
        <v/>
      </c>
      <c r="Q288" s="24" t="str">
        <f t="shared" si="88"/>
        <v/>
      </c>
      <c r="R288" s="24" t="str">
        <f t="shared" si="93"/>
        <v/>
      </c>
      <c r="S288" s="108">
        <f t="shared" si="96"/>
        <v>0</v>
      </c>
      <c r="T288" s="28">
        <f t="shared" si="94"/>
        <v>0</v>
      </c>
      <c r="U288" s="28">
        <f t="shared" si="83"/>
        <v>0</v>
      </c>
      <c r="V288" s="36" t="e">
        <f t="shared" si="89"/>
        <v>#DIV/0!</v>
      </c>
      <c r="W288" s="36" t="e">
        <f t="shared" si="90"/>
        <v>#DIV/0!</v>
      </c>
      <c r="X288" s="56" t="e">
        <f t="shared" si="84"/>
        <v>#DIV/0!</v>
      </c>
    </row>
    <row r="289" spans="1:24">
      <c r="A289" s="26"/>
      <c r="B289" s="27"/>
      <c r="C289" s="27"/>
      <c r="D289" s="27"/>
      <c r="E289" s="27"/>
      <c r="F289" s="27"/>
      <c r="G289" s="27"/>
      <c r="H289" s="27"/>
      <c r="I289" s="27"/>
      <c r="J289" s="27"/>
      <c r="K289" s="24" t="str">
        <f t="shared" si="85"/>
        <v/>
      </c>
      <c r="L289" s="24" t="str">
        <f t="shared" si="91"/>
        <v/>
      </c>
      <c r="M289" s="24" t="str">
        <f t="shared" si="86"/>
        <v/>
      </c>
      <c r="N289" s="24" t="str">
        <f t="shared" si="92"/>
        <v/>
      </c>
      <c r="O289" s="24" t="str">
        <f t="shared" si="87"/>
        <v/>
      </c>
      <c r="P289" s="24" t="str">
        <f t="shared" si="95"/>
        <v/>
      </c>
      <c r="Q289" s="24" t="str">
        <f t="shared" si="88"/>
        <v/>
      </c>
      <c r="R289" s="24" t="str">
        <f t="shared" si="93"/>
        <v/>
      </c>
      <c r="S289" s="108">
        <f t="shared" si="96"/>
        <v>0</v>
      </c>
      <c r="T289" s="28">
        <f t="shared" si="94"/>
        <v>0</v>
      </c>
      <c r="U289" s="28">
        <f t="shared" si="83"/>
        <v>0</v>
      </c>
      <c r="V289" s="36" t="e">
        <f t="shared" si="89"/>
        <v>#DIV/0!</v>
      </c>
      <c r="W289" s="36" t="e">
        <f t="shared" si="90"/>
        <v>#DIV/0!</v>
      </c>
      <c r="X289" s="56" t="e">
        <f t="shared" si="84"/>
        <v>#DIV/0!</v>
      </c>
    </row>
    <row r="290" spans="1:24">
      <c r="A290" s="26"/>
      <c r="B290" s="27"/>
      <c r="C290" s="27"/>
      <c r="D290" s="27"/>
      <c r="E290" s="27"/>
      <c r="F290" s="27"/>
      <c r="G290" s="27"/>
      <c r="H290" s="27"/>
      <c r="I290" s="27"/>
      <c r="J290" s="27"/>
      <c r="K290" s="24" t="str">
        <f t="shared" si="85"/>
        <v/>
      </c>
      <c r="L290" s="24" t="str">
        <f t="shared" si="91"/>
        <v/>
      </c>
      <c r="M290" s="24" t="str">
        <f t="shared" si="86"/>
        <v/>
      </c>
      <c r="N290" s="24" t="str">
        <f t="shared" si="92"/>
        <v/>
      </c>
      <c r="O290" s="24" t="str">
        <f t="shared" si="87"/>
        <v/>
      </c>
      <c r="P290" s="24" t="str">
        <f t="shared" si="95"/>
        <v/>
      </c>
      <c r="Q290" s="24" t="str">
        <f t="shared" si="88"/>
        <v/>
      </c>
      <c r="R290" s="24" t="str">
        <f t="shared" si="93"/>
        <v/>
      </c>
      <c r="S290" s="108">
        <f t="shared" si="96"/>
        <v>0</v>
      </c>
      <c r="T290" s="28">
        <f t="shared" si="94"/>
        <v>0</v>
      </c>
      <c r="U290" s="28">
        <f t="shared" si="83"/>
        <v>0</v>
      </c>
      <c r="V290" s="36" t="e">
        <f t="shared" si="89"/>
        <v>#DIV/0!</v>
      </c>
      <c r="W290" s="36" t="e">
        <f t="shared" si="90"/>
        <v>#DIV/0!</v>
      </c>
      <c r="X290" s="56" t="e">
        <f t="shared" si="84"/>
        <v>#DIV/0!</v>
      </c>
    </row>
    <row r="291" spans="1:24">
      <c r="A291" s="26"/>
      <c r="B291" s="27"/>
      <c r="C291" s="27"/>
      <c r="D291" s="27"/>
      <c r="E291" s="27"/>
      <c r="F291" s="27"/>
      <c r="G291" s="27"/>
      <c r="H291" s="27"/>
      <c r="I291" s="27"/>
      <c r="J291" s="27"/>
      <c r="K291" s="24" t="str">
        <f t="shared" si="85"/>
        <v/>
      </c>
      <c r="L291" s="24" t="str">
        <f t="shared" si="91"/>
        <v/>
      </c>
      <c r="M291" s="24" t="str">
        <f t="shared" si="86"/>
        <v/>
      </c>
      <c r="N291" s="24" t="str">
        <f t="shared" si="92"/>
        <v/>
      </c>
      <c r="O291" s="24" t="str">
        <f t="shared" si="87"/>
        <v/>
      </c>
      <c r="P291" s="24" t="str">
        <f t="shared" si="95"/>
        <v/>
      </c>
      <c r="Q291" s="24" t="str">
        <f t="shared" si="88"/>
        <v/>
      </c>
      <c r="R291" s="24" t="str">
        <f t="shared" si="93"/>
        <v/>
      </c>
      <c r="S291" s="108">
        <f t="shared" si="96"/>
        <v>0</v>
      </c>
      <c r="T291" s="28">
        <f t="shared" si="94"/>
        <v>0</v>
      </c>
      <c r="U291" s="28">
        <f t="shared" ref="U291:U354" si="97">T291*(1+凉菜物料)</f>
        <v>0</v>
      </c>
      <c r="V291" s="36" t="e">
        <f t="shared" si="89"/>
        <v>#DIV/0!</v>
      </c>
      <c r="W291" s="36" t="e">
        <f t="shared" si="90"/>
        <v>#DIV/0!</v>
      </c>
      <c r="X291" s="56" t="e">
        <f t="shared" ref="X291:X354" si="98">ROUNDUP(V291*(1+凉菜毛利),1)</f>
        <v>#DIV/0!</v>
      </c>
    </row>
    <row r="292" spans="1:24">
      <c r="A292" s="26"/>
      <c r="B292" s="27"/>
      <c r="C292" s="27"/>
      <c r="D292" s="27"/>
      <c r="E292" s="27"/>
      <c r="F292" s="27"/>
      <c r="G292" s="27"/>
      <c r="H292" s="27"/>
      <c r="I292" s="27"/>
      <c r="J292" s="27"/>
      <c r="K292" s="24" t="str">
        <f t="shared" ref="K292:K355" si="99">IF(C292="","",VLOOKUP(C292,成本单价,8,0))</f>
        <v/>
      </c>
      <c r="L292" s="24" t="str">
        <f t="shared" si="91"/>
        <v/>
      </c>
      <c r="M292" s="24" t="str">
        <f t="shared" ref="M292:M355" si="100">IF(E292="","",VLOOKUP(E292,成本单价,8,0))</f>
        <v/>
      </c>
      <c r="N292" s="24" t="str">
        <f t="shared" si="92"/>
        <v/>
      </c>
      <c r="O292" s="24" t="str">
        <f t="shared" ref="O292:O355" si="101">IF(G292="","",VLOOKUP(G292,成本单价,8,0))</f>
        <v/>
      </c>
      <c r="P292" s="24" t="str">
        <f t="shared" si="95"/>
        <v/>
      </c>
      <c r="Q292" s="24" t="str">
        <f t="shared" ref="Q292:Q355" si="102">IF(I292="","",VLOOKUP(I292,成本单价,8,0))</f>
        <v/>
      </c>
      <c r="R292" s="24" t="str">
        <f t="shared" si="93"/>
        <v/>
      </c>
      <c r="S292" s="108">
        <f t="shared" si="96"/>
        <v>0</v>
      </c>
      <c r="T292" s="28">
        <f t="shared" si="94"/>
        <v>0</v>
      </c>
      <c r="U292" s="28">
        <f t="shared" si="97"/>
        <v>0</v>
      </c>
      <c r="V292" s="36" t="e">
        <f t="shared" ref="V292:V355" si="103">U292/B292</f>
        <v>#DIV/0!</v>
      </c>
      <c r="W292" s="36" t="e">
        <f t="shared" ref="W292:W355" si="104">D292/B292+F292/B292+H292/B292+J292/B292</f>
        <v>#DIV/0!</v>
      </c>
      <c r="X292" s="56" t="e">
        <f t="shared" si="98"/>
        <v>#DIV/0!</v>
      </c>
    </row>
    <row r="293" spans="1:24">
      <c r="A293" s="26"/>
      <c r="B293" s="27"/>
      <c r="C293" s="27"/>
      <c r="D293" s="27"/>
      <c r="E293" s="27"/>
      <c r="F293" s="27"/>
      <c r="G293" s="27"/>
      <c r="H293" s="27"/>
      <c r="I293" s="27"/>
      <c r="J293" s="27"/>
      <c r="K293" s="24" t="str">
        <f t="shared" si="99"/>
        <v/>
      </c>
      <c r="L293" s="24" t="str">
        <f t="shared" ref="L293:L356" si="105">IFERROR(D293*K293,"")</f>
        <v/>
      </c>
      <c r="M293" s="24" t="str">
        <f t="shared" si="100"/>
        <v/>
      </c>
      <c r="N293" s="24" t="str">
        <f t="shared" ref="N293:N356" si="106">IFERROR(F293*M293,"")</f>
        <v/>
      </c>
      <c r="O293" s="24" t="str">
        <f t="shared" si="101"/>
        <v/>
      </c>
      <c r="P293" s="24" t="str">
        <f t="shared" si="95"/>
        <v/>
      </c>
      <c r="Q293" s="24" t="str">
        <f t="shared" si="102"/>
        <v/>
      </c>
      <c r="R293" s="24" t="str">
        <f t="shared" ref="R293:R356" si="107">IFERROR(J293*Q293,"")</f>
        <v/>
      </c>
      <c r="S293" s="108">
        <f t="shared" si="96"/>
        <v>0</v>
      </c>
      <c r="T293" s="28">
        <f t="shared" ref="T293:T356" si="108">IFERROR(SUM(L293,N293,P293,R293,S293),"")</f>
        <v>0</v>
      </c>
      <c r="U293" s="28">
        <f t="shared" si="97"/>
        <v>0</v>
      </c>
      <c r="V293" s="36" t="e">
        <f t="shared" si="103"/>
        <v>#DIV/0!</v>
      </c>
      <c r="W293" s="36" t="e">
        <f t="shared" si="104"/>
        <v>#DIV/0!</v>
      </c>
      <c r="X293" s="56" t="e">
        <f t="shared" si="98"/>
        <v>#DIV/0!</v>
      </c>
    </row>
    <row r="294" spans="1:24">
      <c r="A294" s="26"/>
      <c r="B294" s="27"/>
      <c r="C294" s="27"/>
      <c r="D294" s="27"/>
      <c r="E294" s="27"/>
      <c r="F294" s="27"/>
      <c r="G294" s="27"/>
      <c r="H294" s="27"/>
      <c r="I294" s="27"/>
      <c r="J294" s="27"/>
      <c r="K294" s="24" t="str">
        <f t="shared" si="99"/>
        <v/>
      </c>
      <c r="L294" s="24" t="str">
        <f t="shared" si="105"/>
        <v/>
      </c>
      <c r="M294" s="24" t="str">
        <f t="shared" si="100"/>
        <v/>
      </c>
      <c r="N294" s="24" t="str">
        <f t="shared" si="106"/>
        <v/>
      </c>
      <c r="O294" s="24" t="str">
        <f t="shared" si="101"/>
        <v/>
      </c>
      <c r="P294" s="24" t="str">
        <f t="shared" ref="P294:P357" si="109">IFERROR(H294*O294,"")</f>
        <v/>
      </c>
      <c r="Q294" s="24" t="str">
        <f t="shared" si="102"/>
        <v/>
      </c>
      <c r="R294" s="24" t="str">
        <f t="shared" si="107"/>
        <v/>
      </c>
      <c r="S294" s="108">
        <f t="shared" si="96"/>
        <v>0</v>
      </c>
      <c r="T294" s="28">
        <f t="shared" si="108"/>
        <v>0</v>
      </c>
      <c r="U294" s="28">
        <f t="shared" si="97"/>
        <v>0</v>
      </c>
      <c r="V294" s="36" t="e">
        <f t="shared" si="103"/>
        <v>#DIV/0!</v>
      </c>
      <c r="W294" s="36" t="e">
        <f t="shared" si="104"/>
        <v>#DIV/0!</v>
      </c>
      <c r="X294" s="56" t="e">
        <f t="shared" si="98"/>
        <v>#DIV/0!</v>
      </c>
    </row>
    <row r="295" spans="1:24">
      <c r="A295" s="26"/>
      <c r="B295" s="27"/>
      <c r="C295" s="27"/>
      <c r="D295" s="27"/>
      <c r="E295" s="27"/>
      <c r="F295" s="27"/>
      <c r="G295" s="27"/>
      <c r="H295" s="27"/>
      <c r="I295" s="27"/>
      <c r="J295" s="27"/>
      <c r="K295" s="24" t="str">
        <f t="shared" si="99"/>
        <v/>
      </c>
      <c r="L295" s="24" t="str">
        <f t="shared" si="105"/>
        <v/>
      </c>
      <c r="M295" s="24" t="str">
        <f t="shared" si="100"/>
        <v/>
      </c>
      <c r="N295" s="24" t="str">
        <f t="shared" si="106"/>
        <v/>
      </c>
      <c r="O295" s="24" t="str">
        <f t="shared" si="101"/>
        <v/>
      </c>
      <c r="P295" s="24" t="str">
        <f t="shared" si="109"/>
        <v/>
      </c>
      <c r="Q295" s="24" t="str">
        <f t="shared" si="102"/>
        <v/>
      </c>
      <c r="R295" s="24" t="str">
        <f t="shared" si="107"/>
        <v/>
      </c>
      <c r="S295" s="108">
        <f t="shared" si="96"/>
        <v>0</v>
      </c>
      <c r="T295" s="28">
        <f t="shared" si="108"/>
        <v>0</v>
      </c>
      <c r="U295" s="28">
        <f t="shared" si="97"/>
        <v>0</v>
      </c>
      <c r="V295" s="36" t="e">
        <f t="shared" si="103"/>
        <v>#DIV/0!</v>
      </c>
      <c r="W295" s="36" t="e">
        <f t="shared" si="104"/>
        <v>#DIV/0!</v>
      </c>
      <c r="X295" s="56" t="e">
        <f t="shared" si="98"/>
        <v>#DIV/0!</v>
      </c>
    </row>
    <row r="296" spans="1:24">
      <c r="A296" s="26"/>
      <c r="B296" s="27"/>
      <c r="C296" s="27"/>
      <c r="D296" s="27"/>
      <c r="E296" s="27"/>
      <c r="F296" s="27"/>
      <c r="G296" s="27"/>
      <c r="H296" s="27"/>
      <c r="I296" s="27"/>
      <c r="J296" s="27"/>
      <c r="K296" s="24" t="str">
        <f t="shared" si="99"/>
        <v/>
      </c>
      <c r="L296" s="24" t="str">
        <f t="shared" si="105"/>
        <v/>
      </c>
      <c r="M296" s="24" t="str">
        <f t="shared" si="100"/>
        <v/>
      </c>
      <c r="N296" s="24" t="str">
        <f t="shared" si="106"/>
        <v/>
      </c>
      <c r="O296" s="24" t="str">
        <f t="shared" si="101"/>
        <v/>
      </c>
      <c r="P296" s="24" t="str">
        <f t="shared" si="109"/>
        <v/>
      </c>
      <c r="Q296" s="24" t="str">
        <f t="shared" si="102"/>
        <v/>
      </c>
      <c r="R296" s="24" t="str">
        <f t="shared" si="107"/>
        <v/>
      </c>
      <c r="S296" s="108">
        <f t="shared" si="96"/>
        <v>0</v>
      </c>
      <c r="T296" s="28">
        <f t="shared" si="108"/>
        <v>0</v>
      </c>
      <c r="U296" s="28">
        <f t="shared" si="97"/>
        <v>0</v>
      </c>
      <c r="V296" s="36" t="e">
        <f t="shared" si="103"/>
        <v>#DIV/0!</v>
      </c>
      <c r="W296" s="36" t="e">
        <f t="shared" si="104"/>
        <v>#DIV/0!</v>
      </c>
      <c r="X296" s="56" t="e">
        <f t="shared" si="98"/>
        <v>#DIV/0!</v>
      </c>
    </row>
    <row r="297" spans="1:24">
      <c r="A297" s="26"/>
      <c r="B297" s="27"/>
      <c r="C297" s="27"/>
      <c r="D297" s="27"/>
      <c r="E297" s="27"/>
      <c r="F297" s="27"/>
      <c r="G297" s="27"/>
      <c r="H297" s="27"/>
      <c r="I297" s="27"/>
      <c r="J297" s="27"/>
      <c r="K297" s="24" t="str">
        <f t="shared" si="99"/>
        <v/>
      </c>
      <c r="L297" s="24" t="str">
        <f t="shared" si="105"/>
        <v/>
      </c>
      <c r="M297" s="24" t="str">
        <f t="shared" si="100"/>
        <v/>
      </c>
      <c r="N297" s="24" t="str">
        <f t="shared" si="106"/>
        <v/>
      </c>
      <c r="O297" s="24" t="str">
        <f t="shared" si="101"/>
        <v/>
      </c>
      <c r="P297" s="24" t="str">
        <f t="shared" si="109"/>
        <v/>
      </c>
      <c r="Q297" s="24" t="str">
        <f t="shared" si="102"/>
        <v/>
      </c>
      <c r="R297" s="24" t="str">
        <f t="shared" si="107"/>
        <v/>
      </c>
      <c r="S297" s="108">
        <f t="shared" si="96"/>
        <v>0</v>
      </c>
      <c r="T297" s="28">
        <f t="shared" si="108"/>
        <v>0</v>
      </c>
      <c r="U297" s="28">
        <f t="shared" si="97"/>
        <v>0</v>
      </c>
      <c r="V297" s="36" t="e">
        <f t="shared" si="103"/>
        <v>#DIV/0!</v>
      </c>
      <c r="W297" s="36" t="e">
        <f t="shared" si="104"/>
        <v>#DIV/0!</v>
      </c>
      <c r="X297" s="56" t="e">
        <f t="shared" si="98"/>
        <v>#DIV/0!</v>
      </c>
    </row>
    <row r="298" spans="1:24">
      <c r="A298" s="26"/>
      <c r="B298" s="27"/>
      <c r="C298" s="27"/>
      <c r="D298" s="27"/>
      <c r="E298" s="27"/>
      <c r="F298" s="27"/>
      <c r="G298" s="27"/>
      <c r="H298" s="27"/>
      <c r="I298" s="27"/>
      <c r="J298" s="27"/>
      <c r="K298" s="24" t="str">
        <f t="shared" si="99"/>
        <v/>
      </c>
      <c r="L298" s="24" t="str">
        <f t="shared" si="105"/>
        <v/>
      </c>
      <c r="M298" s="24" t="str">
        <f t="shared" si="100"/>
        <v/>
      </c>
      <c r="N298" s="24" t="str">
        <f t="shared" si="106"/>
        <v/>
      </c>
      <c r="O298" s="24" t="str">
        <f t="shared" si="101"/>
        <v/>
      </c>
      <c r="P298" s="24" t="str">
        <f t="shared" si="109"/>
        <v/>
      </c>
      <c r="Q298" s="24" t="str">
        <f t="shared" si="102"/>
        <v/>
      </c>
      <c r="R298" s="24" t="str">
        <f t="shared" si="107"/>
        <v/>
      </c>
      <c r="S298" s="108">
        <f t="shared" si="96"/>
        <v>0</v>
      </c>
      <c r="T298" s="28">
        <f t="shared" si="108"/>
        <v>0</v>
      </c>
      <c r="U298" s="28">
        <f t="shared" si="97"/>
        <v>0</v>
      </c>
      <c r="V298" s="36" t="e">
        <f t="shared" si="103"/>
        <v>#DIV/0!</v>
      </c>
      <c r="W298" s="36" t="e">
        <f t="shared" si="104"/>
        <v>#DIV/0!</v>
      </c>
      <c r="X298" s="56" t="e">
        <f t="shared" si="98"/>
        <v>#DIV/0!</v>
      </c>
    </row>
    <row r="299" spans="1:24">
      <c r="A299" s="26"/>
      <c r="B299" s="27"/>
      <c r="C299" s="27"/>
      <c r="D299" s="27"/>
      <c r="E299" s="27"/>
      <c r="F299" s="27"/>
      <c r="G299" s="27"/>
      <c r="H299" s="27"/>
      <c r="I299" s="27"/>
      <c r="J299" s="27"/>
      <c r="K299" s="24" t="str">
        <f t="shared" si="99"/>
        <v/>
      </c>
      <c r="L299" s="24" t="str">
        <f t="shared" si="105"/>
        <v/>
      </c>
      <c r="M299" s="24" t="str">
        <f t="shared" si="100"/>
        <v/>
      </c>
      <c r="N299" s="24" t="str">
        <f t="shared" si="106"/>
        <v/>
      </c>
      <c r="O299" s="24" t="str">
        <f t="shared" si="101"/>
        <v/>
      </c>
      <c r="P299" s="24" t="str">
        <f t="shared" si="109"/>
        <v/>
      </c>
      <c r="Q299" s="24" t="str">
        <f t="shared" si="102"/>
        <v/>
      </c>
      <c r="R299" s="24" t="str">
        <f t="shared" si="107"/>
        <v/>
      </c>
      <c r="S299" s="108">
        <f t="shared" si="96"/>
        <v>0</v>
      </c>
      <c r="T299" s="28">
        <f t="shared" si="108"/>
        <v>0</v>
      </c>
      <c r="U299" s="28">
        <f t="shared" si="97"/>
        <v>0</v>
      </c>
      <c r="V299" s="36" t="e">
        <f t="shared" si="103"/>
        <v>#DIV/0!</v>
      </c>
      <c r="W299" s="36" t="e">
        <f t="shared" si="104"/>
        <v>#DIV/0!</v>
      </c>
      <c r="X299" s="56" t="e">
        <f t="shared" si="98"/>
        <v>#DIV/0!</v>
      </c>
    </row>
    <row r="300" spans="1:24">
      <c r="A300" s="26"/>
      <c r="B300" s="27"/>
      <c r="C300" s="27"/>
      <c r="D300" s="27"/>
      <c r="E300" s="27"/>
      <c r="F300" s="27"/>
      <c r="G300" s="27"/>
      <c r="H300" s="27"/>
      <c r="I300" s="27"/>
      <c r="J300" s="27"/>
      <c r="K300" s="24" t="str">
        <f t="shared" si="99"/>
        <v/>
      </c>
      <c r="L300" s="24" t="str">
        <f t="shared" si="105"/>
        <v/>
      </c>
      <c r="M300" s="24" t="str">
        <f t="shared" si="100"/>
        <v/>
      </c>
      <c r="N300" s="24" t="str">
        <f t="shared" si="106"/>
        <v/>
      </c>
      <c r="O300" s="24" t="str">
        <f t="shared" si="101"/>
        <v/>
      </c>
      <c r="P300" s="24" t="str">
        <f t="shared" si="109"/>
        <v/>
      </c>
      <c r="Q300" s="24" t="str">
        <f t="shared" si="102"/>
        <v/>
      </c>
      <c r="R300" s="24" t="str">
        <f t="shared" si="107"/>
        <v/>
      </c>
      <c r="S300" s="108">
        <f t="shared" si="96"/>
        <v>0</v>
      </c>
      <c r="T300" s="28">
        <f t="shared" si="108"/>
        <v>0</v>
      </c>
      <c r="U300" s="28">
        <f t="shared" si="97"/>
        <v>0</v>
      </c>
      <c r="V300" s="36" t="e">
        <f t="shared" si="103"/>
        <v>#DIV/0!</v>
      </c>
      <c r="W300" s="36" t="e">
        <f t="shared" si="104"/>
        <v>#DIV/0!</v>
      </c>
      <c r="X300" s="56" t="e">
        <f t="shared" si="98"/>
        <v>#DIV/0!</v>
      </c>
    </row>
    <row r="301" spans="1:24">
      <c r="A301" s="26"/>
      <c r="B301" s="27"/>
      <c r="C301" s="27"/>
      <c r="D301" s="27"/>
      <c r="E301" s="27"/>
      <c r="F301" s="27"/>
      <c r="G301" s="27"/>
      <c r="H301" s="27"/>
      <c r="I301" s="27"/>
      <c r="J301" s="27"/>
      <c r="K301" s="24" t="str">
        <f t="shared" si="99"/>
        <v/>
      </c>
      <c r="L301" s="24" t="str">
        <f t="shared" si="105"/>
        <v/>
      </c>
      <c r="M301" s="24" t="str">
        <f t="shared" si="100"/>
        <v/>
      </c>
      <c r="N301" s="24" t="str">
        <f t="shared" si="106"/>
        <v/>
      </c>
      <c r="O301" s="24" t="str">
        <f t="shared" si="101"/>
        <v/>
      </c>
      <c r="P301" s="24" t="str">
        <f t="shared" si="109"/>
        <v/>
      </c>
      <c r="Q301" s="24" t="str">
        <f t="shared" si="102"/>
        <v/>
      </c>
      <c r="R301" s="24" t="str">
        <f t="shared" si="107"/>
        <v/>
      </c>
      <c r="S301" s="108">
        <f t="shared" si="96"/>
        <v>0</v>
      </c>
      <c r="T301" s="28">
        <f t="shared" si="108"/>
        <v>0</v>
      </c>
      <c r="U301" s="28">
        <f t="shared" si="97"/>
        <v>0</v>
      </c>
      <c r="V301" s="36" t="e">
        <f t="shared" si="103"/>
        <v>#DIV/0!</v>
      </c>
      <c r="W301" s="36" t="e">
        <f t="shared" si="104"/>
        <v>#DIV/0!</v>
      </c>
      <c r="X301" s="56" t="e">
        <f t="shared" si="98"/>
        <v>#DIV/0!</v>
      </c>
    </row>
    <row r="302" spans="1:24">
      <c r="A302" s="26"/>
      <c r="B302" s="27"/>
      <c r="C302" s="27"/>
      <c r="D302" s="27"/>
      <c r="E302" s="27"/>
      <c r="F302" s="27"/>
      <c r="G302" s="27"/>
      <c r="H302" s="27"/>
      <c r="I302" s="27"/>
      <c r="J302" s="27"/>
      <c r="K302" s="24" t="str">
        <f t="shared" si="99"/>
        <v/>
      </c>
      <c r="L302" s="24" t="str">
        <f t="shared" si="105"/>
        <v/>
      </c>
      <c r="M302" s="24" t="str">
        <f t="shared" si="100"/>
        <v/>
      </c>
      <c r="N302" s="24" t="str">
        <f t="shared" si="106"/>
        <v/>
      </c>
      <c r="O302" s="24" t="str">
        <f t="shared" si="101"/>
        <v/>
      </c>
      <c r="P302" s="24" t="str">
        <f t="shared" si="109"/>
        <v/>
      </c>
      <c r="Q302" s="24" t="str">
        <f t="shared" si="102"/>
        <v/>
      </c>
      <c r="R302" s="24" t="str">
        <f t="shared" si="107"/>
        <v/>
      </c>
      <c r="S302" s="108">
        <f t="shared" si="96"/>
        <v>0</v>
      </c>
      <c r="T302" s="28">
        <f t="shared" si="108"/>
        <v>0</v>
      </c>
      <c r="U302" s="28">
        <f t="shared" si="97"/>
        <v>0</v>
      </c>
      <c r="V302" s="36" t="e">
        <f t="shared" si="103"/>
        <v>#DIV/0!</v>
      </c>
      <c r="W302" s="36" t="e">
        <f t="shared" si="104"/>
        <v>#DIV/0!</v>
      </c>
      <c r="X302" s="56" t="e">
        <f t="shared" si="98"/>
        <v>#DIV/0!</v>
      </c>
    </row>
    <row r="303" spans="1:24">
      <c r="A303" s="26"/>
      <c r="B303" s="27"/>
      <c r="C303" s="27"/>
      <c r="D303" s="27"/>
      <c r="E303" s="27"/>
      <c r="F303" s="27"/>
      <c r="G303" s="27"/>
      <c r="H303" s="27"/>
      <c r="I303" s="27"/>
      <c r="J303" s="27"/>
      <c r="K303" s="24" t="str">
        <f t="shared" si="99"/>
        <v/>
      </c>
      <c r="L303" s="24" t="str">
        <f t="shared" si="105"/>
        <v/>
      </c>
      <c r="M303" s="24" t="str">
        <f t="shared" si="100"/>
        <v/>
      </c>
      <c r="N303" s="24" t="str">
        <f t="shared" si="106"/>
        <v/>
      </c>
      <c r="O303" s="24" t="str">
        <f t="shared" si="101"/>
        <v/>
      </c>
      <c r="P303" s="24" t="str">
        <f t="shared" si="109"/>
        <v/>
      </c>
      <c r="Q303" s="24" t="str">
        <f t="shared" si="102"/>
        <v/>
      </c>
      <c r="R303" s="24" t="str">
        <f t="shared" si="107"/>
        <v/>
      </c>
      <c r="S303" s="108">
        <f t="shared" si="96"/>
        <v>0</v>
      </c>
      <c r="T303" s="28">
        <f t="shared" si="108"/>
        <v>0</v>
      </c>
      <c r="U303" s="28">
        <f t="shared" si="97"/>
        <v>0</v>
      </c>
      <c r="V303" s="36" t="e">
        <f t="shared" si="103"/>
        <v>#DIV/0!</v>
      </c>
      <c r="W303" s="36" t="e">
        <f t="shared" si="104"/>
        <v>#DIV/0!</v>
      </c>
      <c r="X303" s="56" t="e">
        <f t="shared" si="98"/>
        <v>#DIV/0!</v>
      </c>
    </row>
    <row r="304" spans="1:24">
      <c r="A304" s="26"/>
      <c r="B304" s="27"/>
      <c r="C304" s="27"/>
      <c r="D304" s="27"/>
      <c r="E304" s="27"/>
      <c r="F304" s="27"/>
      <c r="G304" s="27"/>
      <c r="H304" s="27"/>
      <c r="I304" s="27"/>
      <c r="J304" s="27"/>
      <c r="K304" s="24" t="str">
        <f t="shared" si="99"/>
        <v/>
      </c>
      <c r="L304" s="24" t="str">
        <f t="shared" si="105"/>
        <v/>
      </c>
      <c r="M304" s="24" t="str">
        <f t="shared" si="100"/>
        <v/>
      </c>
      <c r="N304" s="24" t="str">
        <f t="shared" si="106"/>
        <v/>
      </c>
      <c r="O304" s="24" t="str">
        <f t="shared" si="101"/>
        <v/>
      </c>
      <c r="P304" s="24" t="str">
        <f t="shared" si="109"/>
        <v/>
      </c>
      <c r="Q304" s="24" t="str">
        <f t="shared" si="102"/>
        <v/>
      </c>
      <c r="R304" s="24" t="str">
        <f t="shared" si="107"/>
        <v/>
      </c>
      <c r="S304" s="108">
        <f t="shared" si="96"/>
        <v>0</v>
      </c>
      <c r="T304" s="28">
        <f t="shared" si="108"/>
        <v>0</v>
      </c>
      <c r="U304" s="28">
        <f t="shared" si="97"/>
        <v>0</v>
      </c>
      <c r="V304" s="36" t="e">
        <f t="shared" si="103"/>
        <v>#DIV/0!</v>
      </c>
      <c r="W304" s="36" t="e">
        <f t="shared" si="104"/>
        <v>#DIV/0!</v>
      </c>
      <c r="X304" s="56" t="e">
        <f t="shared" si="98"/>
        <v>#DIV/0!</v>
      </c>
    </row>
    <row r="305" spans="1:24">
      <c r="A305" s="26"/>
      <c r="B305" s="27"/>
      <c r="C305" s="27"/>
      <c r="D305" s="27"/>
      <c r="E305" s="27"/>
      <c r="F305" s="27"/>
      <c r="G305" s="27"/>
      <c r="H305" s="27"/>
      <c r="I305" s="27"/>
      <c r="J305" s="27"/>
      <c r="K305" s="24" t="str">
        <f t="shared" si="99"/>
        <v/>
      </c>
      <c r="L305" s="24" t="str">
        <f t="shared" si="105"/>
        <v/>
      </c>
      <c r="M305" s="24" t="str">
        <f t="shared" si="100"/>
        <v/>
      </c>
      <c r="N305" s="24" t="str">
        <f t="shared" si="106"/>
        <v/>
      </c>
      <c r="O305" s="24" t="str">
        <f t="shared" si="101"/>
        <v/>
      </c>
      <c r="P305" s="24" t="str">
        <f t="shared" si="109"/>
        <v/>
      </c>
      <c r="Q305" s="24" t="str">
        <f t="shared" si="102"/>
        <v/>
      </c>
      <c r="R305" s="24" t="str">
        <f t="shared" si="107"/>
        <v/>
      </c>
      <c r="S305" s="108">
        <f t="shared" si="96"/>
        <v>0</v>
      </c>
      <c r="T305" s="28">
        <f t="shared" si="108"/>
        <v>0</v>
      </c>
      <c r="U305" s="28">
        <f t="shared" si="97"/>
        <v>0</v>
      </c>
      <c r="V305" s="36" t="e">
        <f t="shared" si="103"/>
        <v>#DIV/0!</v>
      </c>
      <c r="W305" s="36" t="e">
        <f t="shared" si="104"/>
        <v>#DIV/0!</v>
      </c>
      <c r="X305" s="56" t="e">
        <f t="shared" si="98"/>
        <v>#DIV/0!</v>
      </c>
    </row>
    <row r="306" spans="1:24">
      <c r="A306" s="26"/>
      <c r="B306" s="27"/>
      <c r="C306" s="27"/>
      <c r="D306" s="27"/>
      <c r="E306" s="27"/>
      <c r="F306" s="27"/>
      <c r="G306" s="27"/>
      <c r="H306" s="27"/>
      <c r="I306" s="27"/>
      <c r="J306" s="27"/>
      <c r="K306" s="24" t="str">
        <f t="shared" si="99"/>
        <v/>
      </c>
      <c r="L306" s="24" t="str">
        <f t="shared" si="105"/>
        <v/>
      </c>
      <c r="M306" s="24" t="str">
        <f t="shared" si="100"/>
        <v/>
      </c>
      <c r="N306" s="24" t="str">
        <f t="shared" si="106"/>
        <v/>
      </c>
      <c r="O306" s="24" t="str">
        <f t="shared" si="101"/>
        <v/>
      </c>
      <c r="P306" s="24" t="str">
        <f t="shared" si="109"/>
        <v/>
      </c>
      <c r="Q306" s="24" t="str">
        <f t="shared" si="102"/>
        <v/>
      </c>
      <c r="R306" s="24" t="str">
        <f t="shared" si="107"/>
        <v/>
      </c>
      <c r="S306" s="108">
        <f t="shared" si="96"/>
        <v>0</v>
      </c>
      <c r="T306" s="28">
        <f t="shared" si="108"/>
        <v>0</v>
      </c>
      <c r="U306" s="28">
        <f t="shared" si="97"/>
        <v>0</v>
      </c>
      <c r="V306" s="36" t="e">
        <f t="shared" si="103"/>
        <v>#DIV/0!</v>
      </c>
      <c r="W306" s="36" t="e">
        <f t="shared" si="104"/>
        <v>#DIV/0!</v>
      </c>
      <c r="X306" s="56" t="e">
        <f t="shared" si="98"/>
        <v>#DIV/0!</v>
      </c>
    </row>
    <row r="307" spans="1:24">
      <c r="A307" s="26"/>
      <c r="B307" s="27"/>
      <c r="C307" s="27"/>
      <c r="D307" s="27"/>
      <c r="E307" s="27"/>
      <c r="F307" s="27"/>
      <c r="G307" s="27"/>
      <c r="H307" s="27"/>
      <c r="I307" s="27"/>
      <c r="J307" s="27"/>
      <c r="K307" s="24" t="str">
        <f t="shared" si="99"/>
        <v/>
      </c>
      <c r="L307" s="24" t="str">
        <f t="shared" si="105"/>
        <v/>
      </c>
      <c r="M307" s="24" t="str">
        <f t="shared" si="100"/>
        <v/>
      </c>
      <c r="N307" s="24" t="str">
        <f t="shared" si="106"/>
        <v/>
      </c>
      <c r="O307" s="24" t="str">
        <f t="shared" si="101"/>
        <v/>
      </c>
      <c r="P307" s="24" t="str">
        <f t="shared" si="109"/>
        <v/>
      </c>
      <c r="Q307" s="24" t="str">
        <f t="shared" si="102"/>
        <v/>
      </c>
      <c r="R307" s="24" t="str">
        <f t="shared" si="107"/>
        <v/>
      </c>
      <c r="S307" s="108">
        <f t="shared" si="96"/>
        <v>0</v>
      </c>
      <c r="T307" s="28">
        <f t="shared" si="108"/>
        <v>0</v>
      </c>
      <c r="U307" s="28">
        <f t="shared" si="97"/>
        <v>0</v>
      </c>
      <c r="V307" s="36" t="e">
        <f t="shared" si="103"/>
        <v>#DIV/0!</v>
      </c>
      <c r="W307" s="36" t="e">
        <f t="shared" si="104"/>
        <v>#DIV/0!</v>
      </c>
      <c r="X307" s="56" t="e">
        <f t="shared" si="98"/>
        <v>#DIV/0!</v>
      </c>
    </row>
    <row r="308" spans="1:24">
      <c r="A308" s="26"/>
      <c r="B308" s="27"/>
      <c r="C308" s="27"/>
      <c r="D308" s="27"/>
      <c r="E308" s="27"/>
      <c r="F308" s="27"/>
      <c r="G308" s="27"/>
      <c r="H308" s="27"/>
      <c r="I308" s="27"/>
      <c r="J308" s="27"/>
      <c r="K308" s="24" t="str">
        <f t="shared" si="99"/>
        <v/>
      </c>
      <c r="L308" s="24" t="str">
        <f t="shared" si="105"/>
        <v/>
      </c>
      <c r="M308" s="24" t="str">
        <f t="shared" si="100"/>
        <v/>
      </c>
      <c r="N308" s="24" t="str">
        <f t="shared" si="106"/>
        <v/>
      </c>
      <c r="O308" s="24" t="str">
        <f t="shared" si="101"/>
        <v/>
      </c>
      <c r="P308" s="24" t="str">
        <f t="shared" si="109"/>
        <v/>
      </c>
      <c r="Q308" s="24" t="str">
        <f t="shared" si="102"/>
        <v/>
      </c>
      <c r="R308" s="24" t="str">
        <f t="shared" si="107"/>
        <v/>
      </c>
      <c r="S308" s="108">
        <f t="shared" si="96"/>
        <v>0</v>
      </c>
      <c r="T308" s="28">
        <f t="shared" si="108"/>
        <v>0</v>
      </c>
      <c r="U308" s="28">
        <f t="shared" si="97"/>
        <v>0</v>
      </c>
      <c r="V308" s="36" t="e">
        <f t="shared" si="103"/>
        <v>#DIV/0!</v>
      </c>
      <c r="W308" s="36" t="e">
        <f t="shared" si="104"/>
        <v>#DIV/0!</v>
      </c>
      <c r="X308" s="56" t="e">
        <f t="shared" si="98"/>
        <v>#DIV/0!</v>
      </c>
    </row>
    <row r="309" spans="1:24">
      <c r="A309" s="26"/>
      <c r="B309" s="27"/>
      <c r="C309" s="27"/>
      <c r="D309" s="27"/>
      <c r="E309" s="27"/>
      <c r="F309" s="27"/>
      <c r="G309" s="27"/>
      <c r="H309" s="27"/>
      <c r="I309" s="27"/>
      <c r="J309" s="27"/>
      <c r="K309" s="24" t="str">
        <f t="shared" si="99"/>
        <v/>
      </c>
      <c r="L309" s="24" t="str">
        <f t="shared" si="105"/>
        <v/>
      </c>
      <c r="M309" s="24" t="str">
        <f t="shared" si="100"/>
        <v/>
      </c>
      <c r="N309" s="24" t="str">
        <f t="shared" si="106"/>
        <v/>
      </c>
      <c r="O309" s="24" t="str">
        <f t="shared" si="101"/>
        <v/>
      </c>
      <c r="P309" s="24" t="str">
        <f t="shared" si="109"/>
        <v/>
      </c>
      <c r="Q309" s="24" t="str">
        <f t="shared" si="102"/>
        <v/>
      </c>
      <c r="R309" s="24" t="str">
        <f t="shared" si="107"/>
        <v/>
      </c>
      <c r="S309" s="108">
        <f t="shared" si="96"/>
        <v>0</v>
      </c>
      <c r="T309" s="28">
        <f t="shared" si="108"/>
        <v>0</v>
      </c>
      <c r="U309" s="28">
        <f t="shared" si="97"/>
        <v>0</v>
      </c>
      <c r="V309" s="36" t="e">
        <f t="shared" si="103"/>
        <v>#DIV/0!</v>
      </c>
      <c r="W309" s="36" t="e">
        <f t="shared" si="104"/>
        <v>#DIV/0!</v>
      </c>
      <c r="X309" s="56" t="e">
        <f t="shared" si="98"/>
        <v>#DIV/0!</v>
      </c>
    </row>
    <row r="310" spans="1:24">
      <c r="A310" s="26"/>
      <c r="B310" s="27"/>
      <c r="C310" s="27"/>
      <c r="D310" s="27"/>
      <c r="E310" s="27"/>
      <c r="F310" s="27"/>
      <c r="G310" s="27"/>
      <c r="H310" s="27"/>
      <c r="I310" s="27"/>
      <c r="J310" s="27"/>
      <c r="K310" s="24" t="str">
        <f t="shared" si="99"/>
        <v/>
      </c>
      <c r="L310" s="24" t="str">
        <f t="shared" si="105"/>
        <v/>
      </c>
      <c r="M310" s="24" t="str">
        <f t="shared" si="100"/>
        <v/>
      </c>
      <c r="N310" s="24" t="str">
        <f t="shared" si="106"/>
        <v/>
      </c>
      <c r="O310" s="24" t="str">
        <f t="shared" si="101"/>
        <v/>
      </c>
      <c r="P310" s="24" t="str">
        <f t="shared" si="109"/>
        <v/>
      </c>
      <c r="Q310" s="24" t="str">
        <f t="shared" si="102"/>
        <v/>
      </c>
      <c r="R310" s="24" t="str">
        <f t="shared" si="107"/>
        <v/>
      </c>
      <c r="S310" s="108">
        <f t="shared" ref="S310:S373" si="110">B310*0.1</f>
        <v>0</v>
      </c>
      <c r="T310" s="28">
        <f t="shared" si="108"/>
        <v>0</v>
      </c>
      <c r="U310" s="28">
        <f t="shared" si="97"/>
        <v>0</v>
      </c>
      <c r="V310" s="36" t="e">
        <f t="shared" si="103"/>
        <v>#DIV/0!</v>
      </c>
      <c r="W310" s="36" t="e">
        <f t="shared" si="104"/>
        <v>#DIV/0!</v>
      </c>
      <c r="X310" s="56" t="e">
        <f t="shared" si="98"/>
        <v>#DIV/0!</v>
      </c>
    </row>
    <row r="311" spans="1:24">
      <c r="A311" s="26"/>
      <c r="B311" s="27"/>
      <c r="C311" s="27"/>
      <c r="D311" s="27"/>
      <c r="E311" s="27"/>
      <c r="F311" s="27"/>
      <c r="G311" s="27"/>
      <c r="H311" s="27"/>
      <c r="I311" s="27"/>
      <c r="J311" s="27"/>
      <c r="K311" s="24" t="str">
        <f t="shared" si="99"/>
        <v/>
      </c>
      <c r="L311" s="24" t="str">
        <f t="shared" si="105"/>
        <v/>
      </c>
      <c r="M311" s="24" t="str">
        <f t="shared" si="100"/>
        <v/>
      </c>
      <c r="N311" s="24" t="str">
        <f t="shared" si="106"/>
        <v/>
      </c>
      <c r="O311" s="24" t="str">
        <f t="shared" si="101"/>
        <v/>
      </c>
      <c r="P311" s="24" t="str">
        <f t="shared" si="109"/>
        <v/>
      </c>
      <c r="Q311" s="24" t="str">
        <f t="shared" si="102"/>
        <v/>
      </c>
      <c r="R311" s="24" t="str">
        <f t="shared" si="107"/>
        <v/>
      </c>
      <c r="S311" s="108">
        <f t="shared" si="110"/>
        <v>0</v>
      </c>
      <c r="T311" s="28">
        <f t="shared" si="108"/>
        <v>0</v>
      </c>
      <c r="U311" s="28">
        <f t="shared" si="97"/>
        <v>0</v>
      </c>
      <c r="V311" s="36" t="e">
        <f t="shared" si="103"/>
        <v>#DIV/0!</v>
      </c>
      <c r="W311" s="36" t="e">
        <f t="shared" si="104"/>
        <v>#DIV/0!</v>
      </c>
      <c r="X311" s="56" t="e">
        <f t="shared" si="98"/>
        <v>#DIV/0!</v>
      </c>
    </row>
    <row r="312" spans="1:24">
      <c r="A312" s="26"/>
      <c r="B312" s="27"/>
      <c r="C312" s="27"/>
      <c r="D312" s="27"/>
      <c r="E312" s="27"/>
      <c r="F312" s="27"/>
      <c r="G312" s="27"/>
      <c r="H312" s="27"/>
      <c r="I312" s="27"/>
      <c r="J312" s="27"/>
      <c r="K312" s="24" t="str">
        <f t="shared" si="99"/>
        <v/>
      </c>
      <c r="L312" s="24" t="str">
        <f t="shared" si="105"/>
        <v/>
      </c>
      <c r="M312" s="24" t="str">
        <f t="shared" si="100"/>
        <v/>
      </c>
      <c r="N312" s="24" t="str">
        <f t="shared" si="106"/>
        <v/>
      </c>
      <c r="O312" s="24" t="str">
        <f t="shared" si="101"/>
        <v/>
      </c>
      <c r="P312" s="24" t="str">
        <f t="shared" si="109"/>
        <v/>
      </c>
      <c r="Q312" s="24" t="str">
        <f t="shared" si="102"/>
        <v/>
      </c>
      <c r="R312" s="24" t="str">
        <f t="shared" si="107"/>
        <v/>
      </c>
      <c r="S312" s="108">
        <f t="shared" si="110"/>
        <v>0</v>
      </c>
      <c r="T312" s="28">
        <f t="shared" si="108"/>
        <v>0</v>
      </c>
      <c r="U312" s="28">
        <f t="shared" si="97"/>
        <v>0</v>
      </c>
      <c r="V312" s="36" t="e">
        <f t="shared" si="103"/>
        <v>#DIV/0!</v>
      </c>
      <c r="W312" s="36" t="e">
        <f t="shared" si="104"/>
        <v>#DIV/0!</v>
      </c>
      <c r="X312" s="56" t="e">
        <f t="shared" si="98"/>
        <v>#DIV/0!</v>
      </c>
    </row>
    <row r="313" spans="1:24">
      <c r="A313" s="26"/>
      <c r="B313" s="27"/>
      <c r="C313" s="27"/>
      <c r="D313" s="27"/>
      <c r="E313" s="27"/>
      <c r="F313" s="27"/>
      <c r="G313" s="27"/>
      <c r="H313" s="27"/>
      <c r="I313" s="27"/>
      <c r="J313" s="27"/>
      <c r="K313" s="24" t="str">
        <f t="shared" si="99"/>
        <v/>
      </c>
      <c r="L313" s="24" t="str">
        <f t="shared" si="105"/>
        <v/>
      </c>
      <c r="M313" s="24" t="str">
        <f t="shared" si="100"/>
        <v/>
      </c>
      <c r="N313" s="24" t="str">
        <f t="shared" si="106"/>
        <v/>
      </c>
      <c r="O313" s="24" t="str">
        <f t="shared" si="101"/>
        <v/>
      </c>
      <c r="P313" s="24" t="str">
        <f t="shared" si="109"/>
        <v/>
      </c>
      <c r="Q313" s="24" t="str">
        <f t="shared" si="102"/>
        <v/>
      </c>
      <c r="R313" s="24" t="str">
        <f t="shared" si="107"/>
        <v/>
      </c>
      <c r="S313" s="108">
        <f t="shared" si="110"/>
        <v>0</v>
      </c>
      <c r="T313" s="28">
        <f t="shared" si="108"/>
        <v>0</v>
      </c>
      <c r="U313" s="28">
        <f t="shared" si="97"/>
        <v>0</v>
      </c>
      <c r="V313" s="36" t="e">
        <f t="shared" si="103"/>
        <v>#DIV/0!</v>
      </c>
      <c r="W313" s="36" t="e">
        <f t="shared" si="104"/>
        <v>#DIV/0!</v>
      </c>
      <c r="X313" s="56" t="e">
        <f t="shared" si="98"/>
        <v>#DIV/0!</v>
      </c>
    </row>
    <row r="314" spans="1:24">
      <c r="A314" s="26"/>
      <c r="B314" s="27"/>
      <c r="C314" s="27"/>
      <c r="D314" s="27"/>
      <c r="E314" s="27"/>
      <c r="F314" s="27"/>
      <c r="G314" s="27"/>
      <c r="H314" s="27"/>
      <c r="I314" s="27"/>
      <c r="J314" s="27"/>
      <c r="K314" s="24" t="str">
        <f t="shared" si="99"/>
        <v/>
      </c>
      <c r="L314" s="24" t="str">
        <f t="shared" si="105"/>
        <v/>
      </c>
      <c r="M314" s="24" t="str">
        <f t="shared" si="100"/>
        <v/>
      </c>
      <c r="N314" s="24" t="str">
        <f t="shared" si="106"/>
        <v/>
      </c>
      <c r="O314" s="24" t="str">
        <f t="shared" si="101"/>
        <v/>
      </c>
      <c r="P314" s="24" t="str">
        <f t="shared" si="109"/>
        <v/>
      </c>
      <c r="Q314" s="24" t="str">
        <f t="shared" si="102"/>
        <v/>
      </c>
      <c r="R314" s="24" t="str">
        <f t="shared" si="107"/>
        <v/>
      </c>
      <c r="S314" s="108">
        <f t="shared" si="110"/>
        <v>0</v>
      </c>
      <c r="T314" s="28">
        <f t="shared" si="108"/>
        <v>0</v>
      </c>
      <c r="U314" s="28">
        <f t="shared" si="97"/>
        <v>0</v>
      </c>
      <c r="V314" s="36" t="e">
        <f t="shared" si="103"/>
        <v>#DIV/0!</v>
      </c>
      <c r="W314" s="36" t="e">
        <f t="shared" si="104"/>
        <v>#DIV/0!</v>
      </c>
      <c r="X314" s="56" t="e">
        <f t="shared" si="98"/>
        <v>#DIV/0!</v>
      </c>
    </row>
    <row r="315" spans="1:24">
      <c r="A315" s="26"/>
      <c r="B315" s="27"/>
      <c r="C315" s="27"/>
      <c r="D315" s="27"/>
      <c r="E315" s="27"/>
      <c r="F315" s="27"/>
      <c r="G315" s="27"/>
      <c r="H315" s="27"/>
      <c r="I315" s="27"/>
      <c r="J315" s="27"/>
      <c r="K315" s="24" t="str">
        <f t="shared" si="99"/>
        <v/>
      </c>
      <c r="L315" s="24" t="str">
        <f t="shared" si="105"/>
        <v/>
      </c>
      <c r="M315" s="24" t="str">
        <f t="shared" si="100"/>
        <v/>
      </c>
      <c r="N315" s="24" t="str">
        <f t="shared" si="106"/>
        <v/>
      </c>
      <c r="O315" s="24" t="str">
        <f t="shared" si="101"/>
        <v/>
      </c>
      <c r="P315" s="24" t="str">
        <f t="shared" si="109"/>
        <v/>
      </c>
      <c r="Q315" s="24" t="str">
        <f t="shared" si="102"/>
        <v/>
      </c>
      <c r="R315" s="24" t="str">
        <f t="shared" si="107"/>
        <v/>
      </c>
      <c r="S315" s="108">
        <f t="shared" si="110"/>
        <v>0</v>
      </c>
      <c r="T315" s="28">
        <f t="shared" si="108"/>
        <v>0</v>
      </c>
      <c r="U315" s="28">
        <f t="shared" si="97"/>
        <v>0</v>
      </c>
      <c r="V315" s="36" t="e">
        <f t="shared" si="103"/>
        <v>#DIV/0!</v>
      </c>
      <c r="W315" s="36" t="e">
        <f t="shared" si="104"/>
        <v>#DIV/0!</v>
      </c>
      <c r="X315" s="56" t="e">
        <f t="shared" si="98"/>
        <v>#DIV/0!</v>
      </c>
    </row>
    <row r="316" spans="1:24">
      <c r="A316" s="26"/>
      <c r="B316" s="27"/>
      <c r="C316" s="27"/>
      <c r="D316" s="27"/>
      <c r="E316" s="27"/>
      <c r="F316" s="27"/>
      <c r="G316" s="27"/>
      <c r="H316" s="27"/>
      <c r="I316" s="27"/>
      <c r="J316" s="27"/>
      <c r="K316" s="24" t="str">
        <f t="shared" si="99"/>
        <v/>
      </c>
      <c r="L316" s="24" t="str">
        <f t="shared" si="105"/>
        <v/>
      </c>
      <c r="M316" s="24" t="str">
        <f t="shared" si="100"/>
        <v/>
      </c>
      <c r="N316" s="24" t="str">
        <f t="shared" si="106"/>
        <v/>
      </c>
      <c r="O316" s="24" t="str">
        <f t="shared" si="101"/>
        <v/>
      </c>
      <c r="P316" s="24" t="str">
        <f t="shared" si="109"/>
        <v/>
      </c>
      <c r="Q316" s="24" t="str">
        <f t="shared" si="102"/>
        <v/>
      </c>
      <c r="R316" s="24" t="str">
        <f t="shared" si="107"/>
        <v/>
      </c>
      <c r="S316" s="108">
        <f t="shared" si="110"/>
        <v>0</v>
      </c>
      <c r="T316" s="28">
        <f t="shared" si="108"/>
        <v>0</v>
      </c>
      <c r="U316" s="28">
        <f t="shared" si="97"/>
        <v>0</v>
      </c>
      <c r="V316" s="36" t="e">
        <f t="shared" si="103"/>
        <v>#DIV/0!</v>
      </c>
      <c r="W316" s="36" t="e">
        <f t="shared" si="104"/>
        <v>#DIV/0!</v>
      </c>
      <c r="X316" s="56" t="e">
        <f t="shared" si="98"/>
        <v>#DIV/0!</v>
      </c>
    </row>
    <row r="317" spans="1:24">
      <c r="A317" s="26"/>
      <c r="B317" s="27"/>
      <c r="C317" s="27"/>
      <c r="D317" s="27"/>
      <c r="E317" s="27"/>
      <c r="F317" s="27"/>
      <c r="G317" s="27"/>
      <c r="H317" s="27"/>
      <c r="I317" s="27"/>
      <c r="J317" s="27"/>
      <c r="K317" s="24" t="str">
        <f t="shared" si="99"/>
        <v/>
      </c>
      <c r="L317" s="24" t="str">
        <f t="shared" si="105"/>
        <v/>
      </c>
      <c r="M317" s="24" t="str">
        <f t="shared" si="100"/>
        <v/>
      </c>
      <c r="N317" s="24" t="str">
        <f t="shared" si="106"/>
        <v/>
      </c>
      <c r="O317" s="24" t="str">
        <f t="shared" si="101"/>
        <v/>
      </c>
      <c r="P317" s="24" t="str">
        <f t="shared" si="109"/>
        <v/>
      </c>
      <c r="Q317" s="24" t="str">
        <f t="shared" si="102"/>
        <v/>
      </c>
      <c r="R317" s="24" t="str">
        <f t="shared" si="107"/>
        <v/>
      </c>
      <c r="S317" s="108">
        <f t="shared" si="110"/>
        <v>0</v>
      </c>
      <c r="T317" s="28">
        <f t="shared" si="108"/>
        <v>0</v>
      </c>
      <c r="U317" s="28">
        <f t="shared" si="97"/>
        <v>0</v>
      </c>
      <c r="V317" s="36" t="e">
        <f t="shared" si="103"/>
        <v>#DIV/0!</v>
      </c>
      <c r="W317" s="36" t="e">
        <f t="shared" si="104"/>
        <v>#DIV/0!</v>
      </c>
      <c r="X317" s="56" t="e">
        <f t="shared" si="98"/>
        <v>#DIV/0!</v>
      </c>
    </row>
    <row r="318" spans="1:24">
      <c r="A318" s="26"/>
      <c r="B318" s="27"/>
      <c r="C318" s="27"/>
      <c r="D318" s="27"/>
      <c r="E318" s="27"/>
      <c r="F318" s="27"/>
      <c r="G318" s="27"/>
      <c r="H318" s="27"/>
      <c r="I318" s="27"/>
      <c r="J318" s="27"/>
      <c r="K318" s="24" t="str">
        <f t="shared" si="99"/>
        <v/>
      </c>
      <c r="L318" s="24" t="str">
        <f t="shared" si="105"/>
        <v/>
      </c>
      <c r="M318" s="24" t="str">
        <f t="shared" si="100"/>
        <v/>
      </c>
      <c r="N318" s="24" t="str">
        <f t="shared" si="106"/>
        <v/>
      </c>
      <c r="O318" s="24" t="str">
        <f t="shared" si="101"/>
        <v/>
      </c>
      <c r="P318" s="24" t="str">
        <f t="shared" si="109"/>
        <v/>
      </c>
      <c r="Q318" s="24" t="str">
        <f t="shared" si="102"/>
        <v/>
      </c>
      <c r="R318" s="24" t="str">
        <f t="shared" si="107"/>
        <v/>
      </c>
      <c r="S318" s="108">
        <f t="shared" si="110"/>
        <v>0</v>
      </c>
      <c r="T318" s="28">
        <f t="shared" si="108"/>
        <v>0</v>
      </c>
      <c r="U318" s="28">
        <f t="shared" si="97"/>
        <v>0</v>
      </c>
      <c r="V318" s="36" t="e">
        <f t="shared" si="103"/>
        <v>#DIV/0!</v>
      </c>
      <c r="W318" s="36" t="e">
        <f t="shared" si="104"/>
        <v>#DIV/0!</v>
      </c>
      <c r="X318" s="56" t="e">
        <f t="shared" si="98"/>
        <v>#DIV/0!</v>
      </c>
    </row>
    <row r="319" spans="1:24">
      <c r="A319" s="26"/>
      <c r="B319" s="27"/>
      <c r="C319" s="27"/>
      <c r="D319" s="27"/>
      <c r="E319" s="27"/>
      <c r="F319" s="27"/>
      <c r="G319" s="27"/>
      <c r="H319" s="27"/>
      <c r="I319" s="27"/>
      <c r="J319" s="27"/>
      <c r="K319" s="24" t="str">
        <f t="shared" si="99"/>
        <v/>
      </c>
      <c r="L319" s="24" t="str">
        <f t="shared" si="105"/>
        <v/>
      </c>
      <c r="M319" s="24" t="str">
        <f t="shared" si="100"/>
        <v/>
      </c>
      <c r="N319" s="24" t="str">
        <f t="shared" si="106"/>
        <v/>
      </c>
      <c r="O319" s="24" t="str">
        <f t="shared" si="101"/>
        <v/>
      </c>
      <c r="P319" s="24" t="str">
        <f t="shared" si="109"/>
        <v/>
      </c>
      <c r="Q319" s="24" t="str">
        <f t="shared" si="102"/>
        <v/>
      </c>
      <c r="R319" s="24" t="str">
        <f t="shared" si="107"/>
        <v/>
      </c>
      <c r="S319" s="108">
        <f t="shared" si="110"/>
        <v>0</v>
      </c>
      <c r="T319" s="28">
        <f t="shared" si="108"/>
        <v>0</v>
      </c>
      <c r="U319" s="28">
        <f t="shared" si="97"/>
        <v>0</v>
      </c>
      <c r="V319" s="36" t="e">
        <f t="shared" si="103"/>
        <v>#DIV/0!</v>
      </c>
      <c r="W319" s="36" t="e">
        <f t="shared" si="104"/>
        <v>#DIV/0!</v>
      </c>
      <c r="X319" s="56" t="e">
        <f t="shared" si="98"/>
        <v>#DIV/0!</v>
      </c>
    </row>
    <row r="320" spans="1:24">
      <c r="A320" s="26"/>
      <c r="B320" s="27"/>
      <c r="C320" s="27"/>
      <c r="D320" s="27"/>
      <c r="E320" s="27"/>
      <c r="F320" s="27"/>
      <c r="G320" s="27"/>
      <c r="H320" s="27"/>
      <c r="I320" s="27"/>
      <c r="J320" s="27"/>
      <c r="K320" s="24" t="str">
        <f t="shared" si="99"/>
        <v/>
      </c>
      <c r="L320" s="24" t="str">
        <f t="shared" si="105"/>
        <v/>
      </c>
      <c r="M320" s="24" t="str">
        <f t="shared" si="100"/>
        <v/>
      </c>
      <c r="N320" s="24" t="str">
        <f t="shared" si="106"/>
        <v/>
      </c>
      <c r="O320" s="24" t="str">
        <f t="shared" si="101"/>
        <v/>
      </c>
      <c r="P320" s="24" t="str">
        <f t="shared" si="109"/>
        <v/>
      </c>
      <c r="Q320" s="24" t="str">
        <f t="shared" si="102"/>
        <v/>
      </c>
      <c r="R320" s="24" t="str">
        <f t="shared" si="107"/>
        <v/>
      </c>
      <c r="S320" s="108">
        <f t="shared" si="110"/>
        <v>0</v>
      </c>
      <c r="T320" s="28">
        <f t="shared" si="108"/>
        <v>0</v>
      </c>
      <c r="U320" s="28">
        <f t="shared" si="97"/>
        <v>0</v>
      </c>
      <c r="V320" s="36" t="e">
        <f t="shared" si="103"/>
        <v>#DIV/0!</v>
      </c>
      <c r="W320" s="36" t="e">
        <f t="shared" si="104"/>
        <v>#DIV/0!</v>
      </c>
      <c r="X320" s="56" t="e">
        <f t="shared" si="98"/>
        <v>#DIV/0!</v>
      </c>
    </row>
    <row r="321" spans="1:24">
      <c r="A321" s="26"/>
      <c r="B321" s="27"/>
      <c r="C321" s="27"/>
      <c r="D321" s="27"/>
      <c r="E321" s="27"/>
      <c r="F321" s="27"/>
      <c r="G321" s="27"/>
      <c r="H321" s="27"/>
      <c r="I321" s="27"/>
      <c r="J321" s="27"/>
      <c r="K321" s="24" t="str">
        <f t="shared" si="99"/>
        <v/>
      </c>
      <c r="L321" s="24" t="str">
        <f t="shared" si="105"/>
        <v/>
      </c>
      <c r="M321" s="24" t="str">
        <f t="shared" si="100"/>
        <v/>
      </c>
      <c r="N321" s="24" t="str">
        <f t="shared" si="106"/>
        <v/>
      </c>
      <c r="O321" s="24" t="str">
        <f t="shared" si="101"/>
        <v/>
      </c>
      <c r="P321" s="24" t="str">
        <f t="shared" si="109"/>
        <v/>
      </c>
      <c r="Q321" s="24" t="str">
        <f t="shared" si="102"/>
        <v/>
      </c>
      <c r="R321" s="24" t="str">
        <f t="shared" si="107"/>
        <v/>
      </c>
      <c r="S321" s="108">
        <f t="shared" si="110"/>
        <v>0</v>
      </c>
      <c r="T321" s="28">
        <f t="shared" si="108"/>
        <v>0</v>
      </c>
      <c r="U321" s="28">
        <f t="shared" si="97"/>
        <v>0</v>
      </c>
      <c r="V321" s="36" t="e">
        <f t="shared" si="103"/>
        <v>#DIV/0!</v>
      </c>
      <c r="W321" s="36" t="e">
        <f t="shared" si="104"/>
        <v>#DIV/0!</v>
      </c>
      <c r="X321" s="56" t="e">
        <f t="shared" si="98"/>
        <v>#DIV/0!</v>
      </c>
    </row>
    <row r="322" spans="1:24">
      <c r="A322" s="26"/>
      <c r="B322" s="27"/>
      <c r="C322" s="27"/>
      <c r="D322" s="27"/>
      <c r="E322" s="27"/>
      <c r="F322" s="27"/>
      <c r="G322" s="27"/>
      <c r="H322" s="27"/>
      <c r="I322" s="27"/>
      <c r="J322" s="27"/>
      <c r="K322" s="24" t="str">
        <f t="shared" si="99"/>
        <v/>
      </c>
      <c r="L322" s="24" t="str">
        <f t="shared" si="105"/>
        <v/>
      </c>
      <c r="M322" s="24" t="str">
        <f t="shared" si="100"/>
        <v/>
      </c>
      <c r="N322" s="24" t="str">
        <f t="shared" si="106"/>
        <v/>
      </c>
      <c r="O322" s="24" t="str">
        <f t="shared" si="101"/>
        <v/>
      </c>
      <c r="P322" s="24" t="str">
        <f t="shared" si="109"/>
        <v/>
      </c>
      <c r="Q322" s="24" t="str">
        <f t="shared" si="102"/>
        <v/>
      </c>
      <c r="R322" s="24" t="str">
        <f t="shared" si="107"/>
        <v/>
      </c>
      <c r="S322" s="108">
        <f t="shared" si="110"/>
        <v>0</v>
      </c>
      <c r="T322" s="28">
        <f t="shared" si="108"/>
        <v>0</v>
      </c>
      <c r="U322" s="28">
        <f t="shared" si="97"/>
        <v>0</v>
      </c>
      <c r="V322" s="36" t="e">
        <f t="shared" si="103"/>
        <v>#DIV/0!</v>
      </c>
      <c r="W322" s="36" t="e">
        <f t="shared" si="104"/>
        <v>#DIV/0!</v>
      </c>
      <c r="X322" s="56" t="e">
        <f t="shared" si="98"/>
        <v>#DIV/0!</v>
      </c>
    </row>
    <row r="323" spans="1:24">
      <c r="A323" s="26"/>
      <c r="B323" s="27"/>
      <c r="C323" s="27"/>
      <c r="D323" s="27"/>
      <c r="E323" s="27"/>
      <c r="F323" s="27"/>
      <c r="G323" s="27"/>
      <c r="H323" s="27"/>
      <c r="I323" s="27"/>
      <c r="J323" s="27"/>
      <c r="K323" s="24" t="str">
        <f t="shared" si="99"/>
        <v/>
      </c>
      <c r="L323" s="24" t="str">
        <f t="shared" si="105"/>
        <v/>
      </c>
      <c r="M323" s="24" t="str">
        <f t="shared" si="100"/>
        <v/>
      </c>
      <c r="N323" s="24" t="str">
        <f t="shared" si="106"/>
        <v/>
      </c>
      <c r="O323" s="24" t="str">
        <f t="shared" si="101"/>
        <v/>
      </c>
      <c r="P323" s="24" t="str">
        <f t="shared" si="109"/>
        <v/>
      </c>
      <c r="Q323" s="24" t="str">
        <f t="shared" si="102"/>
        <v/>
      </c>
      <c r="R323" s="24" t="str">
        <f t="shared" si="107"/>
        <v/>
      </c>
      <c r="S323" s="108">
        <f t="shared" si="110"/>
        <v>0</v>
      </c>
      <c r="T323" s="28">
        <f t="shared" si="108"/>
        <v>0</v>
      </c>
      <c r="U323" s="28">
        <f t="shared" si="97"/>
        <v>0</v>
      </c>
      <c r="V323" s="36" t="e">
        <f t="shared" si="103"/>
        <v>#DIV/0!</v>
      </c>
      <c r="W323" s="36" t="e">
        <f t="shared" si="104"/>
        <v>#DIV/0!</v>
      </c>
      <c r="X323" s="56" t="e">
        <f t="shared" si="98"/>
        <v>#DIV/0!</v>
      </c>
    </row>
    <row r="324" spans="1:24">
      <c r="A324" s="26"/>
      <c r="B324" s="27"/>
      <c r="C324" s="27"/>
      <c r="D324" s="27"/>
      <c r="E324" s="27"/>
      <c r="F324" s="27"/>
      <c r="G324" s="27"/>
      <c r="H324" s="27"/>
      <c r="I324" s="27"/>
      <c r="J324" s="27"/>
      <c r="K324" s="24" t="str">
        <f t="shared" si="99"/>
        <v/>
      </c>
      <c r="L324" s="24" t="str">
        <f t="shared" si="105"/>
        <v/>
      </c>
      <c r="M324" s="24" t="str">
        <f t="shared" si="100"/>
        <v/>
      </c>
      <c r="N324" s="24" t="str">
        <f t="shared" si="106"/>
        <v/>
      </c>
      <c r="O324" s="24" t="str">
        <f t="shared" si="101"/>
        <v/>
      </c>
      <c r="P324" s="24" t="str">
        <f t="shared" si="109"/>
        <v/>
      </c>
      <c r="Q324" s="24" t="str">
        <f t="shared" si="102"/>
        <v/>
      </c>
      <c r="R324" s="24" t="str">
        <f t="shared" si="107"/>
        <v/>
      </c>
      <c r="S324" s="108">
        <f t="shared" si="110"/>
        <v>0</v>
      </c>
      <c r="T324" s="28">
        <f t="shared" si="108"/>
        <v>0</v>
      </c>
      <c r="U324" s="28">
        <f t="shared" si="97"/>
        <v>0</v>
      </c>
      <c r="V324" s="36" t="e">
        <f t="shared" si="103"/>
        <v>#DIV/0!</v>
      </c>
      <c r="W324" s="36" t="e">
        <f t="shared" si="104"/>
        <v>#DIV/0!</v>
      </c>
      <c r="X324" s="56" t="e">
        <f t="shared" si="98"/>
        <v>#DIV/0!</v>
      </c>
    </row>
    <row r="325" spans="1:24">
      <c r="A325" s="26"/>
      <c r="B325" s="27"/>
      <c r="C325" s="27"/>
      <c r="D325" s="27"/>
      <c r="E325" s="27"/>
      <c r="F325" s="27"/>
      <c r="G325" s="27"/>
      <c r="H325" s="27"/>
      <c r="I325" s="27"/>
      <c r="J325" s="27"/>
      <c r="K325" s="24" t="str">
        <f t="shared" si="99"/>
        <v/>
      </c>
      <c r="L325" s="24" t="str">
        <f t="shared" si="105"/>
        <v/>
      </c>
      <c r="M325" s="24" t="str">
        <f t="shared" si="100"/>
        <v/>
      </c>
      <c r="N325" s="24" t="str">
        <f t="shared" si="106"/>
        <v/>
      </c>
      <c r="O325" s="24" t="str">
        <f t="shared" si="101"/>
        <v/>
      </c>
      <c r="P325" s="24" t="str">
        <f t="shared" si="109"/>
        <v/>
      </c>
      <c r="Q325" s="24" t="str">
        <f t="shared" si="102"/>
        <v/>
      </c>
      <c r="R325" s="24" t="str">
        <f t="shared" si="107"/>
        <v/>
      </c>
      <c r="S325" s="108">
        <f t="shared" si="110"/>
        <v>0</v>
      </c>
      <c r="T325" s="28">
        <f t="shared" si="108"/>
        <v>0</v>
      </c>
      <c r="U325" s="28">
        <f t="shared" si="97"/>
        <v>0</v>
      </c>
      <c r="V325" s="36" t="e">
        <f t="shared" si="103"/>
        <v>#DIV/0!</v>
      </c>
      <c r="W325" s="36" t="e">
        <f t="shared" si="104"/>
        <v>#DIV/0!</v>
      </c>
      <c r="X325" s="56" t="e">
        <f t="shared" si="98"/>
        <v>#DIV/0!</v>
      </c>
    </row>
    <row r="326" spans="1:24">
      <c r="A326" s="26"/>
      <c r="B326" s="27"/>
      <c r="C326" s="27"/>
      <c r="D326" s="27"/>
      <c r="E326" s="27"/>
      <c r="F326" s="27"/>
      <c r="G326" s="27"/>
      <c r="H326" s="27"/>
      <c r="I326" s="27"/>
      <c r="J326" s="27"/>
      <c r="K326" s="24" t="str">
        <f t="shared" si="99"/>
        <v/>
      </c>
      <c r="L326" s="24" t="str">
        <f t="shared" si="105"/>
        <v/>
      </c>
      <c r="M326" s="24" t="str">
        <f t="shared" si="100"/>
        <v/>
      </c>
      <c r="N326" s="24" t="str">
        <f t="shared" si="106"/>
        <v/>
      </c>
      <c r="O326" s="24" t="str">
        <f t="shared" si="101"/>
        <v/>
      </c>
      <c r="P326" s="24" t="str">
        <f t="shared" si="109"/>
        <v/>
      </c>
      <c r="Q326" s="24" t="str">
        <f t="shared" si="102"/>
        <v/>
      </c>
      <c r="R326" s="24" t="str">
        <f t="shared" si="107"/>
        <v/>
      </c>
      <c r="S326" s="108">
        <f t="shared" si="110"/>
        <v>0</v>
      </c>
      <c r="T326" s="28">
        <f t="shared" si="108"/>
        <v>0</v>
      </c>
      <c r="U326" s="28">
        <f t="shared" si="97"/>
        <v>0</v>
      </c>
      <c r="V326" s="36" t="e">
        <f t="shared" si="103"/>
        <v>#DIV/0!</v>
      </c>
      <c r="W326" s="36" t="e">
        <f t="shared" si="104"/>
        <v>#DIV/0!</v>
      </c>
      <c r="X326" s="56" t="e">
        <f t="shared" si="98"/>
        <v>#DIV/0!</v>
      </c>
    </row>
    <row r="327" spans="1:24">
      <c r="A327" s="26"/>
      <c r="B327" s="27"/>
      <c r="C327" s="27"/>
      <c r="D327" s="27"/>
      <c r="E327" s="27"/>
      <c r="F327" s="27"/>
      <c r="G327" s="27"/>
      <c r="H327" s="27"/>
      <c r="I327" s="27"/>
      <c r="J327" s="27"/>
      <c r="K327" s="24" t="str">
        <f t="shared" si="99"/>
        <v/>
      </c>
      <c r="L327" s="24" t="str">
        <f t="shared" si="105"/>
        <v/>
      </c>
      <c r="M327" s="24" t="str">
        <f t="shared" si="100"/>
        <v/>
      </c>
      <c r="N327" s="24" t="str">
        <f t="shared" si="106"/>
        <v/>
      </c>
      <c r="O327" s="24" t="str">
        <f t="shared" si="101"/>
        <v/>
      </c>
      <c r="P327" s="24" t="str">
        <f t="shared" si="109"/>
        <v/>
      </c>
      <c r="Q327" s="24" t="str">
        <f t="shared" si="102"/>
        <v/>
      </c>
      <c r="R327" s="24" t="str">
        <f t="shared" si="107"/>
        <v/>
      </c>
      <c r="S327" s="108">
        <f t="shared" si="110"/>
        <v>0</v>
      </c>
      <c r="T327" s="28">
        <f t="shared" si="108"/>
        <v>0</v>
      </c>
      <c r="U327" s="28">
        <f t="shared" si="97"/>
        <v>0</v>
      </c>
      <c r="V327" s="36" t="e">
        <f t="shared" si="103"/>
        <v>#DIV/0!</v>
      </c>
      <c r="W327" s="36" t="e">
        <f t="shared" si="104"/>
        <v>#DIV/0!</v>
      </c>
      <c r="X327" s="56" t="e">
        <f t="shared" si="98"/>
        <v>#DIV/0!</v>
      </c>
    </row>
    <row r="328" spans="1:24">
      <c r="A328" s="26"/>
      <c r="B328" s="27"/>
      <c r="C328" s="27"/>
      <c r="D328" s="27"/>
      <c r="E328" s="27"/>
      <c r="F328" s="27"/>
      <c r="G328" s="27"/>
      <c r="H328" s="27"/>
      <c r="I328" s="27"/>
      <c r="J328" s="27"/>
      <c r="K328" s="24" t="str">
        <f t="shared" si="99"/>
        <v/>
      </c>
      <c r="L328" s="24" t="str">
        <f t="shared" si="105"/>
        <v/>
      </c>
      <c r="M328" s="24" t="str">
        <f t="shared" si="100"/>
        <v/>
      </c>
      <c r="N328" s="24" t="str">
        <f t="shared" si="106"/>
        <v/>
      </c>
      <c r="O328" s="24" t="str">
        <f t="shared" si="101"/>
        <v/>
      </c>
      <c r="P328" s="24" t="str">
        <f t="shared" si="109"/>
        <v/>
      </c>
      <c r="Q328" s="24" t="str">
        <f t="shared" si="102"/>
        <v/>
      </c>
      <c r="R328" s="24" t="str">
        <f t="shared" si="107"/>
        <v/>
      </c>
      <c r="S328" s="108">
        <f t="shared" si="110"/>
        <v>0</v>
      </c>
      <c r="T328" s="28">
        <f t="shared" si="108"/>
        <v>0</v>
      </c>
      <c r="U328" s="28">
        <f t="shared" si="97"/>
        <v>0</v>
      </c>
      <c r="V328" s="36" t="e">
        <f t="shared" si="103"/>
        <v>#DIV/0!</v>
      </c>
      <c r="W328" s="36" t="e">
        <f t="shared" si="104"/>
        <v>#DIV/0!</v>
      </c>
      <c r="X328" s="56" t="e">
        <f t="shared" si="98"/>
        <v>#DIV/0!</v>
      </c>
    </row>
    <row r="329" spans="1:24">
      <c r="A329" s="26"/>
      <c r="B329" s="27"/>
      <c r="C329" s="27"/>
      <c r="D329" s="27"/>
      <c r="E329" s="27"/>
      <c r="F329" s="27"/>
      <c r="G329" s="27"/>
      <c r="H329" s="27"/>
      <c r="I329" s="27"/>
      <c r="J329" s="27"/>
      <c r="K329" s="24" t="str">
        <f t="shared" si="99"/>
        <v/>
      </c>
      <c r="L329" s="24" t="str">
        <f t="shared" si="105"/>
        <v/>
      </c>
      <c r="M329" s="24" t="str">
        <f t="shared" si="100"/>
        <v/>
      </c>
      <c r="N329" s="24" t="str">
        <f t="shared" si="106"/>
        <v/>
      </c>
      <c r="O329" s="24" t="str">
        <f t="shared" si="101"/>
        <v/>
      </c>
      <c r="P329" s="24" t="str">
        <f t="shared" si="109"/>
        <v/>
      </c>
      <c r="Q329" s="24" t="str">
        <f t="shared" si="102"/>
        <v/>
      </c>
      <c r="R329" s="24" t="str">
        <f t="shared" si="107"/>
        <v/>
      </c>
      <c r="S329" s="108">
        <f t="shared" si="110"/>
        <v>0</v>
      </c>
      <c r="T329" s="28">
        <f t="shared" si="108"/>
        <v>0</v>
      </c>
      <c r="U329" s="28">
        <f t="shared" si="97"/>
        <v>0</v>
      </c>
      <c r="V329" s="36" t="e">
        <f t="shared" si="103"/>
        <v>#DIV/0!</v>
      </c>
      <c r="W329" s="36" t="e">
        <f t="shared" si="104"/>
        <v>#DIV/0!</v>
      </c>
      <c r="X329" s="56" t="e">
        <f t="shared" si="98"/>
        <v>#DIV/0!</v>
      </c>
    </row>
    <row r="330" spans="1:24">
      <c r="A330" s="26"/>
      <c r="B330" s="27"/>
      <c r="C330" s="27"/>
      <c r="D330" s="27"/>
      <c r="E330" s="27"/>
      <c r="F330" s="27"/>
      <c r="G330" s="27"/>
      <c r="H330" s="27"/>
      <c r="I330" s="27"/>
      <c r="J330" s="27"/>
      <c r="K330" s="24" t="str">
        <f t="shared" si="99"/>
        <v/>
      </c>
      <c r="L330" s="24" t="str">
        <f t="shared" si="105"/>
        <v/>
      </c>
      <c r="M330" s="24" t="str">
        <f t="shared" si="100"/>
        <v/>
      </c>
      <c r="N330" s="24" t="str">
        <f t="shared" si="106"/>
        <v/>
      </c>
      <c r="O330" s="24" t="str">
        <f t="shared" si="101"/>
        <v/>
      </c>
      <c r="P330" s="24" t="str">
        <f t="shared" si="109"/>
        <v/>
      </c>
      <c r="Q330" s="24" t="str">
        <f t="shared" si="102"/>
        <v/>
      </c>
      <c r="R330" s="24" t="str">
        <f t="shared" si="107"/>
        <v/>
      </c>
      <c r="S330" s="108">
        <f t="shared" si="110"/>
        <v>0</v>
      </c>
      <c r="T330" s="28">
        <f t="shared" si="108"/>
        <v>0</v>
      </c>
      <c r="U330" s="28">
        <f t="shared" si="97"/>
        <v>0</v>
      </c>
      <c r="V330" s="36" t="e">
        <f t="shared" si="103"/>
        <v>#DIV/0!</v>
      </c>
      <c r="W330" s="36" t="e">
        <f t="shared" si="104"/>
        <v>#DIV/0!</v>
      </c>
      <c r="X330" s="56" t="e">
        <f t="shared" si="98"/>
        <v>#DIV/0!</v>
      </c>
    </row>
    <row r="331" spans="1:24">
      <c r="A331" s="26"/>
      <c r="B331" s="27"/>
      <c r="C331" s="27"/>
      <c r="D331" s="27"/>
      <c r="E331" s="27"/>
      <c r="F331" s="27"/>
      <c r="G331" s="27"/>
      <c r="H331" s="27"/>
      <c r="I331" s="27"/>
      <c r="J331" s="27"/>
      <c r="K331" s="24" t="str">
        <f t="shared" si="99"/>
        <v/>
      </c>
      <c r="L331" s="24" t="str">
        <f t="shared" si="105"/>
        <v/>
      </c>
      <c r="M331" s="24" t="str">
        <f t="shared" si="100"/>
        <v/>
      </c>
      <c r="N331" s="24" t="str">
        <f t="shared" si="106"/>
        <v/>
      </c>
      <c r="O331" s="24" t="str">
        <f t="shared" si="101"/>
        <v/>
      </c>
      <c r="P331" s="24" t="str">
        <f t="shared" si="109"/>
        <v/>
      </c>
      <c r="Q331" s="24" t="str">
        <f t="shared" si="102"/>
        <v/>
      </c>
      <c r="R331" s="24" t="str">
        <f t="shared" si="107"/>
        <v/>
      </c>
      <c r="S331" s="108">
        <f t="shared" si="110"/>
        <v>0</v>
      </c>
      <c r="T331" s="28">
        <f t="shared" si="108"/>
        <v>0</v>
      </c>
      <c r="U331" s="28">
        <f t="shared" si="97"/>
        <v>0</v>
      </c>
      <c r="V331" s="36" t="e">
        <f t="shared" si="103"/>
        <v>#DIV/0!</v>
      </c>
      <c r="W331" s="36" t="e">
        <f t="shared" si="104"/>
        <v>#DIV/0!</v>
      </c>
      <c r="X331" s="56" t="e">
        <f t="shared" si="98"/>
        <v>#DIV/0!</v>
      </c>
    </row>
    <row r="332" spans="1:24">
      <c r="A332" s="26"/>
      <c r="B332" s="27"/>
      <c r="C332" s="27"/>
      <c r="D332" s="27"/>
      <c r="E332" s="27"/>
      <c r="F332" s="27"/>
      <c r="G332" s="27"/>
      <c r="H332" s="27"/>
      <c r="I332" s="27"/>
      <c r="J332" s="27"/>
      <c r="K332" s="24" t="str">
        <f t="shared" si="99"/>
        <v/>
      </c>
      <c r="L332" s="24" t="str">
        <f t="shared" si="105"/>
        <v/>
      </c>
      <c r="M332" s="24" t="str">
        <f t="shared" si="100"/>
        <v/>
      </c>
      <c r="N332" s="24" t="str">
        <f t="shared" si="106"/>
        <v/>
      </c>
      <c r="O332" s="24" t="str">
        <f t="shared" si="101"/>
        <v/>
      </c>
      <c r="P332" s="24" t="str">
        <f t="shared" si="109"/>
        <v/>
      </c>
      <c r="Q332" s="24" t="str">
        <f t="shared" si="102"/>
        <v/>
      </c>
      <c r="R332" s="24" t="str">
        <f t="shared" si="107"/>
        <v/>
      </c>
      <c r="S332" s="108">
        <f t="shared" si="110"/>
        <v>0</v>
      </c>
      <c r="T332" s="28">
        <f t="shared" si="108"/>
        <v>0</v>
      </c>
      <c r="U332" s="28">
        <f t="shared" si="97"/>
        <v>0</v>
      </c>
      <c r="V332" s="36" t="e">
        <f t="shared" si="103"/>
        <v>#DIV/0!</v>
      </c>
      <c r="W332" s="36" t="e">
        <f t="shared" si="104"/>
        <v>#DIV/0!</v>
      </c>
      <c r="X332" s="56" t="e">
        <f t="shared" si="98"/>
        <v>#DIV/0!</v>
      </c>
    </row>
    <row r="333" spans="1:24">
      <c r="A333" s="26"/>
      <c r="B333" s="27"/>
      <c r="C333" s="27"/>
      <c r="D333" s="27"/>
      <c r="E333" s="27"/>
      <c r="F333" s="27"/>
      <c r="G333" s="27"/>
      <c r="H333" s="27"/>
      <c r="I333" s="27"/>
      <c r="J333" s="27"/>
      <c r="K333" s="24" t="str">
        <f t="shared" si="99"/>
        <v/>
      </c>
      <c r="L333" s="24" t="str">
        <f t="shared" si="105"/>
        <v/>
      </c>
      <c r="M333" s="24" t="str">
        <f t="shared" si="100"/>
        <v/>
      </c>
      <c r="N333" s="24" t="str">
        <f t="shared" si="106"/>
        <v/>
      </c>
      <c r="O333" s="24" t="str">
        <f t="shared" si="101"/>
        <v/>
      </c>
      <c r="P333" s="24" t="str">
        <f t="shared" si="109"/>
        <v/>
      </c>
      <c r="Q333" s="24" t="str">
        <f t="shared" si="102"/>
        <v/>
      </c>
      <c r="R333" s="24" t="str">
        <f t="shared" si="107"/>
        <v/>
      </c>
      <c r="S333" s="108">
        <f t="shared" si="110"/>
        <v>0</v>
      </c>
      <c r="T333" s="28">
        <f t="shared" si="108"/>
        <v>0</v>
      </c>
      <c r="U333" s="28">
        <f t="shared" si="97"/>
        <v>0</v>
      </c>
      <c r="V333" s="36" t="e">
        <f t="shared" si="103"/>
        <v>#DIV/0!</v>
      </c>
      <c r="W333" s="36" t="e">
        <f t="shared" si="104"/>
        <v>#DIV/0!</v>
      </c>
      <c r="X333" s="56" t="e">
        <f t="shared" si="98"/>
        <v>#DIV/0!</v>
      </c>
    </row>
    <row r="334" spans="1:24">
      <c r="A334" s="26"/>
      <c r="B334" s="27"/>
      <c r="C334" s="27"/>
      <c r="D334" s="27"/>
      <c r="E334" s="27"/>
      <c r="F334" s="27"/>
      <c r="G334" s="27"/>
      <c r="H334" s="27"/>
      <c r="I334" s="27"/>
      <c r="J334" s="27"/>
      <c r="K334" s="24" t="str">
        <f t="shared" si="99"/>
        <v/>
      </c>
      <c r="L334" s="24" t="str">
        <f t="shared" si="105"/>
        <v/>
      </c>
      <c r="M334" s="24" t="str">
        <f t="shared" si="100"/>
        <v/>
      </c>
      <c r="N334" s="24" t="str">
        <f t="shared" si="106"/>
        <v/>
      </c>
      <c r="O334" s="24" t="str">
        <f t="shared" si="101"/>
        <v/>
      </c>
      <c r="P334" s="24" t="str">
        <f t="shared" si="109"/>
        <v/>
      </c>
      <c r="Q334" s="24" t="str">
        <f t="shared" si="102"/>
        <v/>
      </c>
      <c r="R334" s="24" t="str">
        <f t="shared" si="107"/>
        <v/>
      </c>
      <c r="S334" s="108">
        <f t="shared" si="110"/>
        <v>0</v>
      </c>
      <c r="T334" s="28">
        <f t="shared" si="108"/>
        <v>0</v>
      </c>
      <c r="U334" s="28">
        <f t="shared" si="97"/>
        <v>0</v>
      </c>
      <c r="V334" s="36" t="e">
        <f t="shared" si="103"/>
        <v>#DIV/0!</v>
      </c>
      <c r="W334" s="36" t="e">
        <f t="shared" si="104"/>
        <v>#DIV/0!</v>
      </c>
      <c r="X334" s="56" t="e">
        <f t="shared" si="98"/>
        <v>#DIV/0!</v>
      </c>
    </row>
    <row r="335" spans="1:24">
      <c r="A335" s="26"/>
      <c r="B335" s="27"/>
      <c r="C335" s="27"/>
      <c r="D335" s="27"/>
      <c r="E335" s="27"/>
      <c r="F335" s="27"/>
      <c r="G335" s="27"/>
      <c r="H335" s="27"/>
      <c r="I335" s="27"/>
      <c r="J335" s="27"/>
      <c r="K335" s="24" t="str">
        <f t="shared" si="99"/>
        <v/>
      </c>
      <c r="L335" s="24" t="str">
        <f t="shared" si="105"/>
        <v/>
      </c>
      <c r="M335" s="24" t="str">
        <f t="shared" si="100"/>
        <v/>
      </c>
      <c r="N335" s="24" t="str">
        <f t="shared" si="106"/>
        <v/>
      </c>
      <c r="O335" s="24" t="str">
        <f t="shared" si="101"/>
        <v/>
      </c>
      <c r="P335" s="24" t="str">
        <f t="shared" si="109"/>
        <v/>
      </c>
      <c r="Q335" s="24" t="str">
        <f t="shared" si="102"/>
        <v/>
      </c>
      <c r="R335" s="24" t="str">
        <f t="shared" si="107"/>
        <v/>
      </c>
      <c r="S335" s="108">
        <f t="shared" si="110"/>
        <v>0</v>
      </c>
      <c r="T335" s="28">
        <f t="shared" si="108"/>
        <v>0</v>
      </c>
      <c r="U335" s="28">
        <f t="shared" si="97"/>
        <v>0</v>
      </c>
      <c r="V335" s="36" t="e">
        <f t="shared" si="103"/>
        <v>#DIV/0!</v>
      </c>
      <c r="W335" s="36" t="e">
        <f t="shared" si="104"/>
        <v>#DIV/0!</v>
      </c>
      <c r="X335" s="56" t="e">
        <f t="shared" si="98"/>
        <v>#DIV/0!</v>
      </c>
    </row>
    <row r="336" spans="1:24">
      <c r="A336" s="26"/>
      <c r="B336" s="27"/>
      <c r="C336" s="27"/>
      <c r="D336" s="27"/>
      <c r="E336" s="27"/>
      <c r="F336" s="27"/>
      <c r="G336" s="27"/>
      <c r="H336" s="27"/>
      <c r="I336" s="27"/>
      <c r="J336" s="27"/>
      <c r="K336" s="24" t="str">
        <f t="shared" si="99"/>
        <v/>
      </c>
      <c r="L336" s="24" t="str">
        <f t="shared" si="105"/>
        <v/>
      </c>
      <c r="M336" s="24" t="str">
        <f t="shared" si="100"/>
        <v/>
      </c>
      <c r="N336" s="24" t="str">
        <f t="shared" si="106"/>
        <v/>
      </c>
      <c r="O336" s="24" t="str">
        <f t="shared" si="101"/>
        <v/>
      </c>
      <c r="P336" s="24" t="str">
        <f t="shared" si="109"/>
        <v/>
      </c>
      <c r="Q336" s="24" t="str">
        <f t="shared" si="102"/>
        <v/>
      </c>
      <c r="R336" s="24" t="str">
        <f t="shared" si="107"/>
        <v/>
      </c>
      <c r="S336" s="108">
        <f t="shared" si="110"/>
        <v>0</v>
      </c>
      <c r="T336" s="28">
        <f t="shared" si="108"/>
        <v>0</v>
      </c>
      <c r="U336" s="28">
        <f t="shared" si="97"/>
        <v>0</v>
      </c>
      <c r="V336" s="36" t="e">
        <f t="shared" si="103"/>
        <v>#DIV/0!</v>
      </c>
      <c r="W336" s="36" t="e">
        <f t="shared" si="104"/>
        <v>#DIV/0!</v>
      </c>
      <c r="X336" s="56" t="e">
        <f t="shared" si="98"/>
        <v>#DIV/0!</v>
      </c>
    </row>
    <row r="337" spans="1:24">
      <c r="A337" s="26"/>
      <c r="B337" s="27"/>
      <c r="C337" s="27"/>
      <c r="D337" s="27"/>
      <c r="E337" s="27"/>
      <c r="F337" s="27"/>
      <c r="G337" s="27"/>
      <c r="H337" s="27"/>
      <c r="I337" s="27"/>
      <c r="J337" s="27"/>
      <c r="K337" s="24" t="str">
        <f t="shared" si="99"/>
        <v/>
      </c>
      <c r="L337" s="24" t="str">
        <f t="shared" si="105"/>
        <v/>
      </c>
      <c r="M337" s="24" t="str">
        <f t="shared" si="100"/>
        <v/>
      </c>
      <c r="N337" s="24" t="str">
        <f t="shared" si="106"/>
        <v/>
      </c>
      <c r="O337" s="24" t="str">
        <f t="shared" si="101"/>
        <v/>
      </c>
      <c r="P337" s="24" t="str">
        <f t="shared" si="109"/>
        <v/>
      </c>
      <c r="Q337" s="24" t="str">
        <f t="shared" si="102"/>
        <v/>
      </c>
      <c r="R337" s="24" t="str">
        <f t="shared" si="107"/>
        <v/>
      </c>
      <c r="S337" s="108">
        <f t="shared" si="110"/>
        <v>0</v>
      </c>
      <c r="T337" s="28">
        <f t="shared" si="108"/>
        <v>0</v>
      </c>
      <c r="U337" s="28">
        <f t="shared" si="97"/>
        <v>0</v>
      </c>
      <c r="V337" s="36" t="e">
        <f t="shared" si="103"/>
        <v>#DIV/0!</v>
      </c>
      <c r="W337" s="36" t="e">
        <f t="shared" si="104"/>
        <v>#DIV/0!</v>
      </c>
      <c r="X337" s="56" t="e">
        <f t="shared" si="98"/>
        <v>#DIV/0!</v>
      </c>
    </row>
    <row r="338" spans="1:24">
      <c r="A338" s="26"/>
      <c r="B338" s="27"/>
      <c r="C338" s="27"/>
      <c r="D338" s="27"/>
      <c r="E338" s="27"/>
      <c r="F338" s="27"/>
      <c r="G338" s="27"/>
      <c r="H338" s="27"/>
      <c r="I338" s="27"/>
      <c r="J338" s="27"/>
      <c r="K338" s="24" t="str">
        <f t="shared" si="99"/>
        <v/>
      </c>
      <c r="L338" s="24" t="str">
        <f t="shared" si="105"/>
        <v/>
      </c>
      <c r="M338" s="24" t="str">
        <f t="shared" si="100"/>
        <v/>
      </c>
      <c r="N338" s="24" t="str">
        <f t="shared" si="106"/>
        <v/>
      </c>
      <c r="O338" s="24" t="str">
        <f t="shared" si="101"/>
        <v/>
      </c>
      <c r="P338" s="24" t="str">
        <f t="shared" si="109"/>
        <v/>
      </c>
      <c r="Q338" s="24" t="str">
        <f t="shared" si="102"/>
        <v/>
      </c>
      <c r="R338" s="24" t="str">
        <f t="shared" si="107"/>
        <v/>
      </c>
      <c r="S338" s="108">
        <f t="shared" si="110"/>
        <v>0</v>
      </c>
      <c r="T338" s="28">
        <f t="shared" si="108"/>
        <v>0</v>
      </c>
      <c r="U338" s="28">
        <f t="shared" si="97"/>
        <v>0</v>
      </c>
      <c r="V338" s="36" t="e">
        <f t="shared" si="103"/>
        <v>#DIV/0!</v>
      </c>
      <c r="W338" s="36" t="e">
        <f t="shared" si="104"/>
        <v>#DIV/0!</v>
      </c>
      <c r="X338" s="56" t="e">
        <f t="shared" si="98"/>
        <v>#DIV/0!</v>
      </c>
    </row>
    <row r="339" spans="1:24">
      <c r="A339" s="26"/>
      <c r="B339" s="27"/>
      <c r="C339" s="27"/>
      <c r="D339" s="27"/>
      <c r="E339" s="27"/>
      <c r="F339" s="27"/>
      <c r="G339" s="27"/>
      <c r="H339" s="27"/>
      <c r="I339" s="27"/>
      <c r="J339" s="27"/>
      <c r="K339" s="24" t="str">
        <f t="shared" si="99"/>
        <v/>
      </c>
      <c r="L339" s="24" t="str">
        <f t="shared" si="105"/>
        <v/>
      </c>
      <c r="M339" s="24" t="str">
        <f t="shared" si="100"/>
        <v/>
      </c>
      <c r="N339" s="24" t="str">
        <f t="shared" si="106"/>
        <v/>
      </c>
      <c r="O339" s="24" t="str">
        <f t="shared" si="101"/>
        <v/>
      </c>
      <c r="P339" s="24" t="str">
        <f t="shared" si="109"/>
        <v/>
      </c>
      <c r="Q339" s="24" t="str">
        <f t="shared" si="102"/>
        <v/>
      </c>
      <c r="R339" s="24" t="str">
        <f t="shared" si="107"/>
        <v/>
      </c>
      <c r="S339" s="108">
        <f t="shared" si="110"/>
        <v>0</v>
      </c>
      <c r="T339" s="28">
        <f t="shared" si="108"/>
        <v>0</v>
      </c>
      <c r="U339" s="28">
        <f t="shared" si="97"/>
        <v>0</v>
      </c>
      <c r="V339" s="36" t="e">
        <f t="shared" si="103"/>
        <v>#DIV/0!</v>
      </c>
      <c r="W339" s="36" t="e">
        <f t="shared" si="104"/>
        <v>#DIV/0!</v>
      </c>
      <c r="X339" s="56" t="e">
        <f t="shared" si="98"/>
        <v>#DIV/0!</v>
      </c>
    </row>
    <row r="340" spans="1:24">
      <c r="A340" s="26"/>
      <c r="B340" s="27"/>
      <c r="C340" s="27"/>
      <c r="D340" s="27"/>
      <c r="E340" s="27"/>
      <c r="F340" s="27"/>
      <c r="G340" s="27"/>
      <c r="H340" s="27"/>
      <c r="I340" s="27"/>
      <c r="J340" s="27"/>
      <c r="K340" s="24" t="str">
        <f t="shared" si="99"/>
        <v/>
      </c>
      <c r="L340" s="24" t="str">
        <f t="shared" si="105"/>
        <v/>
      </c>
      <c r="M340" s="24" t="str">
        <f t="shared" si="100"/>
        <v/>
      </c>
      <c r="N340" s="24" t="str">
        <f t="shared" si="106"/>
        <v/>
      </c>
      <c r="O340" s="24" t="str">
        <f t="shared" si="101"/>
        <v/>
      </c>
      <c r="P340" s="24" t="str">
        <f t="shared" si="109"/>
        <v/>
      </c>
      <c r="Q340" s="24" t="str">
        <f t="shared" si="102"/>
        <v/>
      </c>
      <c r="R340" s="24" t="str">
        <f t="shared" si="107"/>
        <v/>
      </c>
      <c r="S340" s="108">
        <f t="shared" si="110"/>
        <v>0</v>
      </c>
      <c r="T340" s="28">
        <f t="shared" si="108"/>
        <v>0</v>
      </c>
      <c r="U340" s="28">
        <f t="shared" si="97"/>
        <v>0</v>
      </c>
      <c r="V340" s="36" t="e">
        <f t="shared" si="103"/>
        <v>#DIV/0!</v>
      </c>
      <c r="W340" s="36" t="e">
        <f t="shared" si="104"/>
        <v>#DIV/0!</v>
      </c>
      <c r="X340" s="56" t="e">
        <f t="shared" si="98"/>
        <v>#DIV/0!</v>
      </c>
    </row>
    <row r="341" spans="1:24">
      <c r="A341" s="26"/>
      <c r="B341" s="27"/>
      <c r="C341" s="27"/>
      <c r="D341" s="27"/>
      <c r="E341" s="27"/>
      <c r="F341" s="27"/>
      <c r="G341" s="27"/>
      <c r="H341" s="27"/>
      <c r="I341" s="27"/>
      <c r="J341" s="27"/>
      <c r="K341" s="24" t="str">
        <f t="shared" si="99"/>
        <v/>
      </c>
      <c r="L341" s="24" t="str">
        <f t="shared" si="105"/>
        <v/>
      </c>
      <c r="M341" s="24" t="str">
        <f t="shared" si="100"/>
        <v/>
      </c>
      <c r="N341" s="24" t="str">
        <f t="shared" si="106"/>
        <v/>
      </c>
      <c r="O341" s="24" t="str">
        <f t="shared" si="101"/>
        <v/>
      </c>
      <c r="P341" s="24" t="str">
        <f t="shared" si="109"/>
        <v/>
      </c>
      <c r="Q341" s="24" t="str">
        <f t="shared" si="102"/>
        <v/>
      </c>
      <c r="R341" s="24" t="str">
        <f t="shared" si="107"/>
        <v/>
      </c>
      <c r="S341" s="108">
        <f t="shared" si="110"/>
        <v>0</v>
      </c>
      <c r="T341" s="28">
        <f t="shared" si="108"/>
        <v>0</v>
      </c>
      <c r="U341" s="28">
        <f t="shared" si="97"/>
        <v>0</v>
      </c>
      <c r="V341" s="36" t="e">
        <f t="shared" si="103"/>
        <v>#DIV/0!</v>
      </c>
      <c r="W341" s="36" t="e">
        <f t="shared" si="104"/>
        <v>#DIV/0!</v>
      </c>
      <c r="X341" s="56" t="e">
        <f t="shared" si="98"/>
        <v>#DIV/0!</v>
      </c>
    </row>
    <row r="342" spans="1:24">
      <c r="A342" s="26"/>
      <c r="B342" s="27"/>
      <c r="C342" s="27"/>
      <c r="D342" s="27"/>
      <c r="E342" s="27"/>
      <c r="F342" s="27"/>
      <c r="G342" s="27"/>
      <c r="H342" s="27"/>
      <c r="I342" s="27"/>
      <c r="J342" s="27"/>
      <c r="K342" s="24" t="str">
        <f t="shared" si="99"/>
        <v/>
      </c>
      <c r="L342" s="24" t="str">
        <f t="shared" si="105"/>
        <v/>
      </c>
      <c r="M342" s="24" t="str">
        <f t="shared" si="100"/>
        <v/>
      </c>
      <c r="N342" s="24" t="str">
        <f t="shared" si="106"/>
        <v/>
      </c>
      <c r="O342" s="24" t="str">
        <f t="shared" si="101"/>
        <v/>
      </c>
      <c r="P342" s="24" t="str">
        <f t="shared" si="109"/>
        <v/>
      </c>
      <c r="Q342" s="24" t="str">
        <f t="shared" si="102"/>
        <v/>
      </c>
      <c r="R342" s="24" t="str">
        <f t="shared" si="107"/>
        <v/>
      </c>
      <c r="S342" s="108">
        <f t="shared" si="110"/>
        <v>0</v>
      </c>
      <c r="T342" s="28">
        <f t="shared" si="108"/>
        <v>0</v>
      </c>
      <c r="U342" s="28">
        <f t="shared" si="97"/>
        <v>0</v>
      </c>
      <c r="V342" s="36" t="e">
        <f t="shared" si="103"/>
        <v>#DIV/0!</v>
      </c>
      <c r="W342" s="36" t="e">
        <f t="shared" si="104"/>
        <v>#DIV/0!</v>
      </c>
      <c r="X342" s="56" t="e">
        <f t="shared" si="98"/>
        <v>#DIV/0!</v>
      </c>
    </row>
    <row r="343" spans="1:24">
      <c r="A343" s="26"/>
      <c r="B343" s="27"/>
      <c r="C343" s="27"/>
      <c r="D343" s="27"/>
      <c r="E343" s="27"/>
      <c r="F343" s="27"/>
      <c r="G343" s="27"/>
      <c r="H343" s="27"/>
      <c r="I343" s="27"/>
      <c r="J343" s="27"/>
      <c r="K343" s="24" t="str">
        <f t="shared" si="99"/>
        <v/>
      </c>
      <c r="L343" s="24" t="str">
        <f t="shared" si="105"/>
        <v/>
      </c>
      <c r="M343" s="24" t="str">
        <f t="shared" si="100"/>
        <v/>
      </c>
      <c r="N343" s="24" t="str">
        <f t="shared" si="106"/>
        <v/>
      </c>
      <c r="O343" s="24" t="str">
        <f t="shared" si="101"/>
        <v/>
      </c>
      <c r="P343" s="24" t="str">
        <f t="shared" si="109"/>
        <v/>
      </c>
      <c r="Q343" s="24" t="str">
        <f t="shared" si="102"/>
        <v/>
      </c>
      <c r="R343" s="24" t="str">
        <f t="shared" si="107"/>
        <v/>
      </c>
      <c r="S343" s="108">
        <f t="shared" si="110"/>
        <v>0</v>
      </c>
      <c r="T343" s="28">
        <f t="shared" si="108"/>
        <v>0</v>
      </c>
      <c r="U343" s="28">
        <f t="shared" si="97"/>
        <v>0</v>
      </c>
      <c r="V343" s="36" t="e">
        <f t="shared" si="103"/>
        <v>#DIV/0!</v>
      </c>
      <c r="W343" s="36" t="e">
        <f t="shared" si="104"/>
        <v>#DIV/0!</v>
      </c>
      <c r="X343" s="56" t="e">
        <f t="shared" si="98"/>
        <v>#DIV/0!</v>
      </c>
    </row>
    <row r="344" spans="1:24">
      <c r="A344" s="26"/>
      <c r="B344" s="27"/>
      <c r="C344" s="27"/>
      <c r="D344" s="27"/>
      <c r="E344" s="27"/>
      <c r="F344" s="27"/>
      <c r="G344" s="27"/>
      <c r="H344" s="27"/>
      <c r="I344" s="27"/>
      <c r="J344" s="27"/>
      <c r="K344" s="24" t="str">
        <f t="shared" si="99"/>
        <v/>
      </c>
      <c r="L344" s="24" t="str">
        <f t="shared" si="105"/>
        <v/>
      </c>
      <c r="M344" s="24" t="str">
        <f t="shared" si="100"/>
        <v/>
      </c>
      <c r="N344" s="24" t="str">
        <f t="shared" si="106"/>
        <v/>
      </c>
      <c r="O344" s="24" t="str">
        <f t="shared" si="101"/>
        <v/>
      </c>
      <c r="P344" s="24" t="str">
        <f t="shared" si="109"/>
        <v/>
      </c>
      <c r="Q344" s="24" t="str">
        <f t="shared" si="102"/>
        <v/>
      </c>
      <c r="R344" s="24" t="str">
        <f t="shared" si="107"/>
        <v/>
      </c>
      <c r="S344" s="108">
        <f t="shared" si="110"/>
        <v>0</v>
      </c>
      <c r="T344" s="28">
        <f t="shared" si="108"/>
        <v>0</v>
      </c>
      <c r="U344" s="28">
        <f t="shared" si="97"/>
        <v>0</v>
      </c>
      <c r="V344" s="36" t="e">
        <f t="shared" si="103"/>
        <v>#DIV/0!</v>
      </c>
      <c r="W344" s="36" t="e">
        <f t="shared" si="104"/>
        <v>#DIV/0!</v>
      </c>
      <c r="X344" s="56" t="e">
        <f t="shared" si="98"/>
        <v>#DIV/0!</v>
      </c>
    </row>
    <row r="345" spans="1:24">
      <c r="A345" s="26"/>
      <c r="B345" s="27"/>
      <c r="C345" s="27"/>
      <c r="D345" s="27"/>
      <c r="E345" s="27"/>
      <c r="F345" s="27"/>
      <c r="G345" s="27"/>
      <c r="H345" s="27"/>
      <c r="I345" s="27"/>
      <c r="J345" s="27"/>
      <c r="K345" s="24" t="str">
        <f t="shared" si="99"/>
        <v/>
      </c>
      <c r="L345" s="24" t="str">
        <f t="shared" si="105"/>
        <v/>
      </c>
      <c r="M345" s="24" t="str">
        <f t="shared" si="100"/>
        <v/>
      </c>
      <c r="N345" s="24" t="str">
        <f t="shared" si="106"/>
        <v/>
      </c>
      <c r="O345" s="24" t="str">
        <f t="shared" si="101"/>
        <v/>
      </c>
      <c r="P345" s="24" t="str">
        <f t="shared" si="109"/>
        <v/>
      </c>
      <c r="Q345" s="24" t="str">
        <f t="shared" si="102"/>
        <v/>
      </c>
      <c r="R345" s="24" t="str">
        <f t="shared" si="107"/>
        <v/>
      </c>
      <c r="S345" s="108">
        <f t="shared" si="110"/>
        <v>0</v>
      </c>
      <c r="T345" s="28">
        <f t="shared" si="108"/>
        <v>0</v>
      </c>
      <c r="U345" s="28">
        <f t="shared" si="97"/>
        <v>0</v>
      </c>
      <c r="V345" s="36" t="e">
        <f t="shared" si="103"/>
        <v>#DIV/0!</v>
      </c>
      <c r="W345" s="36" t="e">
        <f t="shared" si="104"/>
        <v>#DIV/0!</v>
      </c>
      <c r="X345" s="56" t="e">
        <f t="shared" si="98"/>
        <v>#DIV/0!</v>
      </c>
    </row>
    <row r="346" spans="1:24">
      <c r="A346" s="26"/>
      <c r="B346" s="27"/>
      <c r="C346" s="27"/>
      <c r="D346" s="27"/>
      <c r="E346" s="27"/>
      <c r="F346" s="27"/>
      <c r="G346" s="27"/>
      <c r="H346" s="27"/>
      <c r="I346" s="27"/>
      <c r="J346" s="27"/>
      <c r="K346" s="24" t="str">
        <f t="shared" si="99"/>
        <v/>
      </c>
      <c r="L346" s="24" t="str">
        <f t="shared" si="105"/>
        <v/>
      </c>
      <c r="M346" s="24" t="str">
        <f t="shared" si="100"/>
        <v/>
      </c>
      <c r="N346" s="24" t="str">
        <f t="shared" si="106"/>
        <v/>
      </c>
      <c r="O346" s="24" t="str">
        <f t="shared" si="101"/>
        <v/>
      </c>
      <c r="P346" s="24" t="str">
        <f t="shared" si="109"/>
        <v/>
      </c>
      <c r="Q346" s="24" t="str">
        <f t="shared" si="102"/>
        <v/>
      </c>
      <c r="R346" s="24" t="str">
        <f t="shared" si="107"/>
        <v/>
      </c>
      <c r="S346" s="108">
        <f t="shared" si="110"/>
        <v>0</v>
      </c>
      <c r="T346" s="28">
        <f t="shared" si="108"/>
        <v>0</v>
      </c>
      <c r="U346" s="28">
        <f t="shared" si="97"/>
        <v>0</v>
      </c>
      <c r="V346" s="36" t="e">
        <f t="shared" si="103"/>
        <v>#DIV/0!</v>
      </c>
      <c r="W346" s="36" t="e">
        <f t="shared" si="104"/>
        <v>#DIV/0!</v>
      </c>
      <c r="X346" s="56" t="e">
        <f t="shared" si="98"/>
        <v>#DIV/0!</v>
      </c>
    </row>
    <row r="347" spans="1:24">
      <c r="A347" s="26"/>
      <c r="B347" s="27"/>
      <c r="C347" s="27"/>
      <c r="D347" s="27"/>
      <c r="E347" s="27"/>
      <c r="F347" s="27"/>
      <c r="G347" s="27"/>
      <c r="H347" s="27"/>
      <c r="I347" s="27"/>
      <c r="J347" s="27"/>
      <c r="K347" s="24" t="str">
        <f t="shared" si="99"/>
        <v/>
      </c>
      <c r="L347" s="24" t="str">
        <f t="shared" si="105"/>
        <v/>
      </c>
      <c r="M347" s="24" t="str">
        <f t="shared" si="100"/>
        <v/>
      </c>
      <c r="N347" s="24" t="str">
        <f t="shared" si="106"/>
        <v/>
      </c>
      <c r="O347" s="24" t="str">
        <f t="shared" si="101"/>
        <v/>
      </c>
      <c r="P347" s="24" t="str">
        <f t="shared" si="109"/>
        <v/>
      </c>
      <c r="Q347" s="24" t="str">
        <f t="shared" si="102"/>
        <v/>
      </c>
      <c r="R347" s="24" t="str">
        <f t="shared" si="107"/>
        <v/>
      </c>
      <c r="S347" s="108">
        <f t="shared" si="110"/>
        <v>0</v>
      </c>
      <c r="T347" s="28">
        <f t="shared" si="108"/>
        <v>0</v>
      </c>
      <c r="U347" s="28">
        <f t="shared" si="97"/>
        <v>0</v>
      </c>
      <c r="V347" s="36" t="e">
        <f t="shared" si="103"/>
        <v>#DIV/0!</v>
      </c>
      <c r="W347" s="36" t="e">
        <f t="shared" si="104"/>
        <v>#DIV/0!</v>
      </c>
      <c r="X347" s="56" t="e">
        <f t="shared" si="98"/>
        <v>#DIV/0!</v>
      </c>
    </row>
    <row r="348" spans="1:24">
      <c r="A348" s="26"/>
      <c r="B348" s="27"/>
      <c r="C348" s="27"/>
      <c r="D348" s="27"/>
      <c r="E348" s="27"/>
      <c r="F348" s="27"/>
      <c r="G348" s="27"/>
      <c r="H348" s="27"/>
      <c r="I348" s="27"/>
      <c r="J348" s="27"/>
      <c r="K348" s="24" t="str">
        <f t="shared" si="99"/>
        <v/>
      </c>
      <c r="L348" s="24" t="str">
        <f t="shared" si="105"/>
        <v/>
      </c>
      <c r="M348" s="24" t="str">
        <f t="shared" si="100"/>
        <v/>
      </c>
      <c r="N348" s="24" t="str">
        <f t="shared" si="106"/>
        <v/>
      </c>
      <c r="O348" s="24" t="str">
        <f t="shared" si="101"/>
        <v/>
      </c>
      <c r="P348" s="24" t="str">
        <f t="shared" si="109"/>
        <v/>
      </c>
      <c r="Q348" s="24" t="str">
        <f t="shared" si="102"/>
        <v/>
      </c>
      <c r="R348" s="24" t="str">
        <f t="shared" si="107"/>
        <v/>
      </c>
      <c r="S348" s="108">
        <f t="shared" si="110"/>
        <v>0</v>
      </c>
      <c r="T348" s="28">
        <f t="shared" si="108"/>
        <v>0</v>
      </c>
      <c r="U348" s="28">
        <f t="shared" si="97"/>
        <v>0</v>
      </c>
      <c r="V348" s="36" t="e">
        <f t="shared" si="103"/>
        <v>#DIV/0!</v>
      </c>
      <c r="W348" s="36" t="e">
        <f t="shared" si="104"/>
        <v>#DIV/0!</v>
      </c>
      <c r="X348" s="56" t="e">
        <f t="shared" si="98"/>
        <v>#DIV/0!</v>
      </c>
    </row>
    <row r="349" spans="1:24">
      <c r="A349" s="26"/>
      <c r="B349" s="27"/>
      <c r="C349" s="27"/>
      <c r="D349" s="27"/>
      <c r="E349" s="27"/>
      <c r="F349" s="27"/>
      <c r="G349" s="27"/>
      <c r="H349" s="27"/>
      <c r="I349" s="27"/>
      <c r="J349" s="27"/>
      <c r="K349" s="24" t="str">
        <f t="shared" si="99"/>
        <v/>
      </c>
      <c r="L349" s="24" t="str">
        <f t="shared" si="105"/>
        <v/>
      </c>
      <c r="M349" s="24" t="str">
        <f t="shared" si="100"/>
        <v/>
      </c>
      <c r="N349" s="24" t="str">
        <f t="shared" si="106"/>
        <v/>
      </c>
      <c r="O349" s="24" t="str">
        <f t="shared" si="101"/>
        <v/>
      </c>
      <c r="P349" s="24" t="str">
        <f t="shared" si="109"/>
        <v/>
      </c>
      <c r="Q349" s="24" t="str">
        <f t="shared" si="102"/>
        <v/>
      </c>
      <c r="R349" s="24" t="str">
        <f t="shared" si="107"/>
        <v/>
      </c>
      <c r="S349" s="108">
        <f t="shared" si="110"/>
        <v>0</v>
      </c>
      <c r="T349" s="28">
        <f t="shared" si="108"/>
        <v>0</v>
      </c>
      <c r="U349" s="28">
        <f t="shared" si="97"/>
        <v>0</v>
      </c>
      <c r="V349" s="36" t="e">
        <f t="shared" si="103"/>
        <v>#DIV/0!</v>
      </c>
      <c r="W349" s="36" t="e">
        <f t="shared" si="104"/>
        <v>#DIV/0!</v>
      </c>
      <c r="X349" s="56" t="e">
        <f t="shared" si="98"/>
        <v>#DIV/0!</v>
      </c>
    </row>
    <row r="350" spans="1:24">
      <c r="A350" s="26"/>
      <c r="B350" s="27"/>
      <c r="C350" s="27"/>
      <c r="D350" s="27"/>
      <c r="E350" s="27"/>
      <c r="F350" s="27"/>
      <c r="G350" s="27"/>
      <c r="H350" s="27"/>
      <c r="I350" s="27"/>
      <c r="J350" s="27"/>
      <c r="K350" s="24" t="str">
        <f t="shared" si="99"/>
        <v/>
      </c>
      <c r="L350" s="24" t="str">
        <f t="shared" si="105"/>
        <v/>
      </c>
      <c r="M350" s="24" t="str">
        <f t="shared" si="100"/>
        <v/>
      </c>
      <c r="N350" s="24" t="str">
        <f t="shared" si="106"/>
        <v/>
      </c>
      <c r="O350" s="24" t="str">
        <f t="shared" si="101"/>
        <v/>
      </c>
      <c r="P350" s="24" t="str">
        <f t="shared" si="109"/>
        <v/>
      </c>
      <c r="Q350" s="24" t="str">
        <f t="shared" si="102"/>
        <v/>
      </c>
      <c r="R350" s="24" t="str">
        <f t="shared" si="107"/>
        <v/>
      </c>
      <c r="S350" s="108">
        <f t="shared" si="110"/>
        <v>0</v>
      </c>
      <c r="T350" s="28">
        <f t="shared" si="108"/>
        <v>0</v>
      </c>
      <c r="U350" s="28">
        <f t="shared" si="97"/>
        <v>0</v>
      </c>
      <c r="V350" s="36" t="e">
        <f t="shared" si="103"/>
        <v>#DIV/0!</v>
      </c>
      <c r="W350" s="36" t="e">
        <f t="shared" si="104"/>
        <v>#DIV/0!</v>
      </c>
      <c r="X350" s="56" t="e">
        <f t="shared" si="98"/>
        <v>#DIV/0!</v>
      </c>
    </row>
    <row r="351" spans="1:24">
      <c r="A351" s="26"/>
      <c r="B351" s="27"/>
      <c r="C351" s="27"/>
      <c r="D351" s="27"/>
      <c r="E351" s="27"/>
      <c r="F351" s="27"/>
      <c r="G351" s="27"/>
      <c r="H351" s="27"/>
      <c r="I351" s="27"/>
      <c r="J351" s="27"/>
      <c r="K351" s="24" t="str">
        <f t="shared" si="99"/>
        <v/>
      </c>
      <c r="L351" s="24" t="str">
        <f t="shared" si="105"/>
        <v/>
      </c>
      <c r="M351" s="24" t="str">
        <f t="shared" si="100"/>
        <v/>
      </c>
      <c r="N351" s="24" t="str">
        <f t="shared" si="106"/>
        <v/>
      </c>
      <c r="O351" s="24" t="str">
        <f t="shared" si="101"/>
        <v/>
      </c>
      <c r="P351" s="24" t="str">
        <f t="shared" si="109"/>
        <v/>
      </c>
      <c r="Q351" s="24" t="str">
        <f t="shared" si="102"/>
        <v/>
      </c>
      <c r="R351" s="24" t="str">
        <f t="shared" si="107"/>
        <v/>
      </c>
      <c r="S351" s="108">
        <f t="shared" si="110"/>
        <v>0</v>
      </c>
      <c r="T351" s="28">
        <f t="shared" si="108"/>
        <v>0</v>
      </c>
      <c r="U351" s="28">
        <f t="shared" si="97"/>
        <v>0</v>
      </c>
      <c r="V351" s="36" t="e">
        <f t="shared" si="103"/>
        <v>#DIV/0!</v>
      </c>
      <c r="W351" s="36" t="e">
        <f t="shared" si="104"/>
        <v>#DIV/0!</v>
      </c>
      <c r="X351" s="56" t="e">
        <f t="shared" si="98"/>
        <v>#DIV/0!</v>
      </c>
    </row>
    <row r="352" spans="1:24">
      <c r="A352" s="26"/>
      <c r="B352" s="27"/>
      <c r="C352" s="27"/>
      <c r="D352" s="27"/>
      <c r="E352" s="27"/>
      <c r="F352" s="27"/>
      <c r="G352" s="27"/>
      <c r="H352" s="27"/>
      <c r="I352" s="27"/>
      <c r="J352" s="27"/>
      <c r="K352" s="24" t="str">
        <f t="shared" si="99"/>
        <v/>
      </c>
      <c r="L352" s="24" t="str">
        <f t="shared" si="105"/>
        <v/>
      </c>
      <c r="M352" s="24" t="str">
        <f t="shared" si="100"/>
        <v/>
      </c>
      <c r="N352" s="24" t="str">
        <f t="shared" si="106"/>
        <v/>
      </c>
      <c r="O352" s="24" t="str">
        <f t="shared" si="101"/>
        <v/>
      </c>
      <c r="P352" s="24" t="str">
        <f t="shared" si="109"/>
        <v/>
      </c>
      <c r="Q352" s="24" t="str">
        <f t="shared" si="102"/>
        <v/>
      </c>
      <c r="R352" s="24" t="str">
        <f t="shared" si="107"/>
        <v/>
      </c>
      <c r="S352" s="108">
        <f t="shared" si="110"/>
        <v>0</v>
      </c>
      <c r="T352" s="28">
        <f t="shared" si="108"/>
        <v>0</v>
      </c>
      <c r="U352" s="28">
        <f t="shared" si="97"/>
        <v>0</v>
      </c>
      <c r="V352" s="36" t="e">
        <f t="shared" si="103"/>
        <v>#DIV/0!</v>
      </c>
      <c r="W352" s="36" t="e">
        <f t="shared" si="104"/>
        <v>#DIV/0!</v>
      </c>
      <c r="X352" s="56" t="e">
        <f t="shared" si="98"/>
        <v>#DIV/0!</v>
      </c>
    </row>
    <row r="353" spans="1:24">
      <c r="A353" s="26"/>
      <c r="B353" s="27"/>
      <c r="C353" s="27"/>
      <c r="D353" s="27"/>
      <c r="E353" s="27"/>
      <c r="F353" s="27"/>
      <c r="G353" s="27"/>
      <c r="H353" s="27"/>
      <c r="I353" s="27"/>
      <c r="J353" s="27"/>
      <c r="K353" s="24" t="str">
        <f t="shared" si="99"/>
        <v/>
      </c>
      <c r="L353" s="24" t="str">
        <f t="shared" si="105"/>
        <v/>
      </c>
      <c r="M353" s="24" t="str">
        <f t="shared" si="100"/>
        <v/>
      </c>
      <c r="N353" s="24" t="str">
        <f t="shared" si="106"/>
        <v/>
      </c>
      <c r="O353" s="24" t="str">
        <f t="shared" si="101"/>
        <v/>
      </c>
      <c r="P353" s="24" t="str">
        <f t="shared" si="109"/>
        <v/>
      </c>
      <c r="Q353" s="24" t="str">
        <f t="shared" si="102"/>
        <v/>
      </c>
      <c r="R353" s="24" t="str">
        <f t="shared" si="107"/>
        <v/>
      </c>
      <c r="S353" s="108">
        <f t="shared" si="110"/>
        <v>0</v>
      </c>
      <c r="T353" s="28">
        <f t="shared" si="108"/>
        <v>0</v>
      </c>
      <c r="U353" s="28">
        <f t="shared" si="97"/>
        <v>0</v>
      </c>
      <c r="V353" s="36" t="e">
        <f t="shared" si="103"/>
        <v>#DIV/0!</v>
      </c>
      <c r="W353" s="36" t="e">
        <f t="shared" si="104"/>
        <v>#DIV/0!</v>
      </c>
      <c r="X353" s="56" t="e">
        <f t="shared" si="98"/>
        <v>#DIV/0!</v>
      </c>
    </row>
    <row r="354" spans="1:24">
      <c r="A354" s="26"/>
      <c r="B354" s="27"/>
      <c r="C354" s="27"/>
      <c r="D354" s="27"/>
      <c r="E354" s="27"/>
      <c r="F354" s="27"/>
      <c r="G354" s="27"/>
      <c r="H354" s="27"/>
      <c r="I354" s="27"/>
      <c r="J354" s="27"/>
      <c r="K354" s="24" t="str">
        <f t="shared" si="99"/>
        <v/>
      </c>
      <c r="L354" s="24" t="str">
        <f t="shared" si="105"/>
        <v/>
      </c>
      <c r="M354" s="24" t="str">
        <f t="shared" si="100"/>
        <v/>
      </c>
      <c r="N354" s="24" t="str">
        <f t="shared" si="106"/>
        <v/>
      </c>
      <c r="O354" s="24" t="str">
        <f t="shared" si="101"/>
        <v/>
      </c>
      <c r="P354" s="24" t="str">
        <f t="shared" si="109"/>
        <v/>
      </c>
      <c r="Q354" s="24" t="str">
        <f t="shared" si="102"/>
        <v/>
      </c>
      <c r="R354" s="24" t="str">
        <f t="shared" si="107"/>
        <v/>
      </c>
      <c r="S354" s="108">
        <f t="shared" si="110"/>
        <v>0</v>
      </c>
      <c r="T354" s="28">
        <f t="shared" si="108"/>
        <v>0</v>
      </c>
      <c r="U354" s="28">
        <f t="shared" si="97"/>
        <v>0</v>
      </c>
      <c r="V354" s="36" t="e">
        <f t="shared" si="103"/>
        <v>#DIV/0!</v>
      </c>
      <c r="W354" s="36" t="e">
        <f t="shared" si="104"/>
        <v>#DIV/0!</v>
      </c>
      <c r="X354" s="56" t="e">
        <f t="shared" si="98"/>
        <v>#DIV/0!</v>
      </c>
    </row>
    <row r="355" spans="1:24">
      <c r="A355" s="26"/>
      <c r="B355" s="27"/>
      <c r="C355" s="27"/>
      <c r="D355" s="27"/>
      <c r="E355" s="27"/>
      <c r="F355" s="27"/>
      <c r="G355" s="27"/>
      <c r="H355" s="27"/>
      <c r="I355" s="27"/>
      <c r="J355" s="27"/>
      <c r="K355" s="24" t="str">
        <f t="shared" si="99"/>
        <v/>
      </c>
      <c r="L355" s="24" t="str">
        <f t="shared" si="105"/>
        <v/>
      </c>
      <c r="M355" s="24" t="str">
        <f t="shared" si="100"/>
        <v/>
      </c>
      <c r="N355" s="24" t="str">
        <f t="shared" si="106"/>
        <v/>
      </c>
      <c r="O355" s="24" t="str">
        <f t="shared" si="101"/>
        <v/>
      </c>
      <c r="P355" s="24" t="str">
        <f t="shared" si="109"/>
        <v/>
      </c>
      <c r="Q355" s="24" t="str">
        <f t="shared" si="102"/>
        <v/>
      </c>
      <c r="R355" s="24" t="str">
        <f t="shared" si="107"/>
        <v/>
      </c>
      <c r="S355" s="108">
        <f t="shared" si="110"/>
        <v>0</v>
      </c>
      <c r="T355" s="28">
        <f t="shared" si="108"/>
        <v>0</v>
      </c>
      <c r="U355" s="28">
        <f t="shared" ref="U355:U418" si="111">T355*(1+凉菜物料)</f>
        <v>0</v>
      </c>
      <c r="V355" s="36" t="e">
        <f t="shared" si="103"/>
        <v>#DIV/0!</v>
      </c>
      <c r="W355" s="36" t="e">
        <f t="shared" si="104"/>
        <v>#DIV/0!</v>
      </c>
      <c r="X355" s="56" t="e">
        <f t="shared" ref="X355:X418" si="112">ROUNDUP(V355*(1+凉菜毛利),1)</f>
        <v>#DIV/0!</v>
      </c>
    </row>
    <row r="356" spans="1:24">
      <c r="A356" s="26"/>
      <c r="B356" s="27"/>
      <c r="C356" s="27"/>
      <c r="D356" s="27"/>
      <c r="E356" s="27"/>
      <c r="F356" s="27"/>
      <c r="G356" s="27"/>
      <c r="H356" s="27"/>
      <c r="I356" s="27"/>
      <c r="J356" s="27"/>
      <c r="K356" s="24" t="str">
        <f t="shared" ref="K356:K419" si="113">IF(C356="","",VLOOKUP(C356,成本单价,8,0))</f>
        <v/>
      </c>
      <c r="L356" s="24" t="str">
        <f t="shared" si="105"/>
        <v/>
      </c>
      <c r="M356" s="24" t="str">
        <f t="shared" ref="M356:M419" si="114">IF(E356="","",VLOOKUP(E356,成本单价,8,0))</f>
        <v/>
      </c>
      <c r="N356" s="24" t="str">
        <f t="shared" si="106"/>
        <v/>
      </c>
      <c r="O356" s="24" t="str">
        <f t="shared" ref="O356:O419" si="115">IF(G356="","",VLOOKUP(G356,成本单价,8,0))</f>
        <v/>
      </c>
      <c r="P356" s="24" t="str">
        <f t="shared" si="109"/>
        <v/>
      </c>
      <c r="Q356" s="24" t="str">
        <f t="shared" ref="Q356:Q419" si="116">IF(I356="","",VLOOKUP(I356,成本单价,8,0))</f>
        <v/>
      </c>
      <c r="R356" s="24" t="str">
        <f t="shared" si="107"/>
        <v/>
      </c>
      <c r="S356" s="108">
        <f t="shared" si="110"/>
        <v>0</v>
      </c>
      <c r="T356" s="28">
        <f t="shared" si="108"/>
        <v>0</v>
      </c>
      <c r="U356" s="28">
        <f t="shared" si="111"/>
        <v>0</v>
      </c>
      <c r="V356" s="36" t="e">
        <f t="shared" ref="V356:V419" si="117">U356/B356</f>
        <v>#DIV/0!</v>
      </c>
      <c r="W356" s="36" t="e">
        <f t="shared" ref="W356:W419" si="118">D356/B356+F356/B356+H356/B356+J356/B356</f>
        <v>#DIV/0!</v>
      </c>
      <c r="X356" s="56" t="e">
        <f t="shared" si="112"/>
        <v>#DIV/0!</v>
      </c>
    </row>
    <row r="357" spans="1:24">
      <c r="A357" s="26"/>
      <c r="B357" s="27"/>
      <c r="C357" s="27"/>
      <c r="D357" s="27"/>
      <c r="E357" s="27"/>
      <c r="F357" s="27"/>
      <c r="G357" s="27"/>
      <c r="H357" s="27"/>
      <c r="I357" s="27"/>
      <c r="J357" s="27"/>
      <c r="K357" s="24" t="str">
        <f t="shared" si="113"/>
        <v/>
      </c>
      <c r="L357" s="24" t="str">
        <f t="shared" ref="L357:L420" si="119">IFERROR(D357*K357,"")</f>
        <v/>
      </c>
      <c r="M357" s="24" t="str">
        <f t="shared" si="114"/>
        <v/>
      </c>
      <c r="N357" s="24" t="str">
        <f t="shared" ref="N357:N420" si="120">IFERROR(F357*M357,"")</f>
        <v/>
      </c>
      <c r="O357" s="24" t="str">
        <f t="shared" si="115"/>
        <v/>
      </c>
      <c r="P357" s="24" t="str">
        <f t="shared" si="109"/>
        <v/>
      </c>
      <c r="Q357" s="24" t="str">
        <f t="shared" si="116"/>
        <v/>
      </c>
      <c r="R357" s="24" t="str">
        <f t="shared" ref="R357:R420" si="121">IFERROR(J357*Q357,"")</f>
        <v/>
      </c>
      <c r="S357" s="108">
        <f t="shared" si="110"/>
        <v>0</v>
      </c>
      <c r="T357" s="28">
        <f t="shared" ref="T357:T420" si="122">IFERROR(SUM(L357,N357,P357,R357,S357),"")</f>
        <v>0</v>
      </c>
      <c r="U357" s="28">
        <f t="shared" si="111"/>
        <v>0</v>
      </c>
      <c r="V357" s="36" t="e">
        <f t="shared" si="117"/>
        <v>#DIV/0!</v>
      </c>
      <c r="W357" s="36" t="e">
        <f t="shared" si="118"/>
        <v>#DIV/0!</v>
      </c>
      <c r="X357" s="56" t="e">
        <f t="shared" si="112"/>
        <v>#DIV/0!</v>
      </c>
    </row>
    <row r="358" spans="1:24">
      <c r="A358" s="26"/>
      <c r="B358" s="27"/>
      <c r="C358" s="27"/>
      <c r="D358" s="27"/>
      <c r="E358" s="27"/>
      <c r="F358" s="27"/>
      <c r="G358" s="27"/>
      <c r="H358" s="27"/>
      <c r="I358" s="27"/>
      <c r="J358" s="27"/>
      <c r="K358" s="24" t="str">
        <f t="shared" si="113"/>
        <v/>
      </c>
      <c r="L358" s="24" t="str">
        <f t="shared" si="119"/>
        <v/>
      </c>
      <c r="M358" s="24" t="str">
        <f t="shared" si="114"/>
        <v/>
      </c>
      <c r="N358" s="24" t="str">
        <f t="shared" si="120"/>
        <v/>
      </c>
      <c r="O358" s="24" t="str">
        <f t="shared" si="115"/>
        <v/>
      </c>
      <c r="P358" s="24" t="str">
        <f t="shared" ref="P358:P421" si="123">IFERROR(H358*O358,"")</f>
        <v/>
      </c>
      <c r="Q358" s="24" t="str">
        <f t="shared" si="116"/>
        <v/>
      </c>
      <c r="R358" s="24" t="str">
        <f t="shared" si="121"/>
        <v/>
      </c>
      <c r="S358" s="108">
        <f t="shared" si="110"/>
        <v>0</v>
      </c>
      <c r="T358" s="28">
        <f t="shared" si="122"/>
        <v>0</v>
      </c>
      <c r="U358" s="28">
        <f t="shared" si="111"/>
        <v>0</v>
      </c>
      <c r="V358" s="36" t="e">
        <f t="shared" si="117"/>
        <v>#DIV/0!</v>
      </c>
      <c r="W358" s="36" t="e">
        <f t="shared" si="118"/>
        <v>#DIV/0!</v>
      </c>
      <c r="X358" s="56" t="e">
        <f t="shared" si="112"/>
        <v>#DIV/0!</v>
      </c>
    </row>
    <row r="359" spans="1:24">
      <c r="A359" s="26"/>
      <c r="B359" s="27"/>
      <c r="C359" s="27"/>
      <c r="D359" s="27"/>
      <c r="E359" s="27"/>
      <c r="F359" s="27"/>
      <c r="G359" s="27"/>
      <c r="H359" s="27"/>
      <c r="I359" s="27"/>
      <c r="J359" s="27"/>
      <c r="K359" s="24" t="str">
        <f t="shared" si="113"/>
        <v/>
      </c>
      <c r="L359" s="24" t="str">
        <f t="shared" si="119"/>
        <v/>
      </c>
      <c r="M359" s="24" t="str">
        <f t="shared" si="114"/>
        <v/>
      </c>
      <c r="N359" s="24" t="str">
        <f t="shared" si="120"/>
        <v/>
      </c>
      <c r="O359" s="24" t="str">
        <f t="shared" si="115"/>
        <v/>
      </c>
      <c r="P359" s="24" t="str">
        <f t="shared" si="123"/>
        <v/>
      </c>
      <c r="Q359" s="24" t="str">
        <f t="shared" si="116"/>
        <v/>
      </c>
      <c r="R359" s="24" t="str">
        <f t="shared" si="121"/>
        <v/>
      </c>
      <c r="S359" s="108">
        <f t="shared" si="110"/>
        <v>0</v>
      </c>
      <c r="T359" s="28">
        <f t="shared" si="122"/>
        <v>0</v>
      </c>
      <c r="U359" s="28">
        <f t="shared" si="111"/>
        <v>0</v>
      </c>
      <c r="V359" s="36" t="e">
        <f t="shared" si="117"/>
        <v>#DIV/0!</v>
      </c>
      <c r="W359" s="36" t="e">
        <f t="shared" si="118"/>
        <v>#DIV/0!</v>
      </c>
      <c r="X359" s="56" t="e">
        <f t="shared" si="112"/>
        <v>#DIV/0!</v>
      </c>
    </row>
    <row r="360" spans="1:24">
      <c r="A360" s="26"/>
      <c r="B360" s="27"/>
      <c r="C360" s="27"/>
      <c r="D360" s="27"/>
      <c r="E360" s="27"/>
      <c r="F360" s="27"/>
      <c r="G360" s="27"/>
      <c r="H360" s="27"/>
      <c r="I360" s="27"/>
      <c r="J360" s="27"/>
      <c r="K360" s="24" t="str">
        <f t="shared" si="113"/>
        <v/>
      </c>
      <c r="L360" s="24" t="str">
        <f t="shared" si="119"/>
        <v/>
      </c>
      <c r="M360" s="24" t="str">
        <f t="shared" si="114"/>
        <v/>
      </c>
      <c r="N360" s="24" t="str">
        <f t="shared" si="120"/>
        <v/>
      </c>
      <c r="O360" s="24" t="str">
        <f t="shared" si="115"/>
        <v/>
      </c>
      <c r="P360" s="24" t="str">
        <f t="shared" si="123"/>
        <v/>
      </c>
      <c r="Q360" s="24" t="str">
        <f t="shared" si="116"/>
        <v/>
      </c>
      <c r="R360" s="24" t="str">
        <f t="shared" si="121"/>
        <v/>
      </c>
      <c r="S360" s="108">
        <f t="shared" si="110"/>
        <v>0</v>
      </c>
      <c r="T360" s="28">
        <f t="shared" si="122"/>
        <v>0</v>
      </c>
      <c r="U360" s="28">
        <f t="shared" si="111"/>
        <v>0</v>
      </c>
      <c r="V360" s="36" t="e">
        <f t="shared" si="117"/>
        <v>#DIV/0!</v>
      </c>
      <c r="W360" s="36" t="e">
        <f t="shared" si="118"/>
        <v>#DIV/0!</v>
      </c>
      <c r="X360" s="56" t="e">
        <f t="shared" si="112"/>
        <v>#DIV/0!</v>
      </c>
    </row>
    <row r="361" spans="1:24">
      <c r="A361" s="26"/>
      <c r="B361" s="27"/>
      <c r="C361" s="27"/>
      <c r="D361" s="27"/>
      <c r="E361" s="27"/>
      <c r="F361" s="27"/>
      <c r="G361" s="27"/>
      <c r="H361" s="27"/>
      <c r="I361" s="27"/>
      <c r="J361" s="27"/>
      <c r="K361" s="24" t="str">
        <f t="shared" si="113"/>
        <v/>
      </c>
      <c r="L361" s="24" t="str">
        <f t="shared" si="119"/>
        <v/>
      </c>
      <c r="M361" s="24" t="str">
        <f t="shared" si="114"/>
        <v/>
      </c>
      <c r="N361" s="24" t="str">
        <f t="shared" si="120"/>
        <v/>
      </c>
      <c r="O361" s="24" t="str">
        <f t="shared" si="115"/>
        <v/>
      </c>
      <c r="P361" s="24" t="str">
        <f t="shared" si="123"/>
        <v/>
      </c>
      <c r="Q361" s="24" t="str">
        <f t="shared" si="116"/>
        <v/>
      </c>
      <c r="R361" s="24" t="str">
        <f t="shared" si="121"/>
        <v/>
      </c>
      <c r="S361" s="108">
        <f t="shared" si="110"/>
        <v>0</v>
      </c>
      <c r="T361" s="28">
        <f t="shared" si="122"/>
        <v>0</v>
      </c>
      <c r="U361" s="28">
        <f t="shared" si="111"/>
        <v>0</v>
      </c>
      <c r="V361" s="36" t="e">
        <f t="shared" si="117"/>
        <v>#DIV/0!</v>
      </c>
      <c r="W361" s="36" t="e">
        <f t="shared" si="118"/>
        <v>#DIV/0!</v>
      </c>
      <c r="X361" s="56" t="e">
        <f t="shared" si="112"/>
        <v>#DIV/0!</v>
      </c>
    </row>
    <row r="362" spans="1:24">
      <c r="A362" s="26"/>
      <c r="B362" s="27"/>
      <c r="C362" s="27"/>
      <c r="D362" s="27"/>
      <c r="E362" s="27"/>
      <c r="F362" s="27"/>
      <c r="G362" s="27"/>
      <c r="H362" s="27"/>
      <c r="I362" s="27"/>
      <c r="J362" s="27"/>
      <c r="K362" s="24" t="str">
        <f t="shared" si="113"/>
        <v/>
      </c>
      <c r="L362" s="24" t="str">
        <f t="shared" si="119"/>
        <v/>
      </c>
      <c r="M362" s="24" t="str">
        <f t="shared" si="114"/>
        <v/>
      </c>
      <c r="N362" s="24" t="str">
        <f t="shared" si="120"/>
        <v/>
      </c>
      <c r="O362" s="24" t="str">
        <f t="shared" si="115"/>
        <v/>
      </c>
      <c r="P362" s="24" t="str">
        <f t="shared" si="123"/>
        <v/>
      </c>
      <c r="Q362" s="24" t="str">
        <f t="shared" si="116"/>
        <v/>
      </c>
      <c r="R362" s="24" t="str">
        <f t="shared" si="121"/>
        <v/>
      </c>
      <c r="S362" s="108">
        <f t="shared" si="110"/>
        <v>0</v>
      </c>
      <c r="T362" s="28">
        <f t="shared" si="122"/>
        <v>0</v>
      </c>
      <c r="U362" s="28">
        <f t="shared" si="111"/>
        <v>0</v>
      </c>
      <c r="V362" s="36" t="e">
        <f t="shared" si="117"/>
        <v>#DIV/0!</v>
      </c>
      <c r="W362" s="36" t="e">
        <f t="shared" si="118"/>
        <v>#DIV/0!</v>
      </c>
      <c r="X362" s="56" t="e">
        <f t="shared" si="112"/>
        <v>#DIV/0!</v>
      </c>
    </row>
    <row r="363" spans="1:24">
      <c r="A363" s="26"/>
      <c r="B363" s="27"/>
      <c r="C363" s="27"/>
      <c r="D363" s="27"/>
      <c r="E363" s="27"/>
      <c r="F363" s="27"/>
      <c r="G363" s="27"/>
      <c r="H363" s="27"/>
      <c r="I363" s="27"/>
      <c r="J363" s="27"/>
      <c r="K363" s="24" t="str">
        <f t="shared" si="113"/>
        <v/>
      </c>
      <c r="L363" s="24" t="str">
        <f t="shared" si="119"/>
        <v/>
      </c>
      <c r="M363" s="24" t="str">
        <f t="shared" si="114"/>
        <v/>
      </c>
      <c r="N363" s="24" t="str">
        <f t="shared" si="120"/>
        <v/>
      </c>
      <c r="O363" s="24" t="str">
        <f t="shared" si="115"/>
        <v/>
      </c>
      <c r="P363" s="24" t="str">
        <f t="shared" si="123"/>
        <v/>
      </c>
      <c r="Q363" s="24" t="str">
        <f t="shared" si="116"/>
        <v/>
      </c>
      <c r="R363" s="24" t="str">
        <f t="shared" si="121"/>
        <v/>
      </c>
      <c r="S363" s="108">
        <f t="shared" si="110"/>
        <v>0</v>
      </c>
      <c r="T363" s="28">
        <f t="shared" si="122"/>
        <v>0</v>
      </c>
      <c r="U363" s="28">
        <f t="shared" si="111"/>
        <v>0</v>
      </c>
      <c r="V363" s="36" t="e">
        <f t="shared" si="117"/>
        <v>#DIV/0!</v>
      </c>
      <c r="W363" s="36" t="e">
        <f t="shared" si="118"/>
        <v>#DIV/0!</v>
      </c>
      <c r="X363" s="56" t="e">
        <f t="shared" si="112"/>
        <v>#DIV/0!</v>
      </c>
    </row>
    <row r="364" spans="1:24">
      <c r="A364" s="26"/>
      <c r="B364" s="27"/>
      <c r="C364" s="27"/>
      <c r="D364" s="27"/>
      <c r="E364" s="27"/>
      <c r="F364" s="27"/>
      <c r="G364" s="27"/>
      <c r="H364" s="27"/>
      <c r="I364" s="27"/>
      <c r="J364" s="27"/>
      <c r="K364" s="24" t="str">
        <f t="shared" si="113"/>
        <v/>
      </c>
      <c r="L364" s="24" t="str">
        <f t="shared" si="119"/>
        <v/>
      </c>
      <c r="M364" s="24" t="str">
        <f t="shared" si="114"/>
        <v/>
      </c>
      <c r="N364" s="24" t="str">
        <f t="shared" si="120"/>
        <v/>
      </c>
      <c r="O364" s="24" t="str">
        <f t="shared" si="115"/>
        <v/>
      </c>
      <c r="P364" s="24" t="str">
        <f t="shared" si="123"/>
        <v/>
      </c>
      <c r="Q364" s="24" t="str">
        <f t="shared" si="116"/>
        <v/>
      </c>
      <c r="R364" s="24" t="str">
        <f t="shared" si="121"/>
        <v/>
      </c>
      <c r="S364" s="108">
        <f t="shared" si="110"/>
        <v>0</v>
      </c>
      <c r="T364" s="28">
        <f t="shared" si="122"/>
        <v>0</v>
      </c>
      <c r="U364" s="28">
        <f t="shared" si="111"/>
        <v>0</v>
      </c>
      <c r="V364" s="36" t="e">
        <f t="shared" si="117"/>
        <v>#DIV/0!</v>
      </c>
      <c r="W364" s="36" t="e">
        <f t="shared" si="118"/>
        <v>#DIV/0!</v>
      </c>
      <c r="X364" s="56" t="e">
        <f t="shared" si="112"/>
        <v>#DIV/0!</v>
      </c>
    </row>
    <row r="365" spans="1:24">
      <c r="A365" s="26"/>
      <c r="B365" s="27"/>
      <c r="C365" s="27"/>
      <c r="D365" s="27"/>
      <c r="E365" s="27"/>
      <c r="F365" s="27"/>
      <c r="G365" s="27"/>
      <c r="H365" s="27"/>
      <c r="I365" s="27"/>
      <c r="J365" s="27"/>
      <c r="K365" s="24" t="str">
        <f t="shared" si="113"/>
        <v/>
      </c>
      <c r="L365" s="24" t="str">
        <f t="shared" si="119"/>
        <v/>
      </c>
      <c r="M365" s="24" t="str">
        <f t="shared" si="114"/>
        <v/>
      </c>
      <c r="N365" s="24" t="str">
        <f t="shared" si="120"/>
        <v/>
      </c>
      <c r="O365" s="24" t="str">
        <f t="shared" si="115"/>
        <v/>
      </c>
      <c r="P365" s="24" t="str">
        <f t="shared" si="123"/>
        <v/>
      </c>
      <c r="Q365" s="24" t="str">
        <f t="shared" si="116"/>
        <v/>
      </c>
      <c r="R365" s="24" t="str">
        <f t="shared" si="121"/>
        <v/>
      </c>
      <c r="S365" s="108">
        <f t="shared" si="110"/>
        <v>0</v>
      </c>
      <c r="T365" s="28">
        <f t="shared" si="122"/>
        <v>0</v>
      </c>
      <c r="U365" s="28">
        <f t="shared" si="111"/>
        <v>0</v>
      </c>
      <c r="V365" s="36" t="e">
        <f t="shared" si="117"/>
        <v>#DIV/0!</v>
      </c>
      <c r="W365" s="36" t="e">
        <f t="shared" si="118"/>
        <v>#DIV/0!</v>
      </c>
      <c r="X365" s="56" t="e">
        <f t="shared" si="112"/>
        <v>#DIV/0!</v>
      </c>
    </row>
    <row r="366" spans="1:24">
      <c r="A366" s="26"/>
      <c r="B366" s="27"/>
      <c r="C366" s="27"/>
      <c r="D366" s="27"/>
      <c r="E366" s="27"/>
      <c r="F366" s="27"/>
      <c r="G366" s="27"/>
      <c r="H366" s="27"/>
      <c r="I366" s="27"/>
      <c r="J366" s="27"/>
      <c r="K366" s="24" t="str">
        <f t="shared" si="113"/>
        <v/>
      </c>
      <c r="L366" s="24" t="str">
        <f t="shared" si="119"/>
        <v/>
      </c>
      <c r="M366" s="24" t="str">
        <f t="shared" si="114"/>
        <v/>
      </c>
      <c r="N366" s="24" t="str">
        <f t="shared" si="120"/>
        <v/>
      </c>
      <c r="O366" s="24" t="str">
        <f t="shared" si="115"/>
        <v/>
      </c>
      <c r="P366" s="24" t="str">
        <f t="shared" si="123"/>
        <v/>
      </c>
      <c r="Q366" s="24" t="str">
        <f t="shared" si="116"/>
        <v/>
      </c>
      <c r="R366" s="24" t="str">
        <f t="shared" si="121"/>
        <v/>
      </c>
      <c r="S366" s="108">
        <f t="shared" si="110"/>
        <v>0</v>
      </c>
      <c r="T366" s="28">
        <f t="shared" si="122"/>
        <v>0</v>
      </c>
      <c r="U366" s="28">
        <f t="shared" si="111"/>
        <v>0</v>
      </c>
      <c r="V366" s="36" t="e">
        <f t="shared" si="117"/>
        <v>#DIV/0!</v>
      </c>
      <c r="W366" s="36" t="e">
        <f t="shared" si="118"/>
        <v>#DIV/0!</v>
      </c>
      <c r="X366" s="56" t="e">
        <f t="shared" si="112"/>
        <v>#DIV/0!</v>
      </c>
    </row>
    <row r="367" spans="1:24">
      <c r="A367" s="26"/>
      <c r="B367" s="27"/>
      <c r="C367" s="27"/>
      <c r="D367" s="27"/>
      <c r="E367" s="27"/>
      <c r="F367" s="27"/>
      <c r="G367" s="27"/>
      <c r="H367" s="27"/>
      <c r="I367" s="27"/>
      <c r="J367" s="27"/>
      <c r="K367" s="24" t="str">
        <f t="shared" si="113"/>
        <v/>
      </c>
      <c r="L367" s="24" t="str">
        <f t="shared" si="119"/>
        <v/>
      </c>
      <c r="M367" s="24" t="str">
        <f t="shared" si="114"/>
        <v/>
      </c>
      <c r="N367" s="24" t="str">
        <f t="shared" si="120"/>
        <v/>
      </c>
      <c r="O367" s="24" t="str">
        <f t="shared" si="115"/>
        <v/>
      </c>
      <c r="P367" s="24" t="str">
        <f t="shared" si="123"/>
        <v/>
      </c>
      <c r="Q367" s="24" t="str">
        <f t="shared" si="116"/>
        <v/>
      </c>
      <c r="R367" s="24" t="str">
        <f t="shared" si="121"/>
        <v/>
      </c>
      <c r="S367" s="108">
        <f t="shared" si="110"/>
        <v>0</v>
      </c>
      <c r="T367" s="28">
        <f t="shared" si="122"/>
        <v>0</v>
      </c>
      <c r="U367" s="28">
        <f t="shared" si="111"/>
        <v>0</v>
      </c>
      <c r="V367" s="36" t="e">
        <f t="shared" si="117"/>
        <v>#DIV/0!</v>
      </c>
      <c r="W367" s="36" t="e">
        <f t="shared" si="118"/>
        <v>#DIV/0!</v>
      </c>
      <c r="X367" s="56" t="e">
        <f t="shared" si="112"/>
        <v>#DIV/0!</v>
      </c>
    </row>
    <row r="368" spans="1:24">
      <c r="A368" s="26"/>
      <c r="B368" s="27"/>
      <c r="C368" s="27"/>
      <c r="D368" s="27"/>
      <c r="E368" s="27"/>
      <c r="F368" s="27"/>
      <c r="G368" s="27"/>
      <c r="H368" s="27"/>
      <c r="I368" s="27"/>
      <c r="J368" s="27"/>
      <c r="K368" s="24" t="str">
        <f t="shared" si="113"/>
        <v/>
      </c>
      <c r="L368" s="24" t="str">
        <f t="shared" si="119"/>
        <v/>
      </c>
      <c r="M368" s="24" t="str">
        <f t="shared" si="114"/>
        <v/>
      </c>
      <c r="N368" s="24" t="str">
        <f t="shared" si="120"/>
        <v/>
      </c>
      <c r="O368" s="24" t="str">
        <f t="shared" si="115"/>
        <v/>
      </c>
      <c r="P368" s="24" t="str">
        <f t="shared" si="123"/>
        <v/>
      </c>
      <c r="Q368" s="24" t="str">
        <f t="shared" si="116"/>
        <v/>
      </c>
      <c r="R368" s="24" t="str">
        <f t="shared" si="121"/>
        <v/>
      </c>
      <c r="S368" s="108">
        <f t="shared" si="110"/>
        <v>0</v>
      </c>
      <c r="T368" s="28">
        <f t="shared" si="122"/>
        <v>0</v>
      </c>
      <c r="U368" s="28">
        <f t="shared" si="111"/>
        <v>0</v>
      </c>
      <c r="V368" s="36" t="e">
        <f t="shared" si="117"/>
        <v>#DIV/0!</v>
      </c>
      <c r="W368" s="36" t="e">
        <f t="shared" si="118"/>
        <v>#DIV/0!</v>
      </c>
      <c r="X368" s="56" t="e">
        <f t="shared" si="112"/>
        <v>#DIV/0!</v>
      </c>
    </row>
    <row r="369" spans="1:24">
      <c r="A369" s="26"/>
      <c r="B369" s="27"/>
      <c r="C369" s="27"/>
      <c r="D369" s="27"/>
      <c r="E369" s="27"/>
      <c r="F369" s="27"/>
      <c r="G369" s="27"/>
      <c r="H369" s="27"/>
      <c r="I369" s="27"/>
      <c r="J369" s="27"/>
      <c r="K369" s="24" t="str">
        <f t="shared" si="113"/>
        <v/>
      </c>
      <c r="L369" s="24" t="str">
        <f t="shared" si="119"/>
        <v/>
      </c>
      <c r="M369" s="24" t="str">
        <f t="shared" si="114"/>
        <v/>
      </c>
      <c r="N369" s="24" t="str">
        <f t="shared" si="120"/>
        <v/>
      </c>
      <c r="O369" s="24" t="str">
        <f t="shared" si="115"/>
        <v/>
      </c>
      <c r="P369" s="24" t="str">
        <f t="shared" si="123"/>
        <v/>
      </c>
      <c r="Q369" s="24" t="str">
        <f t="shared" si="116"/>
        <v/>
      </c>
      <c r="R369" s="24" t="str">
        <f t="shared" si="121"/>
        <v/>
      </c>
      <c r="S369" s="108">
        <f t="shared" si="110"/>
        <v>0</v>
      </c>
      <c r="T369" s="28">
        <f t="shared" si="122"/>
        <v>0</v>
      </c>
      <c r="U369" s="28">
        <f t="shared" si="111"/>
        <v>0</v>
      </c>
      <c r="V369" s="36" t="e">
        <f t="shared" si="117"/>
        <v>#DIV/0!</v>
      </c>
      <c r="W369" s="36" t="e">
        <f t="shared" si="118"/>
        <v>#DIV/0!</v>
      </c>
      <c r="X369" s="56" t="e">
        <f t="shared" si="112"/>
        <v>#DIV/0!</v>
      </c>
    </row>
    <row r="370" spans="1:24">
      <c r="A370" s="26"/>
      <c r="B370" s="27"/>
      <c r="C370" s="27"/>
      <c r="D370" s="27"/>
      <c r="E370" s="27"/>
      <c r="F370" s="27"/>
      <c r="G370" s="27"/>
      <c r="H370" s="27"/>
      <c r="I370" s="27"/>
      <c r="J370" s="27"/>
      <c r="K370" s="24" t="str">
        <f t="shared" si="113"/>
        <v/>
      </c>
      <c r="L370" s="24" t="str">
        <f t="shared" si="119"/>
        <v/>
      </c>
      <c r="M370" s="24" t="str">
        <f t="shared" si="114"/>
        <v/>
      </c>
      <c r="N370" s="24" t="str">
        <f t="shared" si="120"/>
        <v/>
      </c>
      <c r="O370" s="24" t="str">
        <f t="shared" si="115"/>
        <v/>
      </c>
      <c r="P370" s="24" t="str">
        <f t="shared" si="123"/>
        <v/>
      </c>
      <c r="Q370" s="24" t="str">
        <f t="shared" si="116"/>
        <v/>
      </c>
      <c r="R370" s="24" t="str">
        <f t="shared" si="121"/>
        <v/>
      </c>
      <c r="S370" s="108">
        <f t="shared" si="110"/>
        <v>0</v>
      </c>
      <c r="T370" s="28">
        <f t="shared" si="122"/>
        <v>0</v>
      </c>
      <c r="U370" s="28">
        <f t="shared" si="111"/>
        <v>0</v>
      </c>
      <c r="V370" s="36" t="e">
        <f t="shared" si="117"/>
        <v>#DIV/0!</v>
      </c>
      <c r="W370" s="36" t="e">
        <f t="shared" si="118"/>
        <v>#DIV/0!</v>
      </c>
      <c r="X370" s="56" t="e">
        <f t="shared" si="112"/>
        <v>#DIV/0!</v>
      </c>
    </row>
    <row r="371" spans="1:24">
      <c r="A371" s="26"/>
      <c r="B371" s="27"/>
      <c r="C371" s="27"/>
      <c r="D371" s="27"/>
      <c r="E371" s="27"/>
      <c r="F371" s="27"/>
      <c r="G371" s="27"/>
      <c r="H371" s="27"/>
      <c r="I371" s="27"/>
      <c r="J371" s="27"/>
      <c r="K371" s="24" t="str">
        <f t="shared" si="113"/>
        <v/>
      </c>
      <c r="L371" s="24" t="str">
        <f t="shared" si="119"/>
        <v/>
      </c>
      <c r="M371" s="24" t="str">
        <f t="shared" si="114"/>
        <v/>
      </c>
      <c r="N371" s="24" t="str">
        <f t="shared" si="120"/>
        <v/>
      </c>
      <c r="O371" s="24" t="str">
        <f t="shared" si="115"/>
        <v/>
      </c>
      <c r="P371" s="24" t="str">
        <f t="shared" si="123"/>
        <v/>
      </c>
      <c r="Q371" s="24" t="str">
        <f t="shared" si="116"/>
        <v/>
      </c>
      <c r="R371" s="24" t="str">
        <f t="shared" si="121"/>
        <v/>
      </c>
      <c r="S371" s="108">
        <f t="shared" si="110"/>
        <v>0</v>
      </c>
      <c r="T371" s="28">
        <f t="shared" si="122"/>
        <v>0</v>
      </c>
      <c r="U371" s="28">
        <f t="shared" si="111"/>
        <v>0</v>
      </c>
      <c r="V371" s="36" t="e">
        <f t="shared" si="117"/>
        <v>#DIV/0!</v>
      </c>
      <c r="W371" s="36" t="e">
        <f t="shared" si="118"/>
        <v>#DIV/0!</v>
      </c>
      <c r="X371" s="56" t="e">
        <f t="shared" si="112"/>
        <v>#DIV/0!</v>
      </c>
    </row>
    <row r="372" spans="1:24">
      <c r="A372" s="26"/>
      <c r="B372" s="27"/>
      <c r="C372" s="27"/>
      <c r="D372" s="27"/>
      <c r="E372" s="27"/>
      <c r="F372" s="27"/>
      <c r="G372" s="27"/>
      <c r="H372" s="27"/>
      <c r="I372" s="27"/>
      <c r="J372" s="27"/>
      <c r="K372" s="24" t="str">
        <f t="shared" si="113"/>
        <v/>
      </c>
      <c r="L372" s="24" t="str">
        <f t="shared" si="119"/>
        <v/>
      </c>
      <c r="M372" s="24" t="str">
        <f t="shared" si="114"/>
        <v/>
      </c>
      <c r="N372" s="24" t="str">
        <f t="shared" si="120"/>
        <v/>
      </c>
      <c r="O372" s="24" t="str">
        <f t="shared" si="115"/>
        <v/>
      </c>
      <c r="P372" s="24" t="str">
        <f t="shared" si="123"/>
        <v/>
      </c>
      <c r="Q372" s="24" t="str">
        <f t="shared" si="116"/>
        <v/>
      </c>
      <c r="R372" s="24" t="str">
        <f t="shared" si="121"/>
        <v/>
      </c>
      <c r="S372" s="108">
        <f t="shared" si="110"/>
        <v>0</v>
      </c>
      <c r="T372" s="28">
        <f t="shared" si="122"/>
        <v>0</v>
      </c>
      <c r="U372" s="28">
        <f t="shared" si="111"/>
        <v>0</v>
      </c>
      <c r="V372" s="36" t="e">
        <f t="shared" si="117"/>
        <v>#DIV/0!</v>
      </c>
      <c r="W372" s="36" t="e">
        <f t="shared" si="118"/>
        <v>#DIV/0!</v>
      </c>
      <c r="X372" s="56" t="e">
        <f t="shared" si="112"/>
        <v>#DIV/0!</v>
      </c>
    </row>
    <row r="373" spans="1:24">
      <c r="A373" s="26"/>
      <c r="B373" s="27"/>
      <c r="C373" s="27"/>
      <c r="D373" s="27"/>
      <c r="E373" s="27"/>
      <c r="F373" s="27"/>
      <c r="G373" s="27"/>
      <c r="H373" s="27"/>
      <c r="I373" s="27"/>
      <c r="J373" s="27"/>
      <c r="K373" s="24" t="str">
        <f t="shared" si="113"/>
        <v/>
      </c>
      <c r="L373" s="24" t="str">
        <f t="shared" si="119"/>
        <v/>
      </c>
      <c r="M373" s="24" t="str">
        <f t="shared" si="114"/>
        <v/>
      </c>
      <c r="N373" s="24" t="str">
        <f t="shared" si="120"/>
        <v/>
      </c>
      <c r="O373" s="24" t="str">
        <f t="shared" si="115"/>
        <v/>
      </c>
      <c r="P373" s="24" t="str">
        <f t="shared" si="123"/>
        <v/>
      </c>
      <c r="Q373" s="24" t="str">
        <f t="shared" si="116"/>
        <v/>
      </c>
      <c r="R373" s="24" t="str">
        <f t="shared" si="121"/>
        <v/>
      </c>
      <c r="S373" s="108">
        <f t="shared" si="110"/>
        <v>0</v>
      </c>
      <c r="T373" s="28">
        <f t="shared" si="122"/>
        <v>0</v>
      </c>
      <c r="U373" s="28">
        <f t="shared" si="111"/>
        <v>0</v>
      </c>
      <c r="V373" s="36" t="e">
        <f t="shared" si="117"/>
        <v>#DIV/0!</v>
      </c>
      <c r="W373" s="36" t="e">
        <f t="shared" si="118"/>
        <v>#DIV/0!</v>
      </c>
      <c r="X373" s="56" t="e">
        <f t="shared" si="112"/>
        <v>#DIV/0!</v>
      </c>
    </row>
    <row r="374" spans="1:24">
      <c r="A374" s="26"/>
      <c r="B374" s="27"/>
      <c r="C374" s="27"/>
      <c r="D374" s="27"/>
      <c r="E374" s="27"/>
      <c r="F374" s="27"/>
      <c r="G374" s="27"/>
      <c r="H374" s="27"/>
      <c r="I374" s="27"/>
      <c r="J374" s="27"/>
      <c r="K374" s="24" t="str">
        <f t="shared" si="113"/>
        <v/>
      </c>
      <c r="L374" s="24" t="str">
        <f t="shared" si="119"/>
        <v/>
      </c>
      <c r="M374" s="24" t="str">
        <f t="shared" si="114"/>
        <v/>
      </c>
      <c r="N374" s="24" t="str">
        <f t="shared" si="120"/>
        <v/>
      </c>
      <c r="O374" s="24" t="str">
        <f t="shared" si="115"/>
        <v/>
      </c>
      <c r="P374" s="24" t="str">
        <f t="shared" si="123"/>
        <v/>
      </c>
      <c r="Q374" s="24" t="str">
        <f t="shared" si="116"/>
        <v/>
      </c>
      <c r="R374" s="24" t="str">
        <f t="shared" si="121"/>
        <v/>
      </c>
      <c r="S374" s="108">
        <f t="shared" ref="S374:S437" si="124">B374*0.1</f>
        <v>0</v>
      </c>
      <c r="T374" s="28">
        <f t="shared" si="122"/>
        <v>0</v>
      </c>
      <c r="U374" s="28">
        <f t="shared" si="111"/>
        <v>0</v>
      </c>
      <c r="V374" s="36" t="e">
        <f t="shared" si="117"/>
        <v>#DIV/0!</v>
      </c>
      <c r="W374" s="36" t="e">
        <f t="shared" si="118"/>
        <v>#DIV/0!</v>
      </c>
      <c r="X374" s="56" t="e">
        <f t="shared" si="112"/>
        <v>#DIV/0!</v>
      </c>
    </row>
    <row r="375" spans="1:24">
      <c r="A375" s="26"/>
      <c r="B375" s="27"/>
      <c r="C375" s="27"/>
      <c r="D375" s="27"/>
      <c r="E375" s="27"/>
      <c r="F375" s="27"/>
      <c r="G375" s="27"/>
      <c r="H375" s="27"/>
      <c r="I375" s="27"/>
      <c r="J375" s="27"/>
      <c r="K375" s="24" t="str">
        <f t="shared" si="113"/>
        <v/>
      </c>
      <c r="L375" s="24" t="str">
        <f t="shared" si="119"/>
        <v/>
      </c>
      <c r="M375" s="24" t="str">
        <f t="shared" si="114"/>
        <v/>
      </c>
      <c r="N375" s="24" t="str">
        <f t="shared" si="120"/>
        <v/>
      </c>
      <c r="O375" s="24" t="str">
        <f t="shared" si="115"/>
        <v/>
      </c>
      <c r="P375" s="24" t="str">
        <f t="shared" si="123"/>
        <v/>
      </c>
      <c r="Q375" s="24" t="str">
        <f t="shared" si="116"/>
        <v/>
      </c>
      <c r="R375" s="24" t="str">
        <f t="shared" si="121"/>
        <v/>
      </c>
      <c r="S375" s="108">
        <f t="shared" si="124"/>
        <v>0</v>
      </c>
      <c r="T375" s="28">
        <f t="shared" si="122"/>
        <v>0</v>
      </c>
      <c r="U375" s="28">
        <f t="shared" si="111"/>
        <v>0</v>
      </c>
      <c r="V375" s="36" t="e">
        <f t="shared" si="117"/>
        <v>#DIV/0!</v>
      </c>
      <c r="W375" s="36" t="e">
        <f t="shared" si="118"/>
        <v>#DIV/0!</v>
      </c>
      <c r="X375" s="56" t="e">
        <f t="shared" si="112"/>
        <v>#DIV/0!</v>
      </c>
    </row>
    <row r="376" spans="1:24">
      <c r="A376" s="26"/>
      <c r="B376" s="27"/>
      <c r="C376" s="27"/>
      <c r="D376" s="27"/>
      <c r="E376" s="27"/>
      <c r="F376" s="27"/>
      <c r="G376" s="27"/>
      <c r="H376" s="27"/>
      <c r="I376" s="27"/>
      <c r="J376" s="27"/>
      <c r="K376" s="24" t="str">
        <f t="shared" si="113"/>
        <v/>
      </c>
      <c r="L376" s="24" t="str">
        <f t="shared" si="119"/>
        <v/>
      </c>
      <c r="M376" s="24" t="str">
        <f t="shared" si="114"/>
        <v/>
      </c>
      <c r="N376" s="24" t="str">
        <f t="shared" si="120"/>
        <v/>
      </c>
      <c r="O376" s="24" t="str">
        <f t="shared" si="115"/>
        <v/>
      </c>
      <c r="P376" s="24" t="str">
        <f t="shared" si="123"/>
        <v/>
      </c>
      <c r="Q376" s="24" t="str">
        <f t="shared" si="116"/>
        <v/>
      </c>
      <c r="R376" s="24" t="str">
        <f t="shared" si="121"/>
        <v/>
      </c>
      <c r="S376" s="108">
        <f t="shared" si="124"/>
        <v>0</v>
      </c>
      <c r="T376" s="28">
        <f t="shared" si="122"/>
        <v>0</v>
      </c>
      <c r="U376" s="28">
        <f t="shared" si="111"/>
        <v>0</v>
      </c>
      <c r="V376" s="36" t="e">
        <f t="shared" si="117"/>
        <v>#DIV/0!</v>
      </c>
      <c r="W376" s="36" t="e">
        <f t="shared" si="118"/>
        <v>#DIV/0!</v>
      </c>
      <c r="X376" s="56" t="e">
        <f t="shared" si="112"/>
        <v>#DIV/0!</v>
      </c>
    </row>
    <row r="377" spans="1:24">
      <c r="A377" s="26"/>
      <c r="B377" s="27"/>
      <c r="C377" s="27"/>
      <c r="D377" s="27"/>
      <c r="E377" s="27"/>
      <c r="F377" s="27"/>
      <c r="G377" s="27"/>
      <c r="H377" s="27"/>
      <c r="I377" s="27"/>
      <c r="J377" s="27"/>
      <c r="K377" s="24" t="str">
        <f t="shared" si="113"/>
        <v/>
      </c>
      <c r="L377" s="24" t="str">
        <f t="shared" si="119"/>
        <v/>
      </c>
      <c r="M377" s="24" t="str">
        <f t="shared" si="114"/>
        <v/>
      </c>
      <c r="N377" s="24" t="str">
        <f t="shared" si="120"/>
        <v/>
      </c>
      <c r="O377" s="24" t="str">
        <f t="shared" si="115"/>
        <v/>
      </c>
      <c r="P377" s="24" t="str">
        <f t="shared" si="123"/>
        <v/>
      </c>
      <c r="Q377" s="24" t="str">
        <f t="shared" si="116"/>
        <v/>
      </c>
      <c r="R377" s="24" t="str">
        <f t="shared" si="121"/>
        <v/>
      </c>
      <c r="S377" s="108">
        <f t="shared" si="124"/>
        <v>0</v>
      </c>
      <c r="T377" s="28">
        <f t="shared" si="122"/>
        <v>0</v>
      </c>
      <c r="U377" s="28">
        <f t="shared" si="111"/>
        <v>0</v>
      </c>
      <c r="V377" s="36" t="e">
        <f t="shared" si="117"/>
        <v>#DIV/0!</v>
      </c>
      <c r="W377" s="36" t="e">
        <f t="shared" si="118"/>
        <v>#DIV/0!</v>
      </c>
      <c r="X377" s="56" t="e">
        <f t="shared" si="112"/>
        <v>#DIV/0!</v>
      </c>
    </row>
    <row r="378" spans="1:24">
      <c r="A378" s="26"/>
      <c r="B378" s="27"/>
      <c r="C378" s="27"/>
      <c r="D378" s="27"/>
      <c r="E378" s="27"/>
      <c r="F378" s="27"/>
      <c r="G378" s="27"/>
      <c r="H378" s="27"/>
      <c r="I378" s="27"/>
      <c r="J378" s="27"/>
      <c r="K378" s="24" t="str">
        <f t="shared" si="113"/>
        <v/>
      </c>
      <c r="L378" s="24" t="str">
        <f t="shared" si="119"/>
        <v/>
      </c>
      <c r="M378" s="24" t="str">
        <f t="shared" si="114"/>
        <v/>
      </c>
      <c r="N378" s="24" t="str">
        <f t="shared" si="120"/>
        <v/>
      </c>
      <c r="O378" s="24" t="str">
        <f t="shared" si="115"/>
        <v/>
      </c>
      <c r="P378" s="24" t="str">
        <f t="shared" si="123"/>
        <v/>
      </c>
      <c r="Q378" s="24" t="str">
        <f t="shared" si="116"/>
        <v/>
      </c>
      <c r="R378" s="24" t="str">
        <f t="shared" si="121"/>
        <v/>
      </c>
      <c r="S378" s="108">
        <f t="shared" si="124"/>
        <v>0</v>
      </c>
      <c r="T378" s="28">
        <f t="shared" si="122"/>
        <v>0</v>
      </c>
      <c r="U378" s="28">
        <f t="shared" si="111"/>
        <v>0</v>
      </c>
      <c r="V378" s="36" t="e">
        <f t="shared" si="117"/>
        <v>#DIV/0!</v>
      </c>
      <c r="W378" s="36" t="e">
        <f t="shared" si="118"/>
        <v>#DIV/0!</v>
      </c>
      <c r="X378" s="56" t="e">
        <f t="shared" si="112"/>
        <v>#DIV/0!</v>
      </c>
    </row>
    <row r="379" spans="1:24">
      <c r="A379" s="26"/>
      <c r="B379" s="27"/>
      <c r="C379" s="27"/>
      <c r="D379" s="27"/>
      <c r="E379" s="27"/>
      <c r="F379" s="27"/>
      <c r="G379" s="27"/>
      <c r="H379" s="27"/>
      <c r="I379" s="27"/>
      <c r="J379" s="27"/>
      <c r="K379" s="24" t="str">
        <f t="shared" si="113"/>
        <v/>
      </c>
      <c r="L379" s="24" t="str">
        <f t="shared" si="119"/>
        <v/>
      </c>
      <c r="M379" s="24" t="str">
        <f t="shared" si="114"/>
        <v/>
      </c>
      <c r="N379" s="24" t="str">
        <f t="shared" si="120"/>
        <v/>
      </c>
      <c r="O379" s="24" t="str">
        <f t="shared" si="115"/>
        <v/>
      </c>
      <c r="P379" s="24" t="str">
        <f t="shared" si="123"/>
        <v/>
      </c>
      <c r="Q379" s="24" t="str">
        <f t="shared" si="116"/>
        <v/>
      </c>
      <c r="R379" s="24" t="str">
        <f t="shared" si="121"/>
        <v/>
      </c>
      <c r="S379" s="108">
        <f t="shared" si="124"/>
        <v>0</v>
      </c>
      <c r="T379" s="28">
        <f t="shared" si="122"/>
        <v>0</v>
      </c>
      <c r="U379" s="28">
        <f t="shared" si="111"/>
        <v>0</v>
      </c>
      <c r="V379" s="36" t="e">
        <f t="shared" si="117"/>
        <v>#DIV/0!</v>
      </c>
      <c r="W379" s="36" t="e">
        <f t="shared" si="118"/>
        <v>#DIV/0!</v>
      </c>
      <c r="X379" s="56" t="e">
        <f t="shared" si="112"/>
        <v>#DIV/0!</v>
      </c>
    </row>
    <row r="380" spans="1:24">
      <c r="A380" s="26"/>
      <c r="B380" s="27"/>
      <c r="C380" s="27"/>
      <c r="D380" s="27"/>
      <c r="E380" s="27"/>
      <c r="F380" s="27"/>
      <c r="G380" s="27"/>
      <c r="H380" s="27"/>
      <c r="I380" s="27"/>
      <c r="J380" s="27"/>
      <c r="K380" s="24" t="str">
        <f t="shared" si="113"/>
        <v/>
      </c>
      <c r="L380" s="24" t="str">
        <f t="shared" si="119"/>
        <v/>
      </c>
      <c r="M380" s="24" t="str">
        <f t="shared" si="114"/>
        <v/>
      </c>
      <c r="N380" s="24" t="str">
        <f t="shared" si="120"/>
        <v/>
      </c>
      <c r="O380" s="24" t="str">
        <f t="shared" si="115"/>
        <v/>
      </c>
      <c r="P380" s="24" t="str">
        <f t="shared" si="123"/>
        <v/>
      </c>
      <c r="Q380" s="24" t="str">
        <f t="shared" si="116"/>
        <v/>
      </c>
      <c r="R380" s="24" t="str">
        <f t="shared" si="121"/>
        <v/>
      </c>
      <c r="S380" s="108">
        <f t="shared" si="124"/>
        <v>0</v>
      </c>
      <c r="T380" s="28">
        <f t="shared" si="122"/>
        <v>0</v>
      </c>
      <c r="U380" s="28">
        <f t="shared" si="111"/>
        <v>0</v>
      </c>
      <c r="V380" s="36" t="e">
        <f t="shared" si="117"/>
        <v>#DIV/0!</v>
      </c>
      <c r="W380" s="36" t="e">
        <f t="shared" si="118"/>
        <v>#DIV/0!</v>
      </c>
      <c r="X380" s="56" t="e">
        <f t="shared" si="112"/>
        <v>#DIV/0!</v>
      </c>
    </row>
    <row r="381" spans="1:24">
      <c r="A381" s="26"/>
      <c r="B381" s="27"/>
      <c r="C381" s="27"/>
      <c r="D381" s="27"/>
      <c r="E381" s="27"/>
      <c r="F381" s="27"/>
      <c r="G381" s="27"/>
      <c r="H381" s="27"/>
      <c r="I381" s="27"/>
      <c r="J381" s="27"/>
      <c r="K381" s="24" t="str">
        <f t="shared" si="113"/>
        <v/>
      </c>
      <c r="L381" s="24" t="str">
        <f t="shared" si="119"/>
        <v/>
      </c>
      <c r="M381" s="24" t="str">
        <f t="shared" si="114"/>
        <v/>
      </c>
      <c r="N381" s="24" t="str">
        <f t="shared" si="120"/>
        <v/>
      </c>
      <c r="O381" s="24" t="str">
        <f t="shared" si="115"/>
        <v/>
      </c>
      <c r="P381" s="24" t="str">
        <f t="shared" si="123"/>
        <v/>
      </c>
      <c r="Q381" s="24" t="str">
        <f t="shared" si="116"/>
        <v/>
      </c>
      <c r="R381" s="24" t="str">
        <f t="shared" si="121"/>
        <v/>
      </c>
      <c r="S381" s="108">
        <f t="shared" si="124"/>
        <v>0</v>
      </c>
      <c r="T381" s="28">
        <f t="shared" si="122"/>
        <v>0</v>
      </c>
      <c r="U381" s="28">
        <f t="shared" si="111"/>
        <v>0</v>
      </c>
      <c r="V381" s="36" t="e">
        <f t="shared" si="117"/>
        <v>#DIV/0!</v>
      </c>
      <c r="W381" s="36" t="e">
        <f t="shared" si="118"/>
        <v>#DIV/0!</v>
      </c>
      <c r="X381" s="56" t="e">
        <f t="shared" si="112"/>
        <v>#DIV/0!</v>
      </c>
    </row>
    <row r="382" spans="1:24">
      <c r="A382" s="26"/>
      <c r="B382" s="27"/>
      <c r="C382" s="27"/>
      <c r="D382" s="27"/>
      <c r="E382" s="27"/>
      <c r="F382" s="27"/>
      <c r="G382" s="27"/>
      <c r="H382" s="27"/>
      <c r="I382" s="27"/>
      <c r="J382" s="27"/>
      <c r="K382" s="24" t="str">
        <f t="shared" si="113"/>
        <v/>
      </c>
      <c r="L382" s="24" t="str">
        <f t="shared" si="119"/>
        <v/>
      </c>
      <c r="M382" s="24" t="str">
        <f t="shared" si="114"/>
        <v/>
      </c>
      <c r="N382" s="24" t="str">
        <f t="shared" si="120"/>
        <v/>
      </c>
      <c r="O382" s="24" t="str">
        <f t="shared" si="115"/>
        <v/>
      </c>
      <c r="P382" s="24" t="str">
        <f t="shared" si="123"/>
        <v/>
      </c>
      <c r="Q382" s="24" t="str">
        <f t="shared" si="116"/>
        <v/>
      </c>
      <c r="R382" s="24" t="str">
        <f t="shared" si="121"/>
        <v/>
      </c>
      <c r="S382" s="108">
        <f t="shared" si="124"/>
        <v>0</v>
      </c>
      <c r="T382" s="28">
        <f t="shared" si="122"/>
        <v>0</v>
      </c>
      <c r="U382" s="28">
        <f t="shared" si="111"/>
        <v>0</v>
      </c>
      <c r="V382" s="36" t="e">
        <f t="shared" si="117"/>
        <v>#DIV/0!</v>
      </c>
      <c r="W382" s="36" t="e">
        <f t="shared" si="118"/>
        <v>#DIV/0!</v>
      </c>
      <c r="X382" s="56" t="e">
        <f t="shared" si="112"/>
        <v>#DIV/0!</v>
      </c>
    </row>
    <row r="383" spans="1:24">
      <c r="A383" s="26"/>
      <c r="B383" s="27"/>
      <c r="C383" s="27"/>
      <c r="D383" s="27"/>
      <c r="E383" s="27"/>
      <c r="F383" s="27"/>
      <c r="G383" s="27"/>
      <c r="H383" s="27"/>
      <c r="I383" s="27"/>
      <c r="J383" s="27"/>
      <c r="K383" s="24" t="str">
        <f t="shared" si="113"/>
        <v/>
      </c>
      <c r="L383" s="24" t="str">
        <f t="shared" si="119"/>
        <v/>
      </c>
      <c r="M383" s="24" t="str">
        <f t="shared" si="114"/>
        <v/>
      </c>
      <c r="N383" s="24" t="str">
        <f t="shared" si="120"/>
        <v/>
      </c>
      <c r="O383" s="24" t="str">
        <f t="shared" si="115"/>
        <v/>
      </c>
      <c r="P383" s="24" t="str">
        <f t="shared" si="123"/>
        <v/>
      </c>
      <c r="Q383" s="24" t="str">
        <f t="shared" si="116"/>
        <v/>
      </c>
      <c r="R383" s="24" t="str">
        <f t="shared" si="121"/>
        <v/>
      </c>
      <c r="S383" s="108">
        <f t="shared" si="124"/>
        <v>0</v>
      </c>
      <c r="T383" s="28">
        <f t="shared" si="122"/>
        <v>0</v>
      </c>
      <c r="U383" s="28">
        <f t="shared" si="111"/>
        <v>0</v>
      </c>
      <c r="V383" s="36" t="e">
        <f t="shared" si="117"/>
        <v>#DIV/0!</v>
      </c>
      <c r="W383" s="36" t="e">
        <f t="shared" si="118"/>
        <v>#DIV/0!</v>
      </c>
      <c r="X383" s="56" t="e">
        <f t="shared" si="112"/>
        <v>#DIV/0!</v>
      </c>
    </row>
    <row r="384" spans="1:24">
      <c r="A384" s="26"/>
      <c r="B384" s="27"/>
      <c r="C384" s="27"/>
      <c r="D384" s="27"/>
      <c r="E384" s="27"/>
      <c r="F384" s="27"/>
      <c r="G384" s="27"/>
      <c r="H384" s="27"/>
      <c r="I384" s="27"/>
      <c r="J384" s="27"/>
      <c r="K384" s="24" t="str">
        <f t="shared" si="113"/>
        <v/>
      </c>
      <c r="L384" s="24" t="str">
        <f t="shared" si="119"/>
        <v/>
      </c>
      <c r="M384" s="24" t="str">
        <f t="shared" si="114"/>
        <v/>
      </c>
      <c r="N384" s="24" t="str">
        <f t="shared" si="120"/>
        <v/>
      </c>
      <c r="O384" s="24" t="str">
        <f t="shared" si="115"/>
        <v/>
      </c>
      <c r="P384" s="24" t="str">
        <f t="shared" si="123"/>
        <v/>
      </c>
      <c r="Q384" s="24" t="str">
        <f t="shared" si="116"/>
        <v/>
      </c>
      <c r="R384" s="24" t="str">
        <f t="shared" si="121"/>
        <v/>
      </c>
      <c r="S384" s="108">
        <f t="shared" si="124"/>
        <v>0</v>
      </c>
      <c r="T384" s="28">
        <f t="shared" si="122"/>
        <v>0</v>
      </c>
      <c r="U384" s="28">
        <f t="shared" si="111"/>
        <v>0</v>
      </c>
      <c r="V384" s="36" t="e">
        <f t="shared" si="117"/>
        <v>#DIV/0!</v>
      </c>
      <c r="W384" s="36" t="e">
        <f t="shared" si="118"/>
        <v>#DIV/0!</v>
      </c>
      <c r="X384" s="56" t="e">
        <f t="shared" si="112"/>
        <v>#DIV/0!</v>
      </c>
    </row>
    <row r="385" spans="1:24">
      <c r="A385" s="26"/>
      <c r="B385" s="27"/>
      <c r="C385" s="27"/>
      <c r="D385" s="27"/>
      <c r="E385" s="27"/>
      <c r="F385" s="27"/>
      <c r="G385" s="27"/>
      <c r="H385" s="27"/>
      <c r="I385" s="27"/>
      <c r="J385" s="27"/>
      <c r="K385" s="24" t="str">
        <f t="shared" si="113"/>
        <v/>
      </c>
      <c r="L385" s="24" t="str">
        <f t="shared" si="119"/>
        <v/>
      </c>
      <c r="M385" s="24" t="str">
        <f t="shared" si="114"/>
        <v/>
      </c>
      <c r="N385" s="24" t="str">
        <f t="shared" si="120"/>
        <v/>
      </c>
      <c r="O385" s="24" t="str">
        <f t="shared" si="115"/>
        <v/>
      </c>
      <c r="P385" s="24" t="str">
        <f t="shared" si="123"/>
        <v/>
      </c>
      <c r="Q385" s="24" t="str">
        <f t="shared" si="116"/>
        <v/>
      </c>
      <c r="R385" s="24" t="str">
        <f t="shared" si="121"/>
        <v/>
      </c>
      <c r="S385" s="108">
        <f t="shared" si="124"/>
        <v>0</v>
      </c>
      <c r="T385" s="28">
        <f t="shared" si="122"/>
        <v>0</v>
      </c>
      <c r="U385" s="28">
        <f t="shared" si="111"/>
        <v>0</v>
      </c>
      <c r="V385" s="36" t="e">
        <f t="shared" si="117"/>
        <v>#DIV/0!</v>
      </c>
      <c r="W385" s="36" t="e">
        <f t="shared" si="118"/>
        <v>#DIV/0!</v>
      </c>
      <c r="X385" s="56" t="e">
        <f t="shared" si="112"/>
        <v>#DIV/0!</v>
      </c>
    </row>
    <row r="386" spans="1:24">
      <c r="A386" s="26"/>
      <c r="B386" s="27"/>
      <c r="C386" s="27"/>
      <c r="D386" s="27"/>
      <c r="E386" s="27"/>
      <c r="F386" s="27"/>
      <c r="G386" s="27"/>
      <c r="H386" s="27"/>
      <c r="I386" s="27"/>
      <c r="J386" s="27"/>
      <c r="K386" s="24" t="str">
        <f t="shared" si="113"/>
        <v/>
      </c>
      <c r="L386" s="24" t="str">
        <f t="shared" si="119"/>
        <v/>
      </c>
      <c r="M386" s="24" t="str">
        <f t="shared" si="114"/>
        <v/>
      </c>
      <c r="N386" s="24" t="str">
        <f t="shared" si="120"/>
        <v/>
      </c>
      <c r="O386" s="24" t="str">
        <f t="shared" si="115"/>
        <v/>
      </c>
      <c r="P386" s="24" t="str">
        <f t="shared" si="123"/>
        <v/>
      </c>
      <c r="Q386" s="24" t="str">
        <f t="shared" si="116"/>
        <v/>
      </c>
      <c r="R386" s="24" t="str">
        <f t="shared" si="121"/>
        <v/>
      </c>
      <c r="S386" s="108">
        <f t="shared" si="124"/>
        <v>0</v>
      </c>
      <c r="T386" s="28">
        <f t="shared" si="122"/>
        <v>0</v>
      </c>
      <c r="U386" s="28">
        <f t="shared" si="111"/>
        <v>0</v>
      </c>
      <c r="V386" s="36" t="e">
        <f t="shared" si="117"/>
        <v>#DIV/0!</v>
      </c>
      <c r="W386" s="36" t="e">
        <f t="shared" si="118"/>
        <v>#DIV/0!</v>
      </c>
      <c r="X386" s="56" t="e">
        <f t="shared" si="112"/>
        <v>#DIV/0!</v>
      </c>
    </row>
    <row r="387" spans="1:24">
      <c r="A387" s="26"/>
      <c r="B387" s="27"/>
      <c r="C387" s="27"/>
      <c r="D387" s="27"/>
      <c r="E387" s="27"/>
      <c r="F387" s="27"/>
      <c r="G387" s="27"/>
      <c r="H387" s="27"/>
      <c r="I387" s="27"/>
      <c r="J387" s="27"/>
      <c r="K387" s="24" t="str">
        <f t="shared" si="113"/>
        <v/>
      </c>
      <c r="L387" s="24" t="str">
        <f t="shared" si="119"/>
        <v/>
      </c>
      <c r="M387" s="24" t="str">
        <f t="shared" si="114"/>
        <v/>
      </c>
      <c r="N387" s="24" t="str">
        <f t="shared" si="120"/>
        <v/>
      </c>
      <c r="O387" s="24" t="str">
        <f t="shared" si="115"/>
        <v/>
      </c>
      <c r="P387" s="24" t="str">
        <f t="shared" si="123"/>
        <v/>
      </c>
      <c r="Q387" s="24" t="str">
        <f t="shared" si="116"/>
        <v/>
      </c>
      <c r="R387" s="24" t="str">
        <f t="shared" si="121"/>
        <v/>
      </c>
      <c r="S387" s="108">
        <f t="shared" si="124"/>
        <v>0</v>
      </c>
      <c r="T387" s="28">
        <f t="shared" si="122"/>
        <v>0</v>
      </c>
      <c r="U387" s="28">
        <f t="shared" si="111"/>
        <v>0</v>
      </c>
      <c r="V387" s="36" t="e">
        <f t="shared" si="117"/>
        <v>#DIV/0!</v>
      </c>
      <c r="W387" s="36" t="e">
        <f t="shared" si="118"/>
        <v>#DIV/0!</v>
      </c>
      <c r="X387" s="56" t="e">
        <f t="shared" si="112"/>
        <v>#DIV/0!</v>
      </c>
    </row>
    <row r="388" spans="1:24">
      <c r="A388" s="26"/>
      <c r="B388" s="27"/>
      <c r="C388" s="27"/>
      <c r="D388" s="27"/>
      <c r="E388" s="27"/>
      <c r="F388" s="27"/>
      <c r="G388" s="27"/>
      <c r="H388" s="27"/>
      <c r="I388" s="27"/>
      <c r="J388" s="27"/>
      <c r="K388" s="24" t="str">
        <f t="shared" si="113"/>
        <v/>
      </c>
      <c r="L388" s="24" t="str">
        <f t="shared" si="119"/>
        <v/>
      </c>
      <c r="M388" s="24" t="str">
        <f t="shared" si="114"/>
        <v/>
      </c>
      <c r="N388" s="24" t="str">
        <f t="shared" si="120"/>
        <v/>
      </c>
      <c r="O388" s="24" t="str">
        <f t="shared" si="115"/>
        <v/>
      </c>
      <c r="P388" s="24" t="str">
        <f t="shared" si="123"/>
        <v/>
      </c>
      <c r="Q388" s="24" t="str">
        <f t="shared" si="116"/>
        <v/>
      </c>
      <c r="R388" s="24" t="str">
        <f t="shared" si="121"/>
        <v/>
      </c>
      <c r="S388" s="108">
        <f t="shared" si="124"/>
        <v>0</v>
      </c>
      <c r="T388" s="28">
        <f t="shared" si="122"/>
        <v>0</v>
      </c>
      <c r="U388" s="28">
        <f t="shared" si="111"/>
        <v>0</v>
      </c>
      <c r="V388" s="36" t="e">
        <f t="shared" si="117"/>
        <v>#DIV/0!</v>
      </c>
      <c r="W388" s="36" t="e">
        <f t="shared" si="118"/>
        <v>#DIV/0!</v>
      </c>
      <c r="X388" s="56" t="e">
        <f t="shared" si="112"/>
        <v>#DIV/0!</v>
      </c>
    </row>
    <row r="389" spans="1:24">
      <c r="A389" s="26"/>
      <c r="B389" s="27"/>
      <c r="C389" s="27"/>
      <c r="D389" s="27"/>
      <c r="E389" s="27"/>
      <c r="F389" s="27"/>
      <c r="G389" s="27"/>
      <c r="H389" s="27"/>
      <c r="I389" s="27"/>
      <c r="J389" s="27"/>
      <c r="K389" s="24" t="str">
        <f t="shared" si="113"/>
        <v/>
      </c>
      <c r="L389" s="24" t="str">
        <f t="shared" si="119"/>
        <v/>
      </c>
      <c r="M389" s="24" t="str">
        <f t="shared" si="114"/>
        <v/>
      </c>
      <c r="N389" s="24" t="str">
        <f t="shared" si="120"/>
        <v/>
      </c>
      <c r="O389" s="24" t="str">
        <f t="shared" si="115"/>
        <v/>
      </c>
      <c r="P389" s="24" t="str">
        <f t="shared" si="123"/>
        <v/>
      </c>
      <c r="Q389" s="24" t="str">
        <f t="shared" si="116"/>
        <v/>
      </c>
      <c r="R389" s="24" t="str">
        <f t="shared" si="121"/>
        <v/>
      </c>
      <c r="S389" s="108">
        <f t="shared" si="124"/>
        <v>0</v>
      </c>
      <c r="T389" s="28">
        <f t="shared" si="122"/>
        <v>0</v>
      </c>
      <c r="U389" s="28">
        <f t="shared" si="111"/>
        <v>0</v>
      </c>
      <c r="V389" s="36" t="e">
        <f t="shared" si="117"/>
        <v>#DIV/0!</v>
      </c>
      <c r="W389" s="36" t="e">
        <f t="shared" si="118"/>
        <v>#DIV/0!</v>
      </c>
      <c r="X389" s="56" t="e">
        <f t="shared" si="112"/>
        <v>#DIV/0!</v>
      </c>
    </row>
    <row r="390" spans="1:24">
      <c r="A390" s="26"/>
      <c r="B390" s="27"/>
      <c r="C390" s="27"/>
      <c r="D390" s="27"/>
      <c r="E390" s="27"/>
      <c r="F390" s="27"/>
      <c r="G390" s="27"/>
      <c r="H390" s="27"/>
      <c r="I390" s="27"/>
      <c r="J390" s="27"/>
      <c r="K390" s="24" t="str">
        <f t="shared" si="113"/>
        <v/>
      </c>
      <c r="L390" s="24" t="str">
        <f t="shared" si="119"/>
        <v/>
      </c>
      <c r="M390" s="24" t="str">
        <f t="shared" si="114"/>
        <v/>
      </c>
      <c r="N390" s="24" t="str">
        <f t="shared" si="120"/>
        <v/>
      </c>
      <c r="O390" s="24" t="str">
        <f t="shared" si="115"/>
        <v/>
      </c>
      <c r="P390" s="24" t="str">
        <f t="shared" si="123"/>
        <v/>
      </c>
      <c r="Q390" s="24" t="str">
        <f t="shared" si="116"/>
        <v/>
      </c>
      <c r="R390" s="24" t="str">
        <f t="shared" si="121"/>
        <v/>
      </c>
      <c r="S390" s="108">
        <f t="shared" si="124"/>
        <v>0</v>
      </c>
      <c r="T390" s="28">
        <f t="shared" si="122"/>
        <v>0</v>
      </c>
      <c r="U390" s="28">
        <f t="shared" si="111"/>
        <v>0</v>
      </c>
      <c r="V390" s="36" t="e">
        <f t="shared" si="117"/>
        <v>#DIV/0!</v>
      </c>
      <c r="W390" s="36" t="e">
        <f t="shared" si="118"/>
        <v>#DIV/0!</v>
      </c>
      <c r="X390" s="56" t="e">
        <f t="shared" si="112"/>
        <v>#DIV/0!</v>
      </c>
    </row>
    <row r="391" spans="1:24">
      <c r="A391" s="26"/>
      <c r="B391" s="27"/>
      <c r="C391" s="27"/>
      <c r="D391" s="27"/>
      <c r="E391" s="27"/>
      <c r="F391" s="27"/>
      <c r="G391" s="27"/>
      <c r="H391" s="27"/>
      <c r="I391" s="27"/>
      <c r="J391" s="27"/>
      <c r="K391" s="24" t="str">
        <f t="shared" si="113"/>
        <v/>
      </c>
      <c r="L391" s="24" t="str">
        <f t="shared" si="119"/>
        <v/>
      </c>
      <c r="M391" s="24" t="str">
        <f t="shared" si="114"/>
        <v/>
      </c>
      <c r="N391" s="24" t="str">
        <f t="shared" si="120"/>
        <v/>
      </c>
      <c r="O391" s="24" t="str">
        <f t="shared" si="115"/>
        <v/>
      </c>
      <c r="P391" s="24" t="str">
        <f t="shared" si="123"/>
        <v/>
      </c>
      <c r="Q391" s="24" t="str">
        <f t="shared" si="116"/>
        <v/>
      </c>
      <c r="R391" s="24" t="str">
        <f t="shared" si="121"/>
        <v/>
      </c>
      <c r="S391" s="108">
        <f t="shared" si="124"/>
        <v>0</v>
      </c>
      <c r="T391" s="28">
        <f t="shared" si="122"/>
        <v>0</v>
      </c>
      <c r="U391" s="28">
        <f t="shared" si="111"/>
        <v>0</v>
      </c>
      <c r="V391" s="36" t="e">
        <f t="shared" si="117"/>
        <v>#DIV/0!</v>
      </c>
      <c r="W391" s="36" t="e">
        <f t="shared" si="118"/>
        <v>#DIV/0!</v>
      </c>
      <c r="X391" s="56" t="e">
        <f t="shared" si="112"/>
        <v>#DIV/0!</v>
      </c>
    </row>
    <row r="392" spans="1:24">
      <c r="A392" s="26"/>
      <c r="B392" s="27"/>
      <c r="C392" s="27"/>
      <c r="D392" s="27"/>
      <c r="E392" s="27"/>
      <c r="F392" s="27"/>
      <c r="G392" s="27"/>
      <c r="H392" s="27"/>
      <c r="I392" s="27"/>
      <c r="J392" s="27"/>
      <c r="K392" s="24" t="str">
        <f t="shared" si="113"/>
        <v/>
      </c>
      <c r="L392" s="24" t="str">
        <f t="shared" si="119"/>
        <v/>
      </c>
      <c r="M392" s="24" t="str">
        <f t="shared" si="114"/>
        <v/>
      </c>
      <c r="N392" s="24" t="str">
        <f t="shared" si="120"/>
        <v/>
      </c>
      <c r="O392" s="24" t="str">
        <f t="shared" si="115"/>
        <v/>
      </c>
      <c r="P392" s="24" t="str">
        <f t="shared" si="123"/>
        <v/>
      </c>
      <c r="Q392" s="24" t="str">
        <f t="shared" si="116"/>
        <v/>
      </c>
      <c r="R392" s="24" t="str">
        <f t="shared" si="121"/>
        <v/>
      </c>
      <c r="S392" s="108">
        <f t="shared" si="124"/>
        <v>0</v>
      </c>
      <c r="T392" s="28">
        <f t="shared" si="122"/>
        <v>0</v>
      </c>
      <c r="U392" s="28">
        <f t="shared" si="111"/>
        <v>0</v>
      </c>
      <c r="V392" s="36" t="e">
        <f t="shared" si="117"/>
        <v>#DIV/0!</v>
      </c>
      <c r="W392" s="36" t="e">
        <f t="shared" si="118"/>
        <v>#DIV/0!</v>
      </c>
      <c r="X392" s="56" t="e">
        <f t="shared" si="112"/>
        <v>#DIV/0!</v>
      </c>
    </row>
    <row r="393" spans="1:24">
      <c r="A393" s="26"/>
      <c r="B393" s="27"/>
      <c r="C393" s="27"/>
      <c r="D393" s="27"/>
      <c r="E393" s="27"/>
      <c r="F393" s="27"/>
      <c r="G393" s="27"/>
      <c r="H393" s="27"/>
      <c r="I393" s="27"/>
      <c r="J393" s="27"/>
      <c r="K393" s="24" t="str">
        <f t="shared" si="113"/>
        <v/>
      </c>
      <c r="L393" s="24" t="str">
        <f t="shared" si="119"/>
        <v/>
      </c>
      <c r="M393" s="24" t="str">
        <f t="shared" si="114"/>
        <v/>
      </c>
      <c r="N393" s="24" t="str">
        <f t="shared" si="120"/>
        <v/>
      </c>
      <c r="O393" s="24" t="str">
        <f t="shared" si="115"/>
        <v/>
      </c>
      <c r="P393" s="24" t="str">
        <f t="shared" si="123"/>
        <v/>
      </c>
      <c r="Q393" s="24" t="str">
        <f t="shared" si="116"/>
        <v/>
      </c>
      <c r="R393" s="24" t="str">
        <f t="shared" si="121"/>
        <v/>
      </c>
      <c r="S393" s="108">
        <f t="shared" si="124"/>
        <v>0</v>
      </c>
      <c r="T393" s="28">
        <f t="shared" si="122"/>
        <v>0</v>
      </c>
      <c r="U393" s="28">
        <f t="shared" si="111"/>
        <v>0</v>
      </c>
      <c r="V393" s="36" t="e">
        <f t="shared" si="117"/>
        <v>#DIV/0!</v>
      </c>
      <c r="W393" s="36" t="e">
        <f t="shared" si="118"/>
        <v>#DIV/0!</v>
      </c>
      <c r="X393" s="56" t="e">
        <f t="shared" si="112"/>
        <v>#DIV/0!</v>
      </c>
    </row>
    <row r="394" spans="1:24">
      <c r="A394" s="26"/>
      <c r="B394" s="27"/>
      <c r="C394" s="27"/>
      <c r="D394" s="27"/>
      <c r="E394" s="27"/>
      <c r="F394" s="27"/>
      <c r="G394" s="27"/>
      <c r="H394" s="27"/>
      <c r="I394" s="27"/>
      <c r="J394" s="27"/>
      <c r="K394" s="24" t="str">
        <f t="shared" si="113"/>
        <v/>
      </c>
      <c r="L394" s="24" t="str">
        <f t="shared" si="119"/>
        <v/>
      </c>
      <c r="M394" s="24" t="str">
        <f t="shared" si="114"/>
        <v/>
      </c>
      <c r="N394" s="24" t="str">
        <f t="shared" si="120"/>
        <v/>
      </c>
      <c r="O394" s="24" t="str">
        <f t="shared" si="115"/>
        <v/>
      </c>
      <c r="P394" s="24" t="str">
        <f t="shared" si="123"/>
        <v/>
      </c>
      <c r="Q394" s="24" t="str">
        <f t="shared" si="116"/>
        <v/>
      </c>
      <c r="R394" s="24" t="str">
        <f t="shared" si="121"/>
        <v/>
      </c>
      <c r="S394" s="108">
        <f t="shared" si="124"/>
        <v>0</v>
      </c>
      <c r="T394" s="28">
        <f t="shared" si="122"/>
        <v>0</v>
      </c>
      <c r="U394" s="28">
        <f t="shared" si="111"/>
        <v>0</v>
      </c>
      <c r="V394" s="36" t="e">
        <f t="shared" si="117"/>
        <v>#DIV/0!</v>
      </c>
      <c r="W394" s="36" t="e">
        <f t="shared" si="118"/>
        <v>#DIV/0!</v>
      </c>
      <c r="X394" s="56" t="e">
        <f t="shared" si="112"/>
        <v>#DIV/0!</v>
      </c>
    </row>
    <row r="395" spans="1:24">
      <c r="A395" s="26"/>
      <c r="B395" s="27"/>
      <c r="C395" s="27"/>
      <c r="D395" s="27"/>
      <c r="E395" s="27"/>
      <c r="F395" s="27"/>
      <c r="G395" s="27"/>
      <c r="H395" s="27"/>
      <c r="I395" s="27"/>
      <c r="J395" s="27"/>
      <c r="K395" s="24" t="str">
        <f t="shared" si="113"/>
        <v/>
      </c>
      <c r="L395" s="24" t="str">
        <f t="shared" si="119"/>
        <v/>
      </c>
      <c r="M395" s="24" t="str">
        <f t="shared" si="114"/>
        <v/>
      </c>
      <c r="N395" s="24" t="str">
        <f t="shared" si="120"/>
        <v/>
      </c>
      <c r="O395" s="24" t="str">
        <f t="shared" si="115"/>
        <v/>
      </c>
      <c r="P395" s="24" t="str">
        <f t="shared" si="123"/>
        <v/>
      </c>
      <c r="Q395" s="24" t="str">
        <f t="shared" si="116"/>
        <v/>
      </c>
      <c r="R395" s="24" t="str">
        <f t="shared" si="121"/>
        <v/>
      </c>
      <c r="S395" s="108">
        <f t="shared" si="124"/>
        <v>0</v>
      </c>
      <c r="T395" s="28">
        <f t="shared" si="122"/>
        <v>0</v>
      </c>
      <c r="U395" s="28">
        <f t="shared" si="111"/>
        <v>0</v>
      </c>
      <c r="V395" s="36" t="e">
        <f t="shared" si="117"/>
        <v>#DIV/0!</v>
      </c>
      <c r="W395" s="36" t="e">
        <f t="shared" si="118"/>
        <v>#DIV/0!</v>
      </c>
      <c r="X395" s="56" t="e">
        <f t="shared" si="112"/>
        <v>#DIV/0!</v>
      </c>
    </row>
    <row r="396" spans="1:24">
      <c r="A396" s="26"/>
      <c r="B396" s="27"/>
      <c r="C396" s="27"/>
      <c r="D396" s="27"/>
      <c r="E396" s="27"/>
      <c r="F396" s="27"/>
      <c r="G396" s="27"/>
      <c r="H396" s="27"/>
      <c r="I396" s="27"/>
      <c r="J396" s="27"/>
      <c r="K396" s="24" t="str">
        <f t="shared" si="113"/>
        <v/>
      </c>
      <c r="L396" s="24" t="str">
        <f t="shared" si="119"/>
        <v/>
      </c>
      <c r="M396" s="24" t="str">
        <f t="shared" si="114"/>
        <v/>
      </c>
      <c r="N396" s="24" t="str">
        <f t="shared" si="120"/>
        <v/>
      </c>
      <c r="O396" s="24" t="str">
        <f t="shared" si="115"/>
        <v/>
      </c>
      <c r="P396" s="24" t="str">
        <f t="shared" si="123"/>
        <v/>
      </c>
      <c r="Q396" s="24" t="str">
        <f t="shared" si="116"/>
        <v/>
      </c>
      <c r="R396" s="24" t="str">
        <f t="shared" si="121"/>
        <v/>
      </c>
      <c r="S396" s="108">
        <f t="shared" si="124"/>
        <v>0</v>
      </c>
      <c r="T396" s="28">
        <f t="shared" si="122"/>
        <v>0</v>
      </c>
      <c r="U396" s="28">
        <f t="shared" si="111"/>
        <v>0</v>
      </c>
      <c r="V396" s="36" t="e">
        <f t="shared" si="117"/>
        <v>#DIV/0!</v>
      </c>
      <c r="W396" s="36" t="e">
        <f t="shared" si="118"/>
        <v>#DIV/0!</v>
      </c>
      <c r="X396" s="56" t="e">
        <f t="shared" si="112"/>
        <v>#DIV/0!</v>
      </c>
    </row>
    <row r="397" spans="1:24">
      <c r="A397" s="26"/>
      <c r="B397" s="27"/>
      <c r="C397" s="27"/>
      <c r="D397" s="27"/>
      <c r="E397" s="27"/>
      <c r="F397" s="27"/>
      <c r="G397" s="27"/>
      <c r="H397" s="27"/>
      <c r="I397" s="27"/>
      <c r="J397" s="27"/>
      <c r="K397" s="24" t="str">
        <f t="shared" si="113"/>
        <v/>
      </c>
      <c r="L397" s="24" t="str">
        <f t="shared" si="119"/>
        <v/>
      </c>
      <c r="M397" s="24" t="str">
        <f t="shared" si="114"/>
        <v/>
      </c>
      <c r="N397" s="24" t="str">
        <f t="shared" si="120"/>
        <v/>
      </c>
      <c r="O397" s="24" t="str">
        <f t="shared" si="115"/>
        <v/>
      </c>
      <c r="P397" s="24" t="str">
        <f t="shared" si="123"/>
        <v/>
      </c>
      <c r="Q397" s="24" t="str">
        <f t="shared" si="116"/>
        <v/>
      </c>
      <c r="R397" s="24" t="str">
        <f t="shared" si="121"/>
        <v/>
      </c>
      <c r="S397" s="108">
        <f t="shared" si="124"/>
        <v>0</v>
      </c>
      <c r="T397" s="28">
        <f t="shared" si="122"/>
        <v>0</v>
      </c>
      <c r="U397" s="28">
        <f t="shared" si="111"/>
        <v>0</v>
      </c>
      <c r="V397" s="36" t="e">
        <f t="shared" si="117"/>
        <v>#DIV/0!</v>
      </c>
      <c r="W397" s="36" t="e">
        <f t="shared" si="118"/>
        <v>#DIV/0!</v>
      </c>
      <c r="X397" s="56" t="e">
        <f t="shared" si="112"/>
        <v>#DIV/0!</v>
      </c>
    </row>
    <row r="398" spans="1:24">
      <c r="A398" s="26"/>
      <c r="B398" s="27"/>
      <c r="C398" s="27"/>
      <c r="D398" s="27"/>
      <c r="E398" s="27"/>
      <c r="F398" s="27"/>
      <c r="G398" s="27"/>
      <c r="H398" s="27"/>
      <c r="I398" s="27"/>
      <c r="J398" s="27"/>
      <c r="K398" s="24" t="str">
        <f t="shared" si="113"/>
        <v/>
      </c>
      <c r="L398" s="24" t="str">
        <f t="shared" si="119"/>
        <v/>
      </c>
      <c r="M398" s="24" t="str">
        <f t="shared" si="114"/>
        <v/>
      </c>
      <c r="N398" s="24" t="str">
        <f t="shared" si="120"/>
        <v/>
      </c>
      <c r="O398" s="24" t="str">
        <f t="shared" si="115"/>
        <v/>
      </c>
      <c r="P398" s="24" t="str">
        <f t="shared" si="123"/>
        <v/>
      </c>
      <c r="Q398" s="24" t="str">
        <f t="shared" si="116"/>
        <v/>
      </c>
      <c r="R398" s="24" t="str">
        <f t="shared" si="121"/>
        <v/>
      </c>
      <c r="S398" s="108">
        <f t="shared" si="124"/>
        <v>0</v>
      </c>
      <c r="T398" s="28">
        <f t="shared" si="122"/>
        <v>0</v>
      </c>
      <c r="U398" s="28">
        <f t="shared" si="111"/>
        <v>0</v>
      </c>
      <c r="V398" s="36" t="e">
        <f t="shared" si="117"/>
        <v>#DIV/0!</v>
      </c>
      <c r="W398" s="36" t="e">
        <f t="shared" si="118"/>
        <v>#DIV/0!</v>
      </c>
      <c r="X398" s="56" t="e">
        <f t="shared" si="112"/>
        <v>#DIV/0!</v>
      </c>
    </row>
    <row r="399" spans="1:24">
      <c r="A399" s="26"/>
      <c r="B399" s="27"/>
      <c r="C399" s="27"/>
      <c r="D399" s="27"/>
      <c r="E399" s="27"/>
      <c r="F399" s="27"/>
      <c r="G399" s="27"/>
      <c r="H399" s="27"/>
      <c r="I399" s="27"/>
      <c r="J399" s="27"/>
      <c r="K399" s="24" t="str">
        <f t="shared" si="113"/>
        <v/>
      </c>
      <c r="L399" s="24" t="str">
        <f t="shared" si="119"/>
        <v/>
      </c>
      <c r="M399" s="24" t="str">
        <f t="shared" si="114"/>
        <v/>
      </c>
      <c r="N399" s="24" t="str">
        <f t="shared" si="120"/>
        <v/>
      </c>
      <c r="O399" s="24" t="str">
        <f t="shared" si="115"/>
        <v/>
      </c>
      <c r="P399" s="24" t="str">
        <f t="shared" si="123"/>
        <v/>
      </c>
      <c r="Q399" s="24" t="str">
        <f t="shared" si="116"/>
        <v/>
      </c>
      <c r="R399" s="24" t="str">
        <f t="shared" si="121"/>
        <v/>
      </c>
      <c r="S399" s="108">
        <f t="shared" si="124"/>
        <v>0</v>
      </c>
      <c r="T399" s="28">
        <f t="shared" si="122"/>
        <v>0</v>
      </c>
      <c r="U399" s="28">
        <f t="shared" si="111"/>
        <v>0</v>
      </c>
      <c r="V399" s="36" t="e">
        <f t="shared" si="117"/>
        <v>#DIV/0!</v>
      </c>
      <c r="W399" s="36" t="e">
        <f t="shared" si="118"/>
        <v>#DIV/0!</v>
      </c>
      <c r="X399" s="56" t="e">
        <f t="shared" si="112"/>
        <v>#DIV/0!</v>
      </c>
    </row>
    <row r="400" spans="1:24">
      <c r="A400" s="26"/>
      <c r="B400" s="27"/>
      <c r="C400" s="27"/>
      <c r="D400" s="27"/>
      <c r="E400" s="27"/>
      <c r="F400" s="27"/>
      <c r="G400" s="27"/>
      <c r="H400" s="27"/>
      <c r="I400" s="27"/>
      <c r="J400" s="27"/>
      <c r="K400" s="24" t="str">
        <f t="shared" si="113"/>
        <v/>
      </c>
      <c r="L400" s="24" t="str">
        <f t="shared" si="119"/>
        <v/>
      </c>
      <c r="M400" s="24" t="str">
        <f t="shared" si="114"/>
        <v/>
      </c>
      <c r="N400" s="24" t="str">
        <f t="shared" si="120"/>
        <v/>
      </c>
      <c r="O400" s="24" t="str">
        <f t="shared" si="115"/>
        <v/>
      </c>
      <c r="P400" s="24" t="str">
        <f t="shared" si="123"/>
        <v/>
      </c>
      <c r="Q400" s="24" t="str">
        <f t="shared" si="116"/>
        <v/>
      </c>
      <c r="R400" s="24" t="str">
        <f t="shared" si="121"/>
        <v/>
      </c>
      <c r="S400" s="108">
        <f t="shared" si="124"/>
        <v>0</v>
      </c>
      <c r="T400" s="28">
        <f t="shared" si="122"/>
        <v>0</v>
      </c>
      <c r="U400" s="28">
        <f t="shared" si="111"/>
        <v>0</v>
      </c>
      <c r="V400" s="36" t="e">
        <f t="shared" si="117"/>
        <v>#DIV/0!</v>
      </c>
      <c r="W400" s="36" t="e">
        <f t="shared" si="118"/>
        <v>#DIV/0!</v>
      </c>
      <c r="X400" s="56" t="e">
        <f t="shared" si="112"/>
        <v>#DIV/0!</v>
      </c>
    </row>
    <row r="401" spans="1:24">
      <c r="A401" s="26"/>
      <c r="B401" s="27"/>
      <c r="C401" s="27"/>
      <c r="D401" s="27"/>
      <c r="E401" s="27"/>
      <c r="F401" s="27"/>
      <c r="G401" s="27"/>
      <c r="H401" s="27"/>
      <c r="I401" s="27"/>
      <c r="J401" s="27"/>
      <c r="K401" s="24" t="str">
        <f t="shared" si="113"/>
        <v/>
      </c>
      <c r="L401" s="24" t="str">
        <f t="shared" si="119"/>
        <v/>
      </c>
      <c r="M401" s="24" t="str">
        <f t="shared" si="114"/>
        <v/>
      </c>
      <c r="N401" s="24" t="str">
        <f t="shared" si="120"/>
        <v/>
      </c>
      <c r="O401" s="24" t="str">
        <f t="shared" si="115"/>
        <v/>
      </c>
      <c r="P401" s="24" t="str">
        <f t="shared" si="123"/>
        <v/>
      </c>
      <c r="Q401" s="24" t="str">
        <f t="shared" si="116"/>
        <v/>
      </c>
      <c r="R401" s="24" t="str">
        <f t="shared" si="121"/>
        <v/>
      </c>
      <c r="S401" s="108">
        <f t="shared" si="124"/>
        <v>0</v>
      </c>
      <c r="T401" s="28">
        <f t="shared" si="122"/>
        <v>0</v>
      </c>
      <c r="U401" s="28">
        <f t="shared" si="111"/>
        <v>0</v>
      </c>
      <c r="V401" s="36" t="e">
        <f t="shared" si="117"/>
        <v>#DIV/0!</v>
      </c>
      <c r="W401" s="36" t="e">
        <f t="shared" si="118"/>
        <v>#DIV/0!</v>
      </c>
      <c r="X401" s="56" t="e">
        <f t="shared" si="112"/>
        <v>#DIV/0!</v>
      </c>
    </row>
    <row r="402" spans="1:24">
      <c r="A402" s="26"/>
      <c r="B402" s="27"/>
      <c r="C402" s="27"/>
      <c r="D402" s="27"/>
      <c r="E402" s="27"/>
      <c r="F402" s="27"/>
      <c r="G402" s="27"/>
      <c r="H402" s="27"/>
      <c r="I402" s="27"/>
      <c r="J402" s="27"/>
      <c r="K402" s="24" t="str">
        <f t="shared" si="113"/>
        <v/>
      </c>
      <c r="L402" s="24" t="str">
        <f t="shared" si="119"/>
        <v/>
      </c>
      <c r="M402" s="24" t="str">
        <f t="shared" si="114"/>
        <v/>
      </c>
      <c r="N402" s="24" t="str">
        <f t="shared" si="120"/>
        <v/>
      </c>
      <c r="O402" s="24" t="str">
        <f t="shared" si="115"/>
        <v/>
      </c>
      <c r="P402" s="24" t="str">
        <f t="shared" si="123"/>
        <v/>
      </c>
      <c r="Q402" s="24" t="str">
        <f t="shared" si="116"/>
        <v/>
      </c>
      <c r="R402" s="24" t="str">
        <f t="shared" si="121"/>
        <v/>
      </c>
      <c r="S402" s="108">
        <f t="shared" si="124"/>
        <v>0</v>
      </c>
      <c r="T402" s="28">
        <f t="shared" si="122"/>
        <v>0</v>
      </c>
      <c r="U402" s="28">
        <f t="shared" si="111"/>
        <v>0</v>
      </c>
      <c r="V402" s="36" t="e">
        <f t="shared" si="117"/>
        <v>#DIV/0!</v>
      </c>
      <c r="W402" s="36" t="e">
        <f t="shared" si="118"/>
        <v>#DIV/0!</v>
      </c>
      <c r="X402" s="56" t="e">
        <f t="shared" si="112"/>
        <v>#DIV/0!</v>
      </c>
    </row>
    <row r="403" spans="1:24">
      <c r="A403" s="26"/>
      <c r="B403" s="27"/>
      <c r="C403" s="27"/>
      <c r="D403" s="27"/>
      <c r="E403" s="27"/>
      <c r="F403" s="27"/>
      <c r="G403" s="27"/>
      <c r="H403" s="27"/>
      <c r="I403" s="27"/>
      <c r="J403" s="27"/>
      <c r="K403" s="24" t="str">
        <f t="shared" si="113"/>
        <v/>
      </c>
      <c r="L403" s="24" t="str">
        <f t="shared" si="119"/>
        <v/>
      </c>
      <c r="M403" s="24" t="str">
        <f t="shared" si="114"/>
        <v/>
      </c>
      <c r="N403" s="24" t="str">
        <f t="shared" si="120"/>
        <v/>
      </c>
      <c r="O403" s="24" t="str">
        <f t="shared" si="115"/>
        <v/>
      </c>
      <c r="P403" s="24" t="str">
        <f t="shared" si="123"/>
        <v/>
      </c>
      <c r="Q403" s="24" t="str">
        <f t="shared" si="116"/>
        <v/>
      </c>
      <c r="R403" s="24" t="str">
        <f t="shared" si="121"/>
        <v/>
      </c>
      <c r="S403" s="108">
        <f t="shared" si="124"/>
        <v>0</v>
      </c>
      <c r="T403" s="28">
        <f t="shared" si="122"/>
        <v>0</v>
      </c>
      <c r="U403" s="28">
        <f t="shared" si="111"/>
        <v>0</v>
      </c>
      <c r="V403" s="36" t="e">
        <f t="shared" si="117"/>
        <v>#DIV/0!</v>
      </c>
      <c r="W403" s="36" t="e">
        <f t="shared" si="118"/>
        <v>#DIV/0!</v>
      </c>
      <c r="X403" s="56" t="e">
        <f t="shared" si="112"/>
        <v>#DIV/0!</v>
      </c>
    </row>
    <row r="404" spans="1:24">
      <c r="A404" s="26"/>
      <c r="B404" s="27"/>
      <c r="C404" s="27"/>
      <c r="D404" s="27"/>
      <c r="E404" s="27"/>
      <c r="F404" s="27"/>
      <c r="G404" s="27"/>
      <c r="H404" s="27"/>
      <c r="I404" s="27"/>
      <c r="J404" s="27"/>
      <c r="K404" s="24" t="str">
        <f t="shared" si="113"/>
        <v/>
      </c>
      <c r="L404" s="24" t="str">
        <f t="shared" si="119"/>
        <v/>
      </c>
      <c r="M404" s="24" t="str">
        <f t="shared" si="114"/>
        <v/>
      </c>
      <c r="N404" s="24" t="str">
        <f t="shared" si="120"/>
        <v/>
      </c>
      <c r="O404" s="24" t="str">
        <f t="shared" si="115"/>
        <v/>
      </c>
      <c r="P404" s="24" t="str">
        <f t="shared" si="123"/>
        <v/>
      </c>
      <c r="Q404" s="24" t="str">
        <f t="shared" si="116"/>
        <v/>
      </c>
      <c r="R404" s="24" t="str">
        <f t="shared" si="121"/>
        <v/>
      </c>
      <c r="S404" s="108">
        <f t="shared" si="124"/>
        <v>0</v>
      </c>
      <c r="T404" s="28">
        <f t="shared" si="122"/>
        <v>0</v>
      </c>
      <c r="U404" s="28">
        <f t="shared" si="111"/>
        <v>0</v>
      </c>
      <c r="V404" s="36" t="e">
        <f t="shared" si="117"/>
        <v>#DIV/0!</v>
      </c>
      <c r="W404" s="36" t="e">
        <f t="shared" si="118"/>
        <v>#DIV/0!</v>
      </c>
      <c r="X404" s="56" t="e">
        <f t="shared" si="112"/>
        <v>#DIV/0!</v>
      </c>
    </row>
    <row r="405" spans="1:24">
      <c r="A405" s="26"/>
      <c r="B405" s="27"/>
      <c r="C405" s="27"/>
      <c r="D405" s="27"/>
      <c r="E405" s="27"/>
      <c r="F405" s="27"/>
      <c r="G405" s="27"/>
      <c r="H405" s="27"/>
      <c r="I405" s="27"/>
      <c r="J405" s="27"/>
      <c r="K405" s="24" t="str">
        <f t="shared" si="113"/>
        <v/>
      </c>
      <c r="L405" s="24" t="str">
        <f t="shared" si="119"/>
        <v/>
      </c>
      <c r="M405" s="24" t="str">
        <f t="shared" si="114"/>
        <v/>
      </c>
      <c r="N405" s="24" t="str">
        <f t="shared" si="120"/>
        <v/>
      </c>
      <c r="O405" s="24" t="str">
        <f t="shared" si="115"/>
        <v/>
      </c>
      <c r="P405" s="24" t="str">
        <f t="shared" si="123"/>
        <v/>
      </c>
      <c r="Q405" s="24" t="str">
        <f t="shared" si="116"/>
        <v/>
      </c>
      <c r="R405" s="24" t="str">
        <f t="shared" si="121"/>
        <v/>
      </c>
      <c r="S405" s="108">
        <f t="shared" si="124"/>
        <v>0</v>
      </c>
      <c r="T405" s="28">
        <f t="shared" si="122"/>
        <v>0</v>
      </c>
      <c r="U405" s="28">
        <f t="shared" si="111"/>
        <v>0</v>
      </c>
      <c r="V405" s="36" t="e">
        <f t="shared" si="117"/>
        <v>#DIV/0!</v>
      </c>
      <c r="W405" s="36" t="e">
        <f t="shared" si="118"/>
        <v>#DIV/0!</v>
      </c>
      <c r="X405" s="56" t="e">
        <f t="shared" si="112"/>
        <v>#DIV/0!</v>
      </c>
    </row>
    <row r="406" spans="1:24">
      <c r="A406" s="26"/>
      <c r="B406" s="27"/>
      <c r="C406" s="27"/>
      <c r="D406" s="27"/>
      <c r="E406" s="27"/>
      <c r="F406" s="27"/>
      <c r="G406" s="27"/>
      <c r="H406" s="27"/>
      <c r="I406" s="27"/>
      <c r="J406" s="27"/>
      <c r="K406" s="24" t="str">
        <f t="shared" si="113"/>
        <v/>
      </c>
      <c r="L406" s="24" t="str">
        <f t="shared" si="119"/>
        <v/>
      </c>
      <c r="M406" s="24" t="str">
        <f t="shared" si="114"/>
        <v/>
      </c>
      <c r="N406" s="24" t="str">
        <f t="shared" si="120"/>
        <v/>
      </c>
      <c r="O406" s="24" t="str">
        <f t="shared" si="115"/>
        <v/>
      </c>
      <c r="P406" s="24" t="str">
        <f t="shared" si="123"/>
        <v/>
      </c>
      <c r="Q406" s="24" t="str">
        <f t="shared" si="116"/>
        <v/>
      </c>
      <c r="R406" s="24" t="str">
        <f t="shared" si="121"/>
        <v/>
      </c>
      <c r="S406" s="108">
        <f t="shared" si="124"/>
        <v>0</v>
      </c>
      <c r="T406" s="28">
        <f t="shared" si="122"/>
        <v>0</v>
      </c>
      <c r="U406" s="28">
        <f t="shared" si="111"/>
        <v>0</v>
      </c>
      <c r="V406" s="36" t="e">
        <f t="shared" si="117"/>
        <v>#DIV/0!</v>
      </c>
      <c r="W406" s="36" t="e">
        <f t="shared" si="118"/>
        <v>#DIV/0!</v>
      </c>
      <c r="X406" s="56" t="e">
        <f t="shared" si="112"/>
        <v>#DIV/0!</v>
      </c>
    </row>
    <row r="407" spans="1:24">
      <c r="A407" s="26"/>
      <c r="B407" s="27"/>
      <c r="C407" s="27"/>
      <c r="D407" s="27"/>
      <c r="E407" s="27"/>
      <c r="F407" s="27"/>
      <c r="G407" s="27"/>
      <c r="H407" s="27"/>
      <c r="I407" s="27"/>
      <c r="J407" s="27"/>
      <c r="K407" s="24" t="str">
        <f t="shared" si="113"/>
        <v/>
      </c>
      <c r="L407" s="24" t="str">
        <f t="shared" si="119"/>
        <v/>
      </c>
      <c r="M407" s="24" t="str">
        <f t="shared" si="114"/>
        <v/>
      </c>
      <c r="N407" s="24" t="str">
        <f t="shared" si="120"/>
        <v/>
      </c>
      <c r="O407" s="24" t="str">
        <f t="shared" si="115"/>
        <v/>
      </c>
      <c r="P407" s="24" t="str">
        <f t="shared" si="123"/>
        <v/>
      </c>
      <c r="Q407" s="24" t="str">
        <f t="shared" si="116"/>
        <v/>
      </c>
      <c r="R407" s="24" t="str">
        <f t="shared" si="121"/>
        <v/>
      </c>
      <c r="S407" s="108">
        <f t="shared" si="124"/>
        <v>0</v>
      </c>
      <c r="T407" s="28">
        <f t="shared" si="122"/>
        <v>0</v>
      </c>
      <c r="U407" s="28">
        <f t="shared" si="111"/>
        <v>0</v>
      </c>
      <c r="V407" s="36" t="e">
        <f t="shared" si="117"/>
        <v>#DIV/0!</v>
      </c>
      <c r="W407" s="36" t="e">
        <f t="shared" si="118"/>
        <v>#DIV/0!</v>
      </c>
      <c r="X407" s="56" t="e">
        <f t="shared" si="112"/>
        <v>#DIV/0!</v>
      </c>
    </row>
    <row r="408" spans="1:24">
      <c r="A408" s="26"/>
      <c r="B408" s="27"/>
      <c r="C408" s="27"/>
      <c r="D408" s="27"/>
      <c r="E408" s="27"/>
      <c r="F408" s="27"/>
      <c r="G408" s="27"/>
      <c r="H408" s="27"/>
      <c r="I408" s="27"/>
      <c r="J408" s="27"/>
      <c r="K408" s="24" t="str">
        <f t="shared" si="113"/>
        <v/>
      </c>
      <c r="L408" s="24" t="str">
        <f t="shared" si="119"/>
        <v/>
      </c>
      <c r="M408" s="24" t="str">
        <f t="shared" si="114"/>
        <v/>
      </c>
      <c r="N408" s="24" t="str">
        <f t="shared" si="120"/>
        <v/>
      </c>
      <c r="O408" s="24" t="str">
        <f t="shared" si="115"/>
        <v/>
      </c>
      <c r="P408" s="24" t="str">
        <f t="shared" si="123"/>
        <v/>
      </c>
      <c r="Q408" s="24" t="str">
        <f t="shared" si="116"/>
        <v/>
      </c>
      <c r="R408" s="24" t="str">
        <f t="shared" si="121"/>
        <v/>
      </c>
      <c r="S408" s="108">
        <f t="shared" si="124"/>
        <v>0</v>
      </c>
      <c r="T408" s="28">
        <f t="shared" si="122"/>
        <v>0</v>
      </c>
      <c r="U408" s="28">
        <f t="shared" si="111"/>
        <v>0</v>
      </c>
      <c r="V408" s="36" t="e">
        <f t="shared" si="117"/>
        <v>#DIV/0!</v>
      </c>
      <c r="W408" s="36" t="e">
        <f t="shared" si="118"/>
        <v>#DIV/0!</v>
      </c>
      <c r="X408" s="56" t="e">
        <f t="shared" si="112"/>
        <v>#DIV/0!</v>
      </c>
    </row>
    <row r="409" spans="1:24">
      <c r="A409" s="26"/>
      <c r="B409" s="27"/>
      <c r="C409" s="27"/>
      <c r="D409" s="27"/>
      <c r="E409" s="27"/>
      <c r="F409" s="27"/>
      <c r="G409" s="27"/>
      <c r="H409" s="27"/>
      <c r="I409" s="27"/>
      <c r="J409" s="27"/>
      <c r="K409" s="24" t="str">
        <f t="shared" si="113"/>
        <v/>
      </c>
      <c r="L409" s="24" t="str">
        <f t="shared" si="119"/>
        <v/>
      </c>
      <c r="M409" s="24" t="str">
        <f t="shared" si="114"/>
        <v/>
      </c>
      <c r="N409" s="24" t="str">
        <f t="shared" si="120"/>
        <v/>
      </c>
      <c r="O409" s="24" t="str">
        <f t="shared" si="115"/>
        <v/>
      </c>
      <c r="P409" s="24" t="str">
        <f t="shared" si="123"/>
        <v/>
      </c>
      <c r="Q409" s="24" t="str">
        <f t="shared" si="116"/>
        <v/>
      </c>
      <c r="R409" s="24" t="str">
        <f t="shared" si="121"/>
        <v/>
      </c>
      <c r="S409" s="108">
        <f t="shared" si="124"/>
        <v>0</v>
      </c>
      <c r="T409" s="28">
        <f t="shared" si="122"/>
        <v>0</v>
      </c>
      <c r="U409" s="28">
        <f t="shared" si="111"/>
        <v>0</v>
      </c>
      <c r="V409" s="36" t="e">
        <f t="shared" si="117"/>
        <v>#DIV/0!</v>
      </c>
      <c r="W409" s="36" t="e">
        <f t="shared" si="118"/>
        <v>#DIV/0!</v>
      </c>
      <c r="X409" s="56" t="e">
        <f t="shared" si="112"/>
        <v>#DIV/0!</v>
      </c>
    </row>
    <row r="410" spans="1:24">
      <c r="A410" s="26"/>
      <c r="B410" s="27"/>
      <c r="C410" s="27"/>
      <c r="D410" s="27"/>
      <c r="E410" s="27"/>
      <c r="F410" s="27"/>
      <c r="G410" s="27"/>
      <c r="H410" s="27"/>
      <c r="I410" s="27"/>
      <c r="J410" s="27"/>
      <c r="K410" s="24" t="str">
        <f t="shared" si="113"/>
        <v/>
      </c>
      <c r="L410" s="24" t="str">
        <f t="shared" si="119"/>
        <v/>
      </c>
      <c r="M410" s="24" t="str">
        <f t="shared" si="114"/>
        <v/>
      </c>
      <c r="N410" s="24" t="str">
        <f t="shared" si="120"/>
        <v/>
      </c>
      <c r="O410" s="24" t="str">
        <f t="shared" si="115"/>
        <v/>
      </c>
      <c r="P410" s="24" t="str">
        <f t="shared" si="123"/>
        <v/>
      </c>
      <c r="Q410" s="24" t="str">
        <f t="shared" si="116"/>
        <v/>
      </c>
      <c r="R410" s="24" t="str">
        <f t="shared" si="121"/>
        <v/>
      </c>
      <c r="S410" s="108">
        <f t="shared" si="124"/>
        <v>0</v>
      </c>
      <c r="T410" s="28">
        <f t="shared" si="122"/>
        <v>0</v>
      </c>
      <c r="U410" s="28">
        <f t="shared" si="111"/>
        <v>0</v>
      </c>
      <c r="V410" s="36" t="e">
        <f t="shared" si="117"/>
        <v>#DIV/0!</v>
      </c>
      <c r="W410" s="36" t="e">
        <f t="shared" si="118"/>
        <v>#DIV/0!</v>
      </c>
      <c r="X410" s="56" t="e">
        <f t="shared" si="112"/>
        <v>#DIV/0!</v>
      </c>
    </row>
    <row r="411" spans="1:24">
      <c r="A411" s="26"/>
      <c r="B411" s="27"/>
      <c r="C411" s="27"/>
      <c r="D411" s="27"/>
      <c r="E411" s="27"/>
      <c r="F411" s="27"/>
      <c r="G411" s="27"/>
      <c r="H411" s="27"/>
      <c r="I411" s="27"/>
      <c r="J411" s="27"/>
      <c r="K411" s="24" t="str">
        <f t="shared" si="113"/>
        <v/>
      </c>
      <c r="L411" s="24" t="str">
        <f t="shared" si="119"/>
        <v/>
      </c>
      <c r="M411" s="24" t="str">
        <f t="shared" si="114"/>
        <v/>
      </c>
      <c r="N411" s="24" t="str">
        <f t="shared" si="120"/>
        <v/>
      </c>
      <c r="O411" s="24" t="str">
        <f t="shared" si="115"/>
        <v/>
      </c>
      <c r="P411" s="24" t="str">
        <f t="shared" si="123"/>
        <v/>
      </c>
      <c r="Q411" s="24" t="str">
        <f t="shared" si="116"/>
        <v/>
      </c>
      <c r="R411" s="24" t="str">
        <f t="shared" si="121"/>
        <v/>
      </c>
      <c r="S411" s="108">
        <f t="shared" si="124"/>
        <v>0</v>
      </c>
      <c r="T411" s="28">
        <f t="shared" si="122"/>
        <v>0</v>
      </c>
      <c r="U411" s="28">
        <f t="shared" si="111"/>
        <v>0</v>
      </c>
      <c r="V411" s="36" t="e">
        <f t="shared" si="117"/>
        <v>#DIV/0!</v>
      </c>
      <c r="W411" s="36" t="e">
        <f t="shared" si="118"/>
        <v>#DIV/0!</v>
      </c>
      <c r="X411" s="56" t="e">
        <f t="shared" si="112"/>
        <v>#DIV/0!</v>
      </c>
    </row>
    <row r="412" spans="1:24">
      <c r="A412" s="26"/>
      <c r="B412" s="27"/>
      <c r="C412" s="27"/>
      <c r="D412" s="27"/>
      <c r="E412" s="27"/>
      <c r="F412" s="27"/>
      <c r="G412" s="27"/>
      <c r="H412" s="27"/>
      <c r="I412" s="27"/>
      <c r="J412" s="27"/>
      <c r="K412" s="24" t="str">
        <f t="shared" si="113"/>
        <v/>
      </c>
      <c r="L412" s="24" t="str">
        <f t="shared" si="119"/>
        <v/>
      </c>
      <c r="M412" s="24" t="str">
        <f t="shared" si="114"/>
        <v/>
      </c>
      <c r="N412" s="24" t="str">
        <f t="shared" si="120"/>
        <v/>
      </c>
      <c r="O412" s="24" t="str">
        <f t="shared" si="115"/>
        <v/>
      </c>
      <c r="P412" s="24" t="str">
        <f t="shared" si="123"/>
        <v/>
      </c>
      <c r="Q412" s="24" t="str">
        <f t="shared" si="116"/>
        <v/>
      </c>
      <c r="R412" s="24" t="str">
        <f t="shared" si="121"/>
        <v/>
      </c>
      <c r="S412" s="108">
        <f t="shared" si="124"/>
        <v>0</v>
      </c>
      <c r="T412" s="28">
        <f t="shared" si="122"/>
        <v>0</v>
      </c>
      <c r="U412" s="28">
        <f t="shared" si="111"/>
        <v>0</v>
      </c>
      <c r="V412" s="36" t="e">
        <f t="shared" si="117"/>
        <v>#DIV/0!</v>
      </c>
      <c r="W412" s="36" t="e">
        <f t="shared" si="118"/>
        <v>#DIV/0!</v>
      </c>
      <c r="X412" s="56" t="e">
        <f t="shared" si="112"/>
        <v>#DIV/0!</v>
      </c>
    </row>
    <row r="413" spans="1:24">
      <c r="A413" s="26"/>
      <c r="B413" s="27"/>
      <c r="C413" s="27"/>
      <c r="D413" s="27"/>
      <c r="E413" s="27"/>
      <c r="F413" s="27"/>
      <c r="G413" s="27"/>
      <c r="H413" s="27"/>
      <c r="I413" s="27"/>
      <c r="J413" s="27"/>
      <c r="K413" s="24" t="str">
        <f t="shared" si="113"/>
        <v/>
      </c>
      <c r="L413" s="24" t="str">
        <f t="shared" si="119"/>
        <v/>
      </c>
      <c r="M413" s="24" t="str">
        <f t="shared" si="114"/>
        <v/>
      </c>
      <c r="N413" s="24" t="str">
        <f t="shared" si="120"/>
        <v/>
      </c>
      <c r="O413" s="24" t="str">
        <f t="shared" si="115"/>
        <v/>
      </c>
      <c r="P413" s="24" t="str">
        <f t="shared" si="123"/>
        <v/>
      </c>
      <c r="Q413" s="24" t="str">
        <f t="shared" si="116"/>
        <v/>
      </c>
      <c r="R413" s="24" t="str">
        <f t="shared" si="121"/>
        <v/>
      </c>
      <c r="S413" s="108">
        <f t="shared" si="124"/>
        <v>0</v>
      </c>
      <c r="T413" s="28">
        <f t="shared" si="122"/>
        <v>0</v>
      </c>
      <c r="U413" s="28">
        <f t="shared" si="111"/>
        <v>0</v>
      </c>
      <c r="V413" s="36" t="e">
        <f t="shared" si="117"/>
        <v>#DIV/0!</v>
      </c>
      <c r="W413" s="36" t="e">
        <f t="shared" si="118"/>
        <v>#DIV/0!</v>
      </c>
      <c r="X413" s="56" t="e">
        <f t="shared" si="112"/>
        <v>#DIV/0!</v>
      </c>
    </row>
    <row r="414" spans="1:24">
      <c r="A414" s="26"/>
      <c r="B414" s="27"/>
      <c r="C414" s="27"/>
      <c r="D414" s="27"/>
      <c r="E414" s="27"/>
      <c r="F414" s="27"/>
      <c r="G414" s="27"/>
      <c r="H414" s="27"/>
      <c r="I414" s="27"/>
      <c r="J414" s="27"/>
      <c r="K414" s="24" t="str">
        <f t="shared" si="113"/>
        <v/>
      </c>
      <c r="L414" s="24" t="str">
        <f t="shared" si="119"/>
        <v/>
      </c>
      <c r="M414" s="24" t="str">
        <f t="shared" si="114"/>
        <v/>
      </c>
      <c r="N414" s="24" t="str">
        <f t="shared" si="120"/>
        <v/>
      </c>
      <c r="O414" s="24" t="str">
        <f t="shared" si="115"/>
        <v/>
      </c>
      <c r="P414" s="24" t="str">
        <f t="shared" si="123"/>
        <v/>
      </c>
      <c r="Q414" s="24" t="str">
        <f t="shared" si="116"/>
        <v/>
      </c>
      <c r="R414" s="24" t="str">
        <f t="shared" si="121"/>
        <v/>
      </c>
      <c r="S414" s="108">
        <f t="shared" si="124"/>
        <v>0</v>
      </c>
      <c r="T414" s="28">
        <f t="shared" si="122"/>
        <v>0</v>
      </c>
      <c r="U414" s="28">
        <f t="shared" si="111"/>
        <v>0</v>
      </c>
      <c r="V414" s="36" t="e">
        <f t="shared" si="117"/>
        <v>#DIV/0!</v>
      </c>
      <c r="W414" s="36" t="e">
        <f t="shared" si="118"/>
        <v>#DIV/0!</v>
      </c>
      <c r="X414" s="56" t="e">
        <f t="shared" si="112"/>
        <v>#DIV/0!</v>
      </c>
    </row>
    <row r="415" spans="1:24">
      <c r="A415" s="26"/>
      <c r="B415" s="27"/>
      <c r="C415" s="27"/>
      <c r="D415" s="27"/>
      <c r="E415" s="27"/>
      <c r="F415" s="27"/>
      <c r="G415" s="27"/>
      <c r="H415" s="27"/>
      <c r="I415" s="27"/>
      <c r="J415" s="27"/>
      <c r="K415" s="24" t="str">
        <f t="shared" si="113"/>
        <v/>
      </c>
      <c r="L415" s="24" t="str">
        <f t="shared" si="119"/>
        <v/>
      </c>
      <c r="M415" s="24" t="str">
        <f t="shared" si="114"/>
        <v/>
      </c>
      <c r="N415" s="24" t="str">
        <f t="shared" si="120"/>
        <v/>
      </c>
      <c r="O415" s="24" t="str">
        <f t="shared" si="115"/>
        <v/>
      </c>
      <c r="P415" s="24" t="str">
        <f t="shared" si="123"/>
        <v/>
      </c>
      <c r="Q415" s="24" t="str">
        <f t="shared" si="116"/>
        <v/>
      </c>
      <c r="R415" s="24" t="str">
        <f t="shared" si="121"/>
        <v/>
      </c>
      <c r="S415" s="108">
        <f t="shared" si="124"/>
        <v>0</v>
      </c>
      <c r="T415" s="28">
        <f t="shared" si="122"/>
        <v>0</v>
      </c>
      <c r="U415" s="28">
        <f t="shared" si="111"/>
        <v>0</v>
      </c>
      <c r="V415" s="36" t="e">
        <f t="shared" si="117"/>
        <v>#DIV/0!</v>
      </c>
      <c r="W415" s="36" t="e">
        <f t="shared" si="118"/>
        <v>#DIV/0!</v>
      </c>
      <c r="X415" s="56" t="e">
        <f t="shared" si="112"/>
        <v>#DIV/0!</v>
      </c>
    </row>
    <row r="416" spans="1:24">
      <c r="A416" s="26"/>
      <c r="B416" s="27"/>
      <c r="C416" s="27"/>
      <c r="D416" s="27"/>
      <c r="E416" s="27"/>
      <c r="F416" s="27"/>
      <c r="G416" s="27"/>
      <c r="H416" s="27"/>
      <c r="I416" s="27"/>
      <c r="J416" s="27"/>
      <c r="K416" s="24" t="str">
        <f t="shared" si="113"/>
        <v/>
      </c>
      <c r="L416" s="24" t="str">
        <f t="shared" si="119"/>
        <v/>
      </c>
      <c r="M416" s="24" t="str">
        <f t="shared" si="114"/>
        <v/>
      </c>
      <c r="N416" s="24" t="str">
        <f t="shared" si="120"/>
        <v/>
      </c>
      <c r="O416" s="24" t="str">
        <f t="shared" si="115"/>
        <v/>
      </c>
      <c r="P416" s="24" t="str">
        <f t="shared" si="123"/>
        <v/>
      </c>
      <c r="Q416" s="24" t="str">
        <f t="shared" si="116"/>
        <v/>
      </c>
      <c r="R416" s="24" t="str">
        <f t="shared" si="121"/>
        <v/>
      </c>
      <c r="S416" s="108">
        <f t="shared" si="124"/>
        <v>0</v>
      </c>
      <c r="T416" s="28">
        <f t="shared" si="122"/>
        <v>0</v>
      </c>
      <c r="U416" s="28">
        <f t="shared" si="111"/>
        <v>0</v>
      </c>
      <c r="V416" s="36" t="e">
        <f t="shared" si="117"/>
        <v>#DIV/0!</v>
      </c>
      <c r="W416" s="36" t="e">
        <f t="shared" si="118"/>
        <v>#DIV/0!</v>
      </c>
      <c r="X416" s="56" t="e">
        <f t="shared" si="112"/>
        <v>#DIV/0!</v>
      </c>
    </row>
    <row r="417" spans="1:24">
      <c r="A417" s="26"/>
      <c r="B417" s="27"/>
      <c r="C417" s="27"/>
      <c r="D417" s="27"/>
      <c r="E417" s="27"/>
      <c r="F417" s="27"/>
      <c r="G417" s="27"/>
      <c r="H417" s="27"/>
      <c r="I417" s="27"/>
      <c r="J417" s="27"/>
      <c r="K417" s="24" t="str">
        <f t="shared" si="113"/>
        <v/>
      </c>
      <c r="L417" s="24" t="str">
        <f t="shared" si="119"/>
        <v/>
      </c>
      <c r="M417" s="24" t="str">
        <f t="shared" si="114"/>
        <v/>
      </c>
      <c r="N417" s="24" t="str">
        <f t="shared" si="120"/>
        <v/>
      </c>
      <c r="O417" s="24" t="str">
        <f t="shared" si="115"/>
        <v/>
      </c>
      <c r="P417" s="24" t="str">
        <f t="shared" si="123"/>
        <v/>
      </c>
      <c r="Q417" s="24" t="str">
        <f t="shared" si="116"/>
        <v/>
      </c>
      <c r="R417" s="24" t="str">
        <f t="shared" si="121"/>
        <v/>
      </c>
      <c r="S417" s="108">
        <f t="shared" si="124"/>
        <v>0</v>
      </c>
      <c r="T417" s="28">
        <f t="shared" si="122"/>
        <v>0</v>
      </c>
      <c r="U417" s="28">
        <f t="shared" si="111"/>
        <v>0</v>
      </c>
      <c r="V417" s="36" t="e">
        <f t="shared" si="117"/>
        <v>#DIV/0!</v>
      </c>
      <c r="W417" s="36" t="e">
        <f t="shared" si="118"/>
        <v>#DIV/0!</v>
      </c>
      <c r="X417" s="56" t="e">
        <f t="shared" si="112"/>
        <v>#DIV/0!</v>
      </c>
    </row>
    <row r="418" spans="1:24">
      <c r="A418" s="26"/>
      <c r="B418" s="27"/>
      <c r="C418" s="27"/>
      <c r="D418" s="27"/>
      <c r="E418" s="27"/>
      <c r="F418" s="27"/>
      <c r="G418" s="27"/>
      <c r="H418" s="27"/>
      <c r="I418" s="27"/>
      <c r="J418" s="27"/>
      <c r="K418" s="24" t="str">
        <f t="shared" si="113"/>
        <v/>
      </c>
      <c r="L418" s="24" t="str">
        <f t="shared" si="119"/>
        <v/>
      </c>
      <c r="M418" s="24" t="str">
        <f t="shared" si="114"/>
        <v/>
      </c>
      <c r="N418" s="24" t="str">
        <f t="shared" si="120"/>
        <v/>
      </c>
      <c r="O418" s="24" t="str">
        <f t="shared" si="115"/>
        <v/>
      </c>
      <c r="P418" s="24" t="str">
        <f t="shared" si="123"/>
        <v/>
      </c>
      <c r="Q418" s="24" t="str">
        <f t="shared" si="116"/>
        <v/>
      </c>
      <c r="R418" s="24" t="str">
        <f t="shared" si="121"/>
        <v/>
      </c>
      <c r="S418" s="108">
        <f t="shared" si="124"/>
        <v>0</v>
      </c>
      <c r="T418" s="28">
        <f t="shared" si="122"/>
        <v>0</v>
      </c>
      <c r="U418" s="28">
        <f t="shared" si="111"/>
        <v>0</v>
      </c>
      <c r="V418" s="36" t="e">
        <f t="shared" si="117"/>
        <v>#DIV/0!</v>
      </c>
      <c r="W418" s="36" t="e">
        <f t="shared" si="118"/>
        <v>#DIV/0!</v>
      </c>
      <c r="X418" s="56" t="e">
        <f t="shared" si="112"/>
        <v>#DIV/0!</v>
      </c>
    </row>
    <row r="419" spans="1:24">
      <c r="A419" s="26"/>
      <c r="B419" s="27"/>
      <c r="C419" s="27"/>
      <c r="D419" s="27"/>
      <c r="E419" s="27"/>
      <c r="F419" s="27"/>
      <c r="G419" s="27"/>
      <c r="H419" s="27"/>
      <c r="I419" s="27"/>
      <c r="J419" s="27"/>
      <c r="K419" s="24" t="str">
        <f t="shared" si="113"/>
        <v/>
      </c>
      <c r="L419" s="24" t="str">
        <f t="shared" si="119"/>
        <v/>
      </c>
      <c r="M419" s="24" t="str">
        <f t="shared" si="114"/>
        <v/>
      </c>
      <c r="N419" s="24" t="str">
        <f t="shared" si="120"/>
        <v/>
      </c>
      <c r="O419" s="24" t="str">
        <f t="shared" si="115"/>
        <v/>
      </c>
      <c r="P419" s="24" t="str">
        <f t="shared" si="123"/>
        <v/>
      </c>
      <c r="Q419" s="24" t="str">
        <f t="shared" si="116"/>
        <v/>
      </c>
      <c r="R419" s="24" t="str">
        <f t="shared" si="121"/>
        <v/>
      </c>
      <c r="S419" s="108">
        <f t="shared" si="124"/>
        <v>0</v>
      </c>
      <c r="T419" s="28">
        <f t="shared" si="122"/>
        <v>0</v>
      </c>
      <c r="U419" s="28">
        <f t="shared" ref="U419:U447" si="125">T419*(1+凉菜物料)</f>
        <v>0</v>
      </c>
      <c r="V419" s="36" t="e">
        <f t="shared" si="117"/>
        <v>#DIV/0!</v>
      </c>
      <c r="W419" s="36" t="e">
        <f t="shared" si="118"/>
        <v>#DIV/0!</v>
      </c>
      <c r="X419" s="56" t="e">
        <f t="shared" ref="X419:X447" si="126">ROUNDUP(V419*(1+凉菜毛利),1)</f>
        <v>#DIV/0!</v>
      </c>
    </row>
    <row r="420" spans="1:24">
      <c r="A420" s="26"/>
      <c r="B420" s="27"/>
      <c r="C420" s="27"/>
      <c r="D420" s="27"/>
      <c r="E420" s="27"/>
      <c r="F420" s="27"/>
      <c r="G420" s="27"/>
      <c r="H420" s="27"/>
      <c r="I420" s="27"/>
      <c r="J420" s="27"/>
      <c r="K420" s="24" t="str">
        <f t="shared" ref="K420:K447" si="127">IF(C420="","",VLOOKUP(C420,成本单价,8,0))</f>
        <v/>
      </c>
      <c r="L420" s="24" t="str">
        <f t="shared" si="119"/>
        <v/>
      </c>
      <c r="M420" s="24" t="str">
        <f t="shared" ref="M420:M447" si="128">IF(E420="","",VLOOKUP(E420,成本单价,8,0))</f>
        <v/>
      </c>
      <c r="N420" s="24" t="str">
        <f t="shared" si="120"/>
        <v/>
      </c>
      <c r="O420" s="24" t="str">
        <f t="shared" ref="O420:O447" si="129">IF(G420="","",VLOOKUP(G420,成本单价,8,0))</f>
        <v/>
      </c>
      <c r="P420" s="24" t="str">
        <f t="shared" si="123"/>
        <v/>
      </c>
      <c r="Q420" s="24" t="str">
        <f t="shared" ref="Q420:Q447" si="130">IF(I420="","",VLOOKUP(I420,成本单价,8,0))</f>
        <v/>
      </c>
      <c r="R420" s="24" t="str">
        <f t="shared" si="121"/>
        <v/>
      </c>
      <c r="S420" s="108">
        <f t="shared" si="124"/>
        <v>0</v>
      </c>
      <c r="T420" s="28">
        <f t="shared" si="122"/>
        <v>0</v>
      </c>
      <c r="U420" s="28">
        <f t="shared" si="125"/>
        <v>0</v>
      </c>
      <c r="V420" s="36" t="e">
        <f t="shared" ref="V420:V447" si="131">U420/B420</f>
        <v>#DIV/0!</v>
      </c>
      <c r="W420" s="36" t="e">
        <f t="shared" ref="W420:W447" si="132">D420/B420+F420/B420+H420/B420+J420/B420</f>
        <v>#DIV/0!</v>
      </c>
      <c r="X420" s="56" t="e">
        <f t="shared" si="126"/>
        <v>#DIV/0!</v>
      </c>
    </row>
    <row r="421" spans="1:24">
      <c r="A421" s="26"/>
      <c r="B421" s="27"/>
      <c r="C421" s="27"/>
      <c r="D421" s="27"/>
      <c r="E421" s="27"/>
      <c r="F421" s="27"/>
      <c r="G421" s="27"/>
      <c r="H421" s="27"/>
      <c r="I421" s="27"/>
      <c r="J421" s="27"/>
      <c r="K421" s="24" t="str">
        <f t="shared" si="127"/>
        <v/>
      </c>
      <c r="L421" s="24" t="str">
        <f t="shared" ref="L421:L447" si="133">IFERROR(D421*K421,"")</f>
        <v/>
      </c>
      <c r="M421" s="24" t="str">
        <f t="shared" si="128"/>
        <v/>
      </c>
      <c r="N421" s="24" t="str">
        <f t="shared" ref="N421:N447" si="134">IFERROR(F421*M421,"")</f>
        <v/>
      </c>
      <c r="O421" s="24" t="str">
        <f t="shared" si="129"/>
        <v/>
      </c>
      <c r="P421" s="24" t="str">
        <f t="shared" si="123"/>
        <v/>
      </c>
      <c r="Q421" s="24" t="str">
        <f t="shared" si="130"/>
        <v/>
      </c>
      <c r="R421" s="24" t="str">
        <f t="shared" ref="R421:R447" si="135">IFERROR(J421*Q421,"")</f>
        <v/>
      </c>
      <c r="S421" s="108">
        <f t="shared" si="124"/>
        <v>0</v>
      </c>
      <c r="T421" s="28">
        <f t="shared" ref="T421:T447" si="136">IFERROR(SUM(L421,N421,P421,R421,S421),"")</f>
        <v>0</v>
      </c>
      <c r="U421" s="28">
        <f t="shared" si="125"/>
        <v>0</v>
      </c>
      <c r="V421" s="36" t="e">
        <f t="shared" si="131"/>
        <v>#DIV/0!</v>
      </c>
      <c r="W421" s="36" t="e">
        <f t="shared" si="132"/>
        <v>#DIV/0!</v>
      </c>
      <c r="X421" s="56" t="e">
        <f t="shared" si="126"/>
        <v>#DIV/0!</v>
      </c>
    </row>
    <row r="422" spans="1:24">
      <c r="A422" s="26"/>
      <c r="B422" s="27"/>
      <c r="C422" s="27"/>
      <c r="D422" s="27"/>
      <c r="E422" s="27"/>
      <c r="F422" s="27"/>
      <c r="G422" s="27"/>
      <c r="H422" s="27"/>
      <c r="I422" s="27"/>
      <c r="J422" s="27"/>
      <c r="K422" s="24" t="str">
        <f t="shared" si="127"/>
        <v/>
      </c>
      <c r="L422" s="24" t="str">
        <f t="shared" si="133"/>
        <v/>
      </c>
      <c r="M422" s="24" t="str">
        <f t="shared" si="128"/>
        <v/>
      </c>
      <c r="N422" s="24" t="str">
        <f t="shared" si="134"/>
        <v/>
      </c>
      <c r="O422" s="24" t="str">
        <f t="shared" si="129"/>
        <v/>
      </c>
      <c r="P422" s="24" t="str">
        <f t="shared" ref="P422:P447" si="137">IFERROR(H422*O422,"")</f>
        <v/>
      </c>
      <c r="Q422" s="24" t="str">
        <f t="shared" si="130"/>
        <v/>
      </c>
      <c r="R422" s="24" t="str">
        <f t="shared" si="135"/>
        <v/>
      </c>
      <c r="S422" s="108">
        <f t="shared" si="124"/>
        <v>0</v>
      </c>
      <c r="T422" s="28">
        <f t="shared" si="136"/>
        <v>0</v>
      </c>
      <c r="U422" s="28">
        <f t="shared" si="125"/>
        <v>0</v>
      </c>
      <c r="V422" s="36" t="e">
        <f t="shared" si="131"/>
        <v>#DIV/0!</v>
      </c>
      <c r="W422" s="36" t="e">
        <f t="shared" si="132"/>
        <v>#DIV/0!</v>
      </c>
      <c r="X422" s="56" t="e">
        <f t="shared" si="126"/>
        <v>#DIV/0!</v>
      </c>
    </row>
    <row r="423" spans="1:24">
      <c r="A423" s="26"/>
      <c r="B423" s="27"/>
      <c r="C423" s="27"/>
      <c r="D423" s="27"/>
      <c r="E423" s="27"/>
      <c r="F423" s="27"/>
      <c r="G423" s="27"/>
      <c r="H423" s="27"/>
      <c r="I423" s="27"/>
      <c r="J423" s="27"/>
      <c r="K423" s="24" t="str">
        <f t="shared" si="127"/>
        <v/>
      </c>
      <c r="L423" s="24" t="str">
        <f t="shared" si="133"/>
        <v/>
      </c>
      <c r="M423" s="24" t="str">
        <f t="shared" si="128"/>
        <v/>
      </c>
      <c r="N423" s="24" t="str">
        <f t="shared" si="134"/>
        <v/>
      </c>
      <c r="O423" s="24" t="str">
        <f t="shared" si="129"/>
        <v/>
      </c>
      <c r="P423" s="24" t="str">
        <f t="shared" si="137"/>
        <v/>
      </c>
      <c r="Q423" s="24" t="str">
        <f t="shared" si="130"/>
        <v/>
      </c>
      <c r="R423" s="24" t="str">
        <f t="shared" si="135"/>
        <v/>
      </c>
      <c r="S423" s="108">
        <f t="shared" si="124"/>
        <v>0</v>
      </c>
      <c r="T423" s="28">
        <f t="shared" si="136"/>
        <v>0</v>
      </c>
      <c r="U423" s="28">
        <f t="shared" si="125"/>
        <v>0</v>
      </c>
      <c r="V423" s="36" t="e">
        <f t="shared" si="131"/>
        <v>#DIV/0!</v>
      </c>
      <c r="W423" s="36" t="e">
        <f t="shared" si="132"/>
        <v>#DIV/0!</v>
      </c>
      <c r="X423" s="56" t="e">
        <f t="shared" si="126"/>
        <v>#DIV/0!</v>
      </c>
    </row>
    <row r="424" spans="1:24">
      <c r="A424" s="26"/>
      <c r="B424" s="27"/>
      <c r="C424" s="27"/>
      <c r="D424" s="27"/>
      <c r="E424" s="27"/>
      <c r="F424" s="27"/>
      <c r="G424" s="27"/>
      <c r="H424" s="27"/>
      <c r="I424" s="27"/>
      <c r="J424" s="27"/>
      <c r="K424" s="24" t="str">
        <f t="shared" si="127"/>
        <v/>
      </c>
      <c r="L424" s="24" t="str">
        <f t="shared" si="133"/>
        <v/>
      </c>
      <c r="M424" s="24" t="str">
        <f t="shared" si="128"/>
        <v/>
      </c>
      <c r="N424" s="24" t="str">
        <f t="shared" si="134"/>
        <v/>
      </c>
      <c r="O424" s="24" t="str">
        <f t="shared" si="129"/>
        <v/>
      </c>
      <c r="P424" s="24" t="str">
        <f t="shared" si="137"/>
        <v/>
      </c>
      <c r="Q424" s="24" t="str">
        <f t="shared" si="130"/>
        <v/>
      </c>
      <c r="R424" s="24" t="str">
        <f t="shared" si="135"/>
        <v/>
      </c>
      <c r="S424" s="108">
        <f t="shared" si="124"/>
        <v>0</v>
      </c>
      <c r="T424" s="28">
        <f t="shared" si="136"/>
        <v>0</v>
      </c>
      <c r="U424" s="28">
        <f t="shared" si="125"/>
        <v>0</v>
      </c>
      <c r="V424" s="36" t="e">
        <f t="shared" si="131"/>
        <v>#DIV/0!</v>
      </c>
      <c r="W424" s="36" t="e">
        <f t="shared" si="132"/>
        <v>#DIV/0!</v>
      </c>
      <c r="X424" s="56" t="e">
        <f t="shared" si="126"/>
        <v>#DIV/0!</v>
      </c>
    </row>
    <row r="425" spans="1:24">
      <c r="A425" s="26"/>
      <c r="B425" s="27"/>
      <c r="C425" s="27"/>
      <c r="D425" s="27"/>
      <c r="E425" s="27"/>
      <c r="F425" s="27"/>
      <c r="G425" s="27"/>
      <c r="H425" s="27"/>
      <c r="I425" s="27"/>
      <c r="J425" s="27"/>
      <c r="K425" s="24" t="str">
        <f t="shared" si="127"/>
        <v/>
      </c>
      <c r="L425" s="24" t="str">
        <f t="shared" si="133"/>
        <v/>
      </c>
      <c r="M425" s="24" t="str">
        <f t="shared" si="128"/>
        <v/>
      </c>
      <c r="N425" s="24" t="str">
        <f t="shared" si="134"/>
        <v/>
      </c>
      <c r="O425" s="24" t="str">
        <f t="shared" si="129"/>
        <v/>
      </c>
      <c r="P425" s="24" t="str">
        <f t="shared" si="137"/>
        <v/>
      </c>
      <c r="Q425" s="24" t="str">
        <f t="shared" si="130"/>
        <v/>
      </c>
      <c r="R425" s="24" t="str">
        <f t="shared" si="135"/>
        <v/>
      </c>
      <c r="S425" s="108">
        <f t="shared" si="124"/>
        <v>0</v>
      </c>
      <c r="T425" s="28">
        <f t="shared" si="136"/>
        <v>0</v>
      </c>
      <c r="U425" s="28">
        <f t="shared" si="125"/>
        <v>0</v>
      </c>
      <c r="V425" s="36" t="e">
        <f t="shared" si="131"/>
        <v>#DIV/0!</v>
      </c>
      <c r="W425" s="36" t="e">
        <f t="shared" si="132"/>
        <v>#DIV/0!</v>
      </c>
      <c r="X425" s="56" t="e">
        <f t="shared" si="126"/>
        <v>#DIV/0!</v>
      </c>
    </row>
    <row r="426" spans="1:24">
      <c r="A426" s="26"/>
      <c r="B426" s="27"/>
      <c r="C426" s="27"/>
      <c r="D426" s="27"/>
      <c r="E426" s="27"/>
      <c r="F426" s="27"/>
      <c r="G426" s="27"/>
      <c r="H426" s="27"/>
      <c r="I426" s="27"/>
      <c r="J426" s="27"/>
      <c r="K426" s="24" t="str">
        <f t="shared" si="127"/>
        <v/>
      </c>
      <c r="L426" s="24" t="str">
        <f t="shared" si="133"/>
        <v/>
      </c>
      <c r="M426" s="24" t="str">
        <f t="shared" si="128"/>
        <v/>
      </c>
      <c r="N426" s="24" t="str">
        <f t="shared" si="134"/>
        <v/>
      </c>
      <c r="O426" s="24" t="str">
        <f t="shared" si="129"/>
        <v/>
      </c>
      <c r="P426" s="24" t="str">
        <f t="shared" si="137"/>
        <v/>
      </c>
      <c r="Q426" s="24" t="str">
        <f t="shared" si="130"/>
        <v/>
      </c>
      <c r="R426" s="24" t="str">
        <f t="shared" si="135"/>
        <v/>
      </c>
      <c r="S426" s="108">
        <f t="shared" si="124"/>
        <v>0</v>
      </c>
      <c r="T426" s="28">
        <f t="shared" si="136"/>
        <v>0</v>
      </c>
      <c r="U426" s="28">
        <f t="shared" si="125"/>
        <v>0</v>
      </c>
      <c r="V426" s="36" t="e">
        <f t="shared" si="131"/>
        <v>#DIV/0!</v>
      </c>
      <c r="W426" s="36" t="e">
        <f t="shared" si="132"/>
        <v>#DIV/0!</v>
      </c>
      <c r="X426" s="56" t="e">
        <f t="shared" si="126"/>
        <v>#DIV/0!</v>
      </c>
    </row>
    <row r="427" spans="1:24">
      <c r="A427" s="26"/>
      <c r="B427" s="27"/>
      <c r="C427" s="27"/>
      <c r="D427" s="27"/>
      <c r="E427" s="27"/>
      <c r="F427" s="27"/>
      <c r="G427" s="27"/>
      <c r="H427" s="27"/>
      <c r="I427" s="27"/>
      <c r="J427" s="27"/>
      <c r="K427" s="24" t="str">
        <f t="shared" si="127"/>
        <v/>
      </c>
      <c r="L427" s="24" t="str">
        <f t="shared" si="133"/>
        <v/>
      </c>
      <c r="M427" s="24" t="str">
        <f t="shared" si="128"/>
        <v/>
      </c>
      <c r="N427" s="24" t="str">
        <f t="shared" si="134"/>
        <v/>
      </c>
      <c r="O427" s="24" t="str">
        <f t="shared" si="129"/>
        <v/>
      </c>
      <c r="P427" s="24" t="str">
        <f t="shared" si="137"/>
        <v/>
      </c>
      <c r="Q427" s="24" t="str">
        <f t="shared" si="130"/>
        <v/>
      </c>
      <c r="R427" s="24" t="str">
        <f t="shared" si="135"/>
        <v/>
      </c>
      <c r="S427" s="108">
        <f t="shared" si="124"/>
        <v>0</v>
      </c>
      <c r="T427" s="28">
        <f t="shared" si="136"/>
        <v>0</v>
      </c>
      <c r="U427" s="28">
        <f t="shared" si="125"/>
        <v>0</v>
      </c>
      <c r="V427" s="36" t="e">
        <f t="shared" si="131"/>
        <v>#DIV/0!</v>
      </c>
      <c r="W427" s="36" t="e">
        <f t="shared" si="132"/>
        <v>#DIV/0!</v>
      </c>
      <c r="X427" s="56" t="e">
        <f t="shared" si="126"/>
        <v>#DIV/0!</v>
      </c>
    </row>
    <row r="428" spans="1:24">
      <c r="A428" s="26"/>
      <c r="B428" s="27"/>
      <c r="C428" s="27"/>
      <c r="D428" s="27"/>
      <c r="E428" s="27"/>
      <c r="F428" s="27"/>
      <c r="G428" s="27"/>
      <c r="H428" s="27"/>
      <c r="I428" s="27"/>
      <c r="J428" s="27"/>
      <c r="K428" s="24" t="str">
        <f t="shared" si="127"/>
        <v/>
      </c>
      <c r="L428" s="24" t="str">
        <f t="shared" si="133"/>
        <v/>
      </c>
      <c r="M428" s="24" t="str">
        <f t="shared" si="128"/>
        <v/>
      </c>
      <c r="N428" s="24" t="str">
        <f t="shared" si="134"/>
        <v/>
      </c>
      <c r="O428" s="24" t="str">
        <f t="shared" si="129"/>
        <v/>
      </c>
      <c r="P428" s="24" t="str">
        <f t="shared" si="137"/>
        <v/>
      </c>
      <c r="Q428" s="24" t="str">
        <f t="shared" si="130"/>
        <v/>
      </c>
      <c r="R428" s="24" t="str">
        <f t="shared" si="135"/>
        <v/>
      </c>
      <c r="S428" s="108">
        <f t="shared" si="124"/>
        <v>0</v>
      </c>
      <c r="T428" s="28">
        <f t="shared" si="136"/>
        <v>0</v>
      </c>
      <c r="U428" s="28">
        <f t="shared" si="125"/>
        <v>0</v>
      </c>
      <c r="V428" s="36" t="e">
        <f t="shared" si="131"/>
        <v>#DIV/0!</v>
      </c>
      <c r="W428" s="36" t="e">
        <f t="shared" si="132"/>
        <v>#DIV/0!</v>
      </c>
      <c r="X428" s="56" t="e">
        <f t="shared" si="126"/>
        <v>#DIV/0!</v>
      </c>
    </row>
    <row r="429" spans="1:24">
      <c r="A429" s="26"/>
      <c r="B429" s="27"/>
      <c r="C429" s="27"/>
      <c r="D429" s="27"/>
      <c r="E429" s="27"/>
      <c r="F429" s="27"/>
      <c r="G429" s="27"/>
      <c r="H429" s="27"/>
      <c r="I429" s="27"/>
      <c r="J429" s="27"/>
      <c r="K429" s="24" t="str">
        <f t="shared" si="127"/>
        <v/>
      </c>
      <c r="L429" s="24" t="str">
        <f t="shared" si="133"/>
        <v/>
      </c>
      <c r="M429" s="24" t="str">
        <f t="shared" si="128"/>
        <v/>
      </c>
      <c r="N429" s="24" t="str">
        <f t="shared" si="134"/>
        <v/>
      </c>
      <c r="O429" s="24" t="str">
        <f t="shared" si="129"/>
        <v/>
      </c>
      <c r="P429" s="24" t="str">
        <f t="shared" si="137"/>
        <v/>
      </c>
      <c r="Q429" s="24" t="str">
        <f t="shared" si="130"/>
        <v/>
      </c>
      <c r="R429" s="24" t="str">
        <f t="shared" si="135"/>
        <v/>
      </c>
      <c r="S429" s="108">
        <f t="shared" si="124"/>
        <v>0</v>
      </c>
      <c r="T429" s="28">
        <f t="shared" si="136"/>
        <v>0</v>
      </c>
      <c r="U429" s="28">
        <f t="shared" si="125"/>
        <v>0</v>
      </c>
      <c r="V429" s="36" t="e">
        <f t="shared" si="131"/>
        <v>#DIV/0!</v>
      </c>
      <c r="W429" s="36" t="e">
        <f t="shared" si="132"/>
        <v>#DIV/0!</v>
      </c>
      <c r="X429" s="56" t="e">
        <f t="shared" si="126"/>
        <v>#DIV/0!</v>
      </c>
    </row>
    <row r="430" spans="1:24">
      <c r="A430" s="26"/>
      <c r="B430" s="27"/>
      <c r="C430" s="27"/>
      <c r="D430" s="27"/>
      <c r="E430" s="27"/>
      <c r="F430" s="27"/>
      <c r="G430" s="27"/>
      <c r="H430" s="27"/>
      <c r="I430" s="27"/>
      <c r="J430" s="27"/>
      <c r="K430" s="24" t="str">
        <f t="shared" si="127"/>
        <v/>
      </c>
      <c r="L430" s="24" t="str">
        <f t="shared" si="133"/>
        <v/>
      </c>
      <c r="M430" s="24" t="str">
        <f t="shared" si="128"/>
        <v/>
      </c>
      <c r="N430" s="24" t="str">
        <f t="shared" si="134"/>
        <v/>
      </c>
      <c r="O430" s="24" t="str">
        <f t="shared" si="129"/>
        <v/>
      </c>
      <c r="P430" s="24" t="str">
        <f t="shared" si="137"/>
        <v/>
      </c>
      <c r="Q430" s="24" t="str">
        <f t="shared" si="130"/>
        <v/>
      </c>
      <c r="R430" s="24" t="str">
        <f t="shared" si="135"/>
        <v/>
      </c>
      <c r="S430" s="108">
        <f t="shared" si="124"/>
        <v>0</v>
      </c>
      <c r="T430" s="28">
        <f t="shared" si="136"/>
        <v>0</v>
      </c>
      <c r="U430" s="28">
        <f t="shared" si="125"/>
        <v>0</v>
      </c>
      <c r="V430" s="36" t="e">
        <f t="shared" si="131"/>
        <v>#DIV/0!</v>
      </c>
      <c r="W430" s="36" t="e">
        <f t="shared" si="132"/>
        <v>#DIV/0!</v>
      </c>
      <c r="X430" s="56" t="e">
        <f t="shared" si="126"/>
        <v>#DIV/0!</v>
      </c>
    </row>
    <row r="431" spans="1:24">
      <c r="A431" s="26"/>
      <c r="B431" s="27"/>
      <c r="C431" s="27"/>
      <c r="D431" s="27"/>
      <c r="E431" s="27"/>
      <c r="F431" s="27"/>
      <c r="G431" s="27"/>
      <c r="H431" s="27"/>
      <c r="I431" s="27"/>
      <c r="J431" s="27"/>
      <c r="K431" s="24" t="str">
        <f t="shared" si="127"/>
        <v/>
      </c>
      <c r="L431" s="24" t="str">
        <f t="shared" si="133"/>
        <v/>
      </c>
      <c r="M431" s="24" t="str">
        <f t="shared" si="128"/>
        <v/>
      </c>
      <c r="N431" s="24" t="str">
        <f t="shared" si="134"/>
        <v/>
      </c>
      <c r="O431" s="24" t="str">
        <f t="shared" si="129"/>
        <v/>
      </c>
      <c r="P431" s="24" t="str">
        <f t="shared" si="137"/>
        <v/>
      </c>
      <c r="Q431" s="24" t="str">
        <f t="shared" si="130"/>
        <v/>
      </c>
      <c r="R431" s="24" t="str">
        <f t="shared" si="135"/>
        <v/>
      </c>
      <c r="S431" s="108">
        <f t="shared" si="124"/>
        <v>0</v>
      </c>
      <c r="T431" s="28">
        <f t="shared" si="136"/>
        <v>0</v>
      </c>
      <c r="U431" s="28">
        <f t="shared" si="125"/>
        <v>0</v>
      </c>
      <c r="V431" s="36" t="e">
        <f t="shared" si="131"/>
        <v>#DIV/0!</v>
      </c>
      <c r="W431" s="36" t="e">
        <f t="shared" si="132"/>
        <v>#DIV/0!</v>
      </c>
      <c r="X431" s="56" t="e">
        <f t="shared" si="126"/>
        <v>#DIV/0!</v>
      </c>
    </row>
    <row r="432" spans="1:24">
      <c r="A432" s="26"/>
      <c r="B432" s="27"/>
      <c r="C432" s="27"/>
      <c r="D432" s="27"/>
      <c r="E432" s="27"/>
      <c r="F432" s="27"/>
      <c r="G432" s="27"/>
      <c r="H432" s="27"/>
      <c r="I432" s="27"/>
      <c r="J432" s="27"/>
      <c r="K432" s="24" t="str">
        <f t="shared" si="127"/>
        <v/>
      </c>
      <c r="L432" s="24" t="str">
        <f t="shared" si="133"/>
        <v/>
      </c>
      <c r="M432" s="24" t="str">
        <f t="shared" si="128"/>
        <v/>
      </c>
      <c r="N432" s="24" t="str">
        <f t="shared" si="134"/>
        <v/>
      </c>
      <c r="O432" s="24" t="str">
        <f t="shared" si="129"/>
        <v/>
      </c>
      <c r="P432" s="24" t="str">
        <f t="shared" si="137"/>
        <v/>
      </c>
      <c r="Q432" s="24" t="str">
        <f t="shared" si="130"/>
        <v/>
      </c>
      <c r="R432" s="24" t="str">
        <f t="shared" si="135"/>
        <v/>
      </c>
      <c r="S432" s="108">
        <f t="shared" si="124"/>
        <v>0</v>
      </c>
      <c r="T432" s="28">
        <f t="shared" si="136"/>
        <v>0</v>
      </c>
      <c r="U432" s="28">
        <f t="shared" si="125"/>
        <v>0</v>
      </c>
      <c r="V432" s="36" t="e">
        <f t="shared" si="131"/>
        <v>#DIV/0!</v>
      </c>
      <c r="W432" s="36" t="e">
        <f t="shared" si="132"/>
        <v>#DIV/0!</v>
      </c>
      <c r="X432" s="56" t="e">
        <f t="shared" si="126"/>
        <v>#DIV/0!</v>
      </c>
    </row>
    <row r="433" spans="1:24">
      <c r="A433" s="26"/>
      <c r="B433" s="27"/>
      <c r="C433" s="27"/>
      <c r="D433" s="27"/>
      <c r="E433" s="27"/>
      <c r="F433" s="27"/>
      <c r="G433" s="27"/>
      <c r="H433" s="27"/>
      <c r="I433" s="27"/>
      <c r="J433" s="27"/>
      <c r="K433" s="24" t="str">
        <f t="shared" si="127"/>
        <v/>
      </c>
      <c r="L433" s="24" t="str">
        <f t="shared" si="133"/>
        <v/>
      </c>
      <c r="M433" s="24" t="str">
        <f t="shared" si="128"/>
        <v/>
      </c>
      <c r="N433" s="24" t="str">
        <f t="shared" si="134"/>
        <v/>
      </c>
      <c r="O433" s="24" t="str">
        <f t="shared" si="129"/>
        <v/>
      </c>
      <c r="P433" s="24" t="str">
        <f t="shared" si="137"/>
        <v/>
      </c>
      <c r="Q433" s="24" t="str">
        <f t="shared" si="130"/>
        <v/>
      </c>
      <c r="R433" s="24" t="str">
        <f t="shared" si="135"/>
        <v/>
      </c>
      <c r="S433" s="108">
        <f t="shared" si="124"/>
        <v>0</v>
      </c>
      <c r="T433" s="28">
        <f t="shared" si="136"/>
        <v>0</v>
      </c>
      <c r="U433" s="28">
        <f t="shared" si="125"/>
        <v>0</v>
      </c>
      <c r="V433" s="36" t="e">
        <f t="shared" si="131"/>
        <v>#DIV/0!</v>
      </c>
      <c r="W433" s="36" t="e">
        <f t="shared" si="132"/>
        <v>#DIV/0!</v>
      </c>
      <c r="X433" s="56" t="e">
        <f t="shared" si="126"/>
        <v>#DIV/0!</v>
      </c>
    </row>
    <row r="434" spans="1:24">
      <c r="A434" s="26"/>
      <c r="B434" s="27"/>
      <c r="C434" s="27"/>
      <c r="D434" s="27"/>
      <c r="E434" s="27"/>
      <c r="F434" s="27"/>
      <c r="G434" s="27"/>
      <c r="H434" s="27"/>
      <c r="I434" s="27"/>
      <c r="J434" s="27"/>
      <c r="K434" s="24" t="str">
        <f t="shared" si="127"/>
        <v/>
      </c>
      <c r="L434" s="24" t="str">
        <f t="shared" si="133"/>
        <v/>
      </c>
      <c r="M434" s="24" t="str">
        <f t="shared" si="128"/>
        <v/>
      </c>
      <c r="N434" s="24" t="str">
        <f t="shared" si="134"/>
        <v/>
      </c>
      <c r="O434" s="24" t="str">
        <f t="shared" si="129"/>
        <v/>
      </c>
      <c r="P434" s="24" t="str">
        <f t="shared" si="137"/>
        <v/>
      </c>
      <c r="Q434" s="24" t="str">
        <f t="shared" si="130"/>
        <v/>
      </c>
      <c r="R434" s="24" t="str">
        <f t="shared" si="135"/>
        <v/>
      </c>
      <c r="S434" s="108">
        <f t="shared" si="124"/>
        <v>0</v>
      </c>
      <c r="T434" s="28">
        <f t="shared" si="136"/>
        <v>0</v>
      </c>
      <c r="U434" s="28">
        <f t="shared" si="125"/>
        <v>0</v>
      </c>
      <c r="V434" s="36" t="e">
        <f t="shared" si="131"/>
        <v>#DIV/0!</v>
      </c>
      <c r="W434" s="36" t="e">
        <f t="shared" si="132"/>
        <v>#DIV/0!</v>
      </c>
      <c r="X434" s="56" t="e">
        <f t="shared" si="126"/>
        <v>#DIV/0!</v>
      </c>
    </row>
    <row r="435" spans="1:24">
      <c r="A435" s="26"/>
      <c r="B435" s="27"/>
      <c r="C435" s="27"/>
      <c r="D435" s="27"/>
      <c r="E435" s="27"/>
      <c r="F435" s="27"/>
      <c r="G435" s="27"/>
      <c r="H435" s="27"/>
      <c r="I435" s="27"/>
      <c r="J435" s="27"/>
      <c r="K435" s="24" t="str">
        <f t="shared" si="127"/>
        <v/>
      </c>
      <c r="L435" s="24" t="str">
        <f t="shared" si="133"/>
        <v/>
      </c>
      <c r="M435" s="24" t="str">
        <f t="shared" si="128"/>
        <v/>
      </c>
      <c r="N435" s="24" t="str">
        <f t="shared" si="134"/>
        <v/>
      </c>
      <c r="O435" s="24" t="str">
        <f t="shared" si="129"/>
        <v/>
      </c>
      <c r="P435" s="24" t="str">
        <f t="shared" si="137"/>
        <v/>
      </c>
      <c r="Q435" s="24" t="str">
        <f t="shared" si="130"/>
        <v/>
      </c>
      <c r="R435" s="24" t="str">
        <f t="shared" si="135"/>
        <v/>
      </c>
      <c r="S435" s="108">
        <f t="shared" si="124"/>
        <v>0</v>
      </c>
      <c r="T435" s="28">
        <f t="shared" si="136"/>
        <v>0</v>
      </c>
      <c r="U435" s="28">
        <f t="shared" si="125"/>
        <v>0</v>
      </c>
      <c r="V435" s="36" t="e">
        <f t="shared" si="131"/>
        <v>#DIV/0!</v>
      </c>
      <c r="W435" s="36" t="e">
        <f t="shared" si="132"/>
        <v>#DIV/0!</v>
      </c>
      <c r="X435" s="56" t="e">
        <f t="shared" si="126"/>
        <v>#DIV/0!</v>
      </c>
    </row>
    <row r="436" spans="1:24">
      <c r="A436" s="26"/>
      <c r="B436" s="27"/>
      <c r="C436" s="27"/>
      <c r="D436" s="27"/>
      <c r="E436" s="27"/>
      <c r="F436" s="27"/>
      <c r="G436" s="27"/>
      <c r="H436" s="27"/>
      <c r="I436" s="27"/>
      <c r="J436" s="27"/>
      <c r="K436" s="24" t="str">
        <f t="shared" si="127"/>
        <v/>
      </c>
      <c r="L436" s="24" t="str">
        <f t="shared" si="133"/>
        <v/>
      </c>
      <c r="M436" s="24" t="str">
        <f t="shared" si="128"/>
        <v/>
      </c>
      <c r="N436" s="24" t="str">
        <f t="shared" si="134"/>
        <v/>
      </c>
      <c r="O436" s="24" t="str">
        <f t="shared" si="129"/>
        <v/>
      </c>
      <c r="P436" s="24" t="str">
        <f t="shared" si="137"/>
        <v/>
      </c>
      <c r="Q436" s="24" t="str">
        <f t="shared" si="130"/>
        <v/>
      </c>
      <c r="R436" s="24" t="str">
        <f t="shared" si="135"/>
        <v/>
      </c>
      <c r="S436" s="108">
        <f t="shared" si="124"/>
        <v>0</v>
      </c>
      <c r="T436" s="28">
        <f t="shared" si="136"/>
        <v>0</v>
      </c>
      <c r="U436" s="28">
        <f t="shared" si="125"/>
        <v>0</v>
      </c>
      <c r="V436" s="36" t="e">
        <f t="shared" si="131"/>
        <v>#DIV/0!</v>
      </c>
      <c r="W436" s="36" t="e">
        <f t="shared" si="132"/>
        <v>#DIV/0!</v>
      </c>
      <c r="X436" s="56" t="e">
        <f t="shared" si="126"/>
        <v>#DIV/0!</v>
      </c>
    </row>
    <row r="437" spans="1:24">
      <c r="A437" s="26"/>
      <c r="B437" s="27"/>
      <c r="C437" s="27"/>
      <c r="D437" s="27"/>
      <c r="E437" s="27"/>
      <c r="F437" s="27"/>
      <c r="G437" s="27"/>
      <c r="H437" s="27"/>
      <c r="I437" s="27"/>
      <c r="J437" s="27"/>
      <c r="K437" s="24" t="str">
        <f t="shared" si="127"/>
        <v/>
      </c>
      <c r="L437" s="24" t="str">
        <f t="shared" si="133"/>
        <v/>
      </c>
      <c r="M437" s="24" t="str">
        <f t="shared" si="128"/>
        <v/>
      </c>
      <c r="N437" s="24" t="str">
        <f t="shared" si="134"/>
        <v/>
      </c>
      <c r="O437" s="24" t="str">
        <f t="shared" si="129"/>
        <v/>
      </c>
      <c r="P437" s="24" t="str">
        <f t="shared" si="137"/>
        <v/>
      </c>
      <c r="Q437" s="24" t="str">
        <f t="shared" si="130"/>
        <v/>
      </c>
      <c r="R437" s="24" t="str">
        <f t="shared" si="135"/>
        <v/>
      </c>
      <c r="S437" s="108">
        <f t="shared" si="124"/>
        <v>0</v>
      </c>
      <c r="T437" s="28">
        <f t="shared" si="136"/>
        <v>0</v>
      </c>
      <c r="U437" s="28">
        <f t="shared" si="125"/>
        <v>0</v>
      </c>
      <c r="V437" s="36" t="e">
        <f t="shared" si="131"/>
        <v>#DIV/0!</v>
      </c>
      <c r="W437" s="36" t="e">
        <f t="shared" si="132"/>
        <v>#DIV/0!</v>
      </c>
      <c r="X437" s="56" t="e">
        <f t="shared" si="126"/>
        <v>#DIV/0!</v>
      </c>
    </row>
    <row r="438" spans="1:24">
      <c r="A438" s="26"/>
      <c r="B438" s="27"/>
      <c r="C438" s="27"/>
      <c r="D438" s="27"/>
      <c r="E438" s="27"/>
      <c r="F438" s="27"/>
      <c r="G438" s="27"/>
      <c r="H438" s="27"/>
      <c r="I438" s="27"/>
      <c r="J438" s="27"/>
      <c r="K438" s="24" t="str">
        <f t="shared" si="127"/>
        <v/>
      </c>
      <c r="L438" s="24" t="str">
        <f t="shared" si="133"/>
        <v/>
      </c>
      <c r="M438" s="24" t="str">
        <f t="shared" si="128"/>
        <v/>
      </c>
      <c r="N438" s="24" t="str">
        <f t="shared" si="134"/>
        <v/>
      </c>
      <c r="O438" s="24" t="str">
        <f t="shared" si="129"/>
        <v/>
      </c>
      <c r="P438" s="24" t="str">
        <f t="shared" si="137"/>
        <v/>
      </c>
      <c r="Q438" s="24" t="str">
        <f t="shared" si="130"/>
        <v/>
      </c>
      <c r="R438" s="24" t="str">
        <f t="shared" si="135"/>
        <v/>
      </c>
      <c r="S438" s="108">
        <f t="shared" ref="S438:S447" si="138">B438*0.1</f>
        <v>0</v>
      </c>
      <c r="T438" s="28">
        <f t="shared" si="136"/>
        <v>0</v>
      </c>
      <c r="U438" s="28">
        <f t="shared" si="125"/>
        <v>0</v>
      </c>
      <c r="V438" s="36" t="e">
        <f t="shared" si="131"/>
        <v>#DIV/0!</v>
      </c>
      <c r="W438" s="36" t="e">
        <f t="shared" si="132"/>
        <v>#DIV/0!</v>
      </c>
      <c r="X438" s="56" t="e">
        <f t="shared" si="126"/>
        <v>#DIV/0!</v>
      </c>
    </row>
    <row r="439" spans="1:24">
      <c r="A439" s="26"/>
      <c r="B439" s="27"/>
      <c r="C439" s="27"/>
      <c r="D439" s="27"/>
      <c r="E439" s="27"/>
      <c r="F439" s="27"/>
      <c r="G439" s="27"/>
      <c r="H439" s="27"/>
      <c r="I439" s="27"/>
      <c r="J439" s="27"/>
      <c r="K439" s="24" t="str">
        <f t="shared" si="127"/>
        <v/>
      </c>
      <c r="L439" s="24" t="str">
        <f t="shared" si="133"/>
        <v/>
      </c>
      <c r="M439" s="24" t="str">
        <f t="shared" si="128"/>
        <v/>
      </c>
      <c r="N439" s="24" t="str">
        <f t="shared" si="134"/>
        <v/>
      </c>
      <c r="O439" s="24" t="str">
        <f t="shared" si="129"/>
        <v/>
      </c>
      <c r="P439" s="24" t="str">
        <f t="shared" si="137"/>
        <v/>
      </c>
      <c r="Q439" s="24" t="str">
        <f t="shared" si="130"/>
        <v/>
      </c>
      <c r="R439" s="24" t="str">
        <f t="shared" si="135"/>
        <v/>
      </c>
      <c r="S439" s="108">
        <f t="shared" si="138"/>
        <v>0</v>
      </c>
      <c r="T439" s="28">
        <f t="shared" si="136"/>
        <v>0</v>
      </c>
      <c r="U439" s="28">
        <f t="shared" si="125"/>
        <v>0</v>
      </c>
      <c r="V439" s="36" t="e">
        <f t="shared" si="131"/>
        <v>#DIV/0!</v>
      </c>
      <c r="W439" s="36" t="e">
        <f t="shared" si="132"/>
        <v>#DIV/0!</v>
      </c>
      <c r="X439" s="56" t="e">
        <f t="shared" si="126"/>
        <v>#DIV/0!</v>
      </c>
    </row>
    <row r="440" spans="1:24">
      <c r="A440" s="26"/>
      <c r="B440" s="27"/>
      <c r="C440" s="27"/>
      <c r="D440" s="27"/>
      <c r="E440" s="27"/>
      <c r="F440" s="27"/>
      <c r="G440" s="27"/>
      <c r="H440" s="27"/>
      <c r="I440" s="27"/>
      <c r="J440" s="27"/>
      <c r="K440" s="24" t="str">
        <f t="shared" si="127"/>
        <v/>
      </c>
      <c r="L440" s="24" t="str">
        <f t="shared" si="133"/>
        <v/>
      </c>
      <c r="M440" s="24" t="str">
        <f t="shared" si="128"/>
        <v/>
      </c>
      <c r="N440" s="24" t="str">
        <f t="shared" si="134"/>
        <v/>
      </c>
      <c r="O440" s="24" t="str">
        <f t="shared" si="129"/>
        <v/>
      </c>
      <c r="P440" s="24" t="str">
        <f t="shared" si="137"/>
        <v/>
      </c>
      <c r="Q440" s="24" t="str">
        <f t="shared" si="130"/>
        <v/>
      </c>
      <c r="R440" s="24" t="str">
        <f t="shared" si="135"/>
        <v/>
      </c>
      <c r="S440" s="108">
        <f t="shared" si="138"/>
        <v>0</v>
      </c>
      <c r="T440" s="28">
        <f t="shared" si="136"/>
        <v>0</v>
      </c>
      <c r="U440" s="28">
        <f t="shared" si="125"/>
        <v>0</v>
      </c>
      <c r="V440" s="36" t="e">
        <f t="shared" si="131"/>
        <v>#DIV/0!</v>
      </c>
      <c r="W440" s="36" t="e">
        <f t="shared" si="132"/>
        <v>#DIV/0!</v>
      </c>
      <c r="X440" s="56" t="e">
        <f t="shared" si="126"/>
        <v>#DIV/0!</v>
      </c>
    </row>
    <row r="441" spans="1:24">
      <c r="A441" s="26"/>
      <c r="B441" s="27"/>
      <c r="C441" s="27"/>
      <c r="D441" s="27"/>
      <c r="E441" s="27"/>
      <c r="F441" s="27"/>
      <c r="G441" s="27"/>
      <c r="H441" s="27"/>
      <c r="I441" s="27"/>
      <c r="J441" s="27"/>
      <c r="K441" s="24" t="str">
        <f t="shared" si="127"/>
        <v/>
      </c>
      <c r="L441" s="24" t="str">
        <f t="shared" si="133"/>
        <v/>
      </c>
      <c r="M441" s="24" t="str">
        <f t="shared" si="128"/>
        <v/>
      </c>
      <c r="N441" s="24" t="str">
        <f t="shared" si="134"/>
        <v/>
      </c>
      <c r="O441" s="24" t="str">
        <f t="shared" si="129"/>
        <v/>
      </c>
      <c r="P441" s="24" t="str">
        <f t="shared" si="137"/>
        <v/>
      </c>
      <c r="Q441" s="24" t="str">
        <f t="shared" si="130"/>
        <v/>
      </c>
      <c r="R441" s="24" t="str">
        <f t="shared" si="135"/>
        <v/>
      </c>
      <c r="S441" s="108">
        <f t="shared" si="138"/>
        <v>0</v>
      </c>
      <c r="T441" s="28">
        <f t="shared" si="136"/>
        <v>0</v>
      </c>
      <c r="U441" s="28">
        <f t="shared" si="125"/>
        <v>0</v>
      </c>
      <c r="V441" s="36" t="e">
        <f t="shared" si="131"/>
        <v>#DIV/0!</v>
      </c>
      <c r="W441" s="36" t="e">
        <f t="shared" si="132"/>
        <v>#DIV/0!</v>
      </c>
      <c r="X441" s="56" t="e">
        <f t="shared" si="126"/>
        <v>#DIV/0!</v>
      </c>
    </row>
    <row r="442" spans="1:24">
      <c r="A442" s="26"/>
      <c r="B442" s="27"/>
      <c r="C442" s="27"/>
      <c r="D442" s="27"/>
      <c r="E442" s="27"/>
      <c r="F442" s="27"/>
      <c r="G442" s="27"/>
      <c r="H442" s="27"/>
      <c r="I442" s="27"/>
      <c r="J442" s="27"/>
      <c r="K442" s="24" t="str">
        <f t="shared" si="127"/>
        <v/>
      </c>
      <c r="L442" s="24" t="str">
        <f t="shared" si="133"/>
        <v/>
      </c>
      <c r="M442" s="24" t="str">
        <f t="shared" si="128"/>
        <v/>
      </c>
      <c r="N442" s="24" t="str">
        <f t="shared" si="134"/>
        <v/>
      </c>
      <c r="O442" s="24" t="str">
        <f t="shared" si="129"/>
        <v/>
      </c>
      <c r="P442" s="24" t="str">
        <f t="shared" si="137"/>
        <v/>
      </c>
      <c r="Q442" s="24" t="str">
        <f t="shared" si="130"/>
        <v/>
      </c>
      <c r="R442" s="24" t="str">
        <f t="shared" si="135"/>
        <v/>
      </c>
      <c r="S442" s="108">
        <f t="shared" si="138"/>
        <v>0</v>
      </c>
      <c r="T442" s="28">
        <f t="shared" si="136"/>
        <v>0</v>
      </c>
      <c r="U442" s="28">
        <f t="shared" si="125"/>
        <v>0</v>
      </c>
      <c r="V442" s="36" t="e">
        <f t="shared" si="131"/>
        <v>#DIV/0!</v>
      </c>
      <c r="W442" s="36" t="e">
        <f t="shared" si="132"/>
        <v>#DIV/0!</v>
      </c>
      <c r="X442" s="56" t="e">
        <f t="shared" si="126"/>
        <v>#DIV/0!</v>
      </c>
    </row>
    <row r="443" spans="1:24">
      <c r="A443" s="26"/>
      <c r="B443" s="27"/>
      <c r="C443" s="27"/>
      <c r="D443" s="27"/>
      <c r="E443" s="27"/>
      <c r="F443" s="27"/>
      <c r="G443" s="27"/>
      <c r="H443" s="27"/>
      <c r="I443" s="27"/>
      <c r="J443" s="27"/>
      <c r="K443" s="24" t="str">
        <f t="shared" si="127"/>
        <v/>
      </c>
      <c r="L443" s="24" t="str">
        <f t="shared" si="133"/>
        <v/>
      </c>
      <c r="M443" s="24" t="str">
        <f t="shared" si="128"/>
        <v/>
      </c>
      <c r="N443" s="24" t="str">
        <f t="shared" si="134"/>
        <v/>
      </c>
      <c r="O443" s="24" t="str">
        <f t="shared" si="129"/>
        <v/>
      </c>
      <c r="P443" s="24" t="str">
        <f t="shared" si="137"/>
        <v/>
      </c>
      <c r="Q443" s="24" t="str">
        <f t="shared" si="130"/>
        <v/>
      </c>
      <c r="R443" s="24" t="str">
        <f t="shared" si="135"/>
        <v/>
      </c>
      <c r="S443" s="108">
        <f t="shared" si="138"/>
        <v>0</v>
      </c>
      <c r="T443" s="28">
        <f t="shared" si="136"/>
        <v>0</v>
      </c>
      <c r="U443" s="28">
        <f t="shared" si="125"/>
        <v>0</v>
      </c>
      <c r="V443" s="36" t="e">
        <f t="shared" si="131"/>
        <v>#DIV/0!</v>
      </c>
      <c r="W443" s="36" t="e">
        <f t="shared" si="132"/>
        <v>#DIV/0!</v>
      </c>
      <c r="X443" s="56" t="e">
        <f t="shared" si="126"/>
        <v>#DIV/0!</v>
      </c>
    </row>
    <row r="444" spans="1:24">
      <c r="A444" s="26"/>
      <c r="B444" s="27"/>
      <c r="C444" s="27"/>
      <c r="D444" s="27"/>
      <c r="E444" s="27"/>
      <c r="F444" s="27"/>
      <c r="G444" s="27"/>
      <c r="H444" s="27"/>
      <c r="I444" s="27"/>
      <c r="J444" s="27"/>
      <c r="K444" s="24" t="str">
        <f t="shared" si="127"/>
        <v/>
      </c>
      <c r="L444" s="24" t="str">
        <f t="shared" si="133"/>
        <v/>
      </c>
      <c r="M444" s="24" t="str">
        <f t="shared" si="128"/>
        <v/>
      </c>
      <c r="N444" s="24" t="str">
        <f t="shared" si="134"/>
        <v/>
      </c>
      <c r="O444" s="24" t="str">
        <f t="shared" si="129"/>
        <v/>
      </c>
      <c r="P444" s="24" t="str">
        <f t="shared" si="137"/>
        <v/>
      </c>
      <c r="Q444" s="24" t="str">
        <f t="shared" si="130"/>
        <v/>
      </c>
      <c r="R444" s="24" t="str">
        <f t="shared" si="135"/>
        <v/>
      </c>
      <c r="S444" s="108">
        <f t="shared" si="138"/>
        <v>0</v>
      </c>
      <c r="T444" s="28">
        <f t="shared" si="136"/>
        <v>0</v>
      </c>
      <c r="U444" s="28">
        <f t="shared" si="125"/>
        <v>0</v>
      </c>
      <c r="V444" s="36" t="e">
        <f t="shared" si="131"/>
        <v>#DIV/0!</v>
      </c>
      <c r="W444" s="36" t="e">
        <f t="shared" si="132"/>
        <v>#DIV/0!</v>
      </c>
      <c r="X444" s="56" t="e">
        <f t="shared" si="126"/>
        <v>#DIV/0!</v>
      </c>
    </row>
    <row r="445" spans="1:24">
      <c r="A445" s="26"/>
      <c r="B445" s="27"/>
      <c r="C445" s="27"/>
      <c r="D445" s="27"/>
      <c r="E445" s="27"/>
      <c r="F445" s="27"/>
      <c r="G445" s="27"/>
      <c r="H445" s="27"/>
      <c r="I445" s="27"/>
      <c r="J445" s="27"/>
      <c r="K445" s="24" t="str">
        <f t="shared" si="127"/>
        <v/>
      </c>
      <c r="L445" s="24" t="str">
        <f t="shared" si="133"/>
        <v/>
      </c>
      <c r="M445" s="24" t="str">
        <f t="shared" si="128"/>
        <v/>
      </c>
      <c r="N445" s="24" t="str">
        <f t="shared" si="134"/>
        <v/>
      </c>
      <c r="O445" s="24" t="str">
        <f t="shared" si="129"/>
        <v/>
      </c>
      <c r="P445" s="24" t="str">
        <f t="shared" si="137"/>
        <v/>
      </c>
      <c r="Q445" s="24" t="str">
        <f t="shared" si="130"/>
        <v/>
      </c>
      <c r="R445" s="24" t="str">
        <f t="shared" si="135"/>
        <v/>
      </c>
      <c r="S445" s="108">
        <f t="shared" si="138"/>
        <v>0</v>
      </c>
      <c r="T445" s="28">
        <f t="shared" si="136"/>
        <v>0</v>
      </c>
      <c r="U445" s="28">
        <f t="shared" si="125"/>
        <v>0</v>
      </c>
      <c r="V445" s="36" t="e">
        <f t="shared" si="131"/>
        <v>#DIV/0!</v>
      </c>
      <c r="W445" s="36" t="e">
        <f t="shared" si="132"/>
        <v>#DIV/0!</v>
      </c>
      <c r="X445" s="56" t="e">
        <f t="shared" si="126"/>
        <v>#DIV/0!</v>
      </c>
    </row>
    <row r="446" spans="1:24">
      <c r="A446" s="26"/>
      <c r="B446" s="27"/>
      <c r="C446" s="27"/>
      <c r="D446" s="27"/>
      <c r="E446" s="27"/>
      <c r="F446" s="27"/>
      <c r="G446" s="27"/>
      <c r="H446" s="27"/>
      <c r="I446" s="27"/>
      <c r="J446" s="27"/>
      <c r="K446" s="24" t="str">
        <f t="shared" si="127"/>
        <v/>
      </c>
      <c r="L446" s="24" t="str">
        <f t="shared" si="133"/>
        <v/>
      </c>
      <c r="M446" s="24" t="str">
        <f t="shared" si="128"/>
        <v/>
      </c>
      <c r="N446" s="24" t="str">
        <f t="shared" si="134"/>
        <v/>
      </c>
      <c r="O446" s="24" t="str">
        <f t="shared" si="129"/>
        <v/>
      </c>
      <c r="P446" s="24" t="str">
        <f t="shared" si="137"/>
        <v/>
      </c>
      <c r="Q446" s="24" t="str">
        <f t="shared" si="130"/>
        <v/>
      </c>
      <c r="R446" s="24" t="str">
        <f t="shared" si="135"/>
        <v/>
      </c>
      <c r="S446" s="108">
        <f t="shared" si="138"/>
        <v>0</v>
      </c>
      <c r="T446" s="28">
        <f t="shared" si="136"/>
        <v>0</v>
      </c>
      <c r="U446" s="28">
        <f t="shared" si="125"/>
        <v>0</v>
      </c>
      <c r="V446" s="36" t="e">
        <f t="shared" si="131"/>
        <v>#DIV/0!</v>
      </c>
      <c r="W446" s="36" t="e">
        <f t="shared" si="132"/>
        <v>#DIV/0!</v>
      </c>
      <c r="X446" s="56" t="e">
        <f t="shared" si="126"/>
        <v>#DIV/0!</v>
      </c>
    </row>
    <row r="447" spans="1:24">
      <c r="A447" s="26"/>
      <c r="B447" s="27"/>
      <c r="C447" s="27"/>
      <c r="D447" s="27"/>
      <c r="E447" s="27"/>
      <c r="F447" s="27"/>
      <c r="G447" s="27"/>
      <c r="H447" s="27"/>
      <c r="I447" s="27"/>
      <c r="J447" s="27"/>
      <c r="K447" s="24" t="str">
        <f t="shared" si="127"/>
        <v/>
      </c>
      <c r="L447" s="24" t="str">
        <f t="shared" si="133"/>
        <v/>
      </c>
      <c r="M447" s="24" t="str">
        <f t="shared" si="128"/>
        <v/>
      </c>
      <c r="N447" s="24" t="str">
        <f t="shared" si="134"/>
        <v/>
      </c>
      <c r="O447" s="24" t="str">
        <f t="shared" si="129"/>
        <v/>
      </c>
      <c r="P447" s="24" t="str">
        <f t="shared" si="137"/>
        <v/>
      </c>
      <c r="Q447" s="24" t="str">
        <f t="shared" si="130"/>
        <v/>
      </c>
      <c r="R447" s="24" t="str">
        <f t="shared" si="135"/>
        <v/>
      </c>
      <c r="S447" s="108">
        <f t="shared" si="138"/>
        <v>0</v>
      </c>
      <c r="T447" s="28">
        <f t="shared" si="136"/>
        <v>0</v>
      </c>
      <c r="U447" s="28">
        <f t="shared" si="125"/>
        <v>0</v>
      </c>
      <c r="V447" s="36" t="e">
        <f t="shared" si="131"/>
        <v>#DIV/0!</v>
      </c>
      <c r="W447" s="36" t="e">
        <f t="shared" si="132"/>
        <v>#DIV/0!</v>
      </c>
      <c r="X447" s="56" t="e">
        <f t="shared" si="126"/>
        <v>#DIV/0!</v>
      </c>
    </row>
  </sheetData>
  <mergeCells count="8">
    <mergeCell ref="W1:W2"/>
    <mergeCell ref="X1:X2"/>
    <mergeCell ref="A1:A2"/>
    <mergeCell ref="B1:B2"/>
    <mergeCell ref="S1:S2"/>
    <mergeCell ref="T1:T2"/>
    <mergeCell ref="U1:U2"/>
    <mergeCell ref="V1:V2"/>
  </mergeCells>
  <phoneticPr fontId="1" type="noConversion"/>
  <conditionalFormatting sqref="A3:A8 A10:A15 A17:A73 A75:A76 A78:A447">
    <cfRule type="expression" dxfId="64" priority="5">
      <formula>COUNTIF(本周午菜,A3)+COUNTIF(本周晚菜,A3)&gt;0</formula>
    </cfRule>
  </conditionalFormatting>
  <conditionalFormatting sqref="A74">
    <cfRule type="expression" dxfId="63" priority="2">
      <formula>COUNTIF(本周午菜,A74)+COUNTIF(本周晚菜,A74)&gt;0</formula>
    </cfRule>
  </conditionalFormatting>
  <conditionalFormatting sqref="A77">
    <cfRule type="expression" dxfId="62" priority="1">
      <formula>COUNTIF(本周午菜,A77)+COUNTIF(本周晚菜,A77)&gt;0</formula>
    </cfRule>
  </conditionalFormatting>
  <pageMargins left="0.35433070866141736" right="0.35433070866141736" top="0.39370078740157483" bottom="0.39370078740157483" header="0.51181102362204722" footer="0.51181102362204722"/>
  <pageSetup paperSize="9" orientation="landscape" horizontalDpi="4294967292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78"/>
  <sheetViews>
    <sheetView topLeftCell="A46" workbookViewId="0">
      <selection activeCell="H35" sqref="H35"/>
    </sheetView>
  </sheetViews>
  <sheetFormatPr defaultRowHeight="14.25"/>
  <cols>
    <col min="1" max="1" width="17.875" style="4" customWidth="1"/>
    <col min="2" max="2" width="5.5" style="2" bestFit="1" customWidth="1"/>
    <col min="3" max="3" width="22" style="2" customWidth="1"/>
    <col min="4" max="4" width="8.25" style="2" customWidth="1"/>
    <col min="5" max="5" width="16.375" style="2" customWidth="1"/>
    <col min="6" max="6" width="6.5" style="2" bestFit="1" customWidth="1"/>
    <col min="7" max="7" width="14.375" style="2" customWidth="1"/>
    <col min="8" max="8" width="6.75" style="2" customWidth="1"/>
    <col min="9" max="9" width="12.25" style="2" customWidth="1"/>
    <col min="10" max="10" width="5.125" style="2" customWidth="1"/>
    <col min="11" max="18" width="5.625" style="2" customWidth="1"/>
    <col min="19" max="19" width="5.625" style="243" customWidth="1"/>
    <col min="20" max="20" width="10.25" style="2" customWidth="1"/>
    <col min="21" max="21" width="10.125" style="2" customWidth="1"/>
    <col min="22" max="22" width="7.75" style="2" customWidth="1"/>
    <col min="23" max="23" width="12.125" style="2" customWidth="1"/>
    <col min="24" max="24" width="8" style="2" customWidth="1"/>
    <col min="25" max="16384" width="9" style="2"/>
  </cols>
  <sheetData>
    <row r="1" spans="1:25" ht="12" customHeight="1">
      <c r="A1" s="288" t="s">
        <v>10</v>
      </c>
      <c r="B1" s="288" t="s">
        <v>53</v>
      </c>
      <c r="C1" s="41" t="s">
        <v>15</v>
      </c>
      <c r="D1" s="44" t="s">
        <v>15</v>
      </c>
      <c r="E1" s="44" t="s">
        <v>388</v>
      </c>
      <c r="F1" s="44" t="s">
        <v>388</v>
      </c>
      <c r="G1" s="44" t="s">
        <v>389</v>
      </c>
      <c r="H1" s="44" t="s">
        <v>389</v>
      </c>
      <c r="I1" s="44" t="s">
        <v>390</v>
      </c>
      <c r="J1" s="44" t="s">
        <v>390</v>
      </c>
      <c r="K1" s="44" t="s">
        <v>15</v>
      </c>
      <c r="L1" s="44" t="s">
        <v>15</v>
      </c>
      <c r="M1" s="44" t="s">
        <v>388</v>
      </c>
      <c r="N1" s="44" t="s">
        <v>388</v>
      </c>
      <c r="O1" s="44" t="s">
        <v>389</v>
      </c>
      <c r="P1" s="44" t="s">
        <v>389</v>
      </c>
      <c r="Q1" s="44" t="s">
        <v>390</v>
      </c>
      <c r="R1" s="44" t="s">
        <v>390</v>
      </c>
      <c r="S1" s="293" t="s">
        <v>16</v>
      </c>
      <c r="T1" s="290" t="s">
        <v>17</v>
      </c>
      <c r="U1" s="290" t="s">
        <v>18</v>
      </c>
      <c r="V1" s="286" t="s">
        <v>19</v>
      </c>
      <c r="W1" s="286" t="s">
        <v>20</v>
      </c>
      <c r="X1" s="292" t="s">
        <v>12</v>
      </c>
    </row>
    <row r="2" spans="1:25" ht="38.25" customHeight="1">
      <c r="A2" s="288"/>
      <c r="B2" s="288"/>
      <c r="C2" s="41" t="s">
        <v>10</v>
      </c>
      <c r="D2" s="43" t="s">
        <v>22</v>
      </c>
      <c r="E2" s="43" t="s">
        <v>10</v>
      </c>
      <c r="F2" s="43" t="s">
        <v>22</v>
      </c>
      <c r="G2" s="43" t="s">
        <v>10</v>
      </c>
      <c r="H2" s="43" t="s">
        <v>22</v>
      </c>
      <c r="I2" s="43" t="s">
        <v>10</v>
      </c>
      <c r="J2" s="43" t="s">
        <v>22</v>
      </c>
      <c r="K2" s="43" t="s">
        <v>13</v>
      </c>
      <c r="L2" s="43" t="s">
        <v>23</v>
      </c>
      <c r="M2" s="43" t="s">
        <v>13</v>
      </c>
      <c r="N2" s="43" t="s">
        <v>23</v>
      </c>
      <c r="O2" s="43" t="s">
        <v>13</v>
      </c>
      <c r="P2" s="43" t="s">
        <v>23</v>
      </c>
      <c r="Q2" s="43" t="s">
        <v>13</v>
      </c>
      <c r="R2" s="43" t="s">
        <v>23</v>
      </c>
      <c r="S2" s="293"/>
      <c r="T2" s="290"/>
      <c r="U2" s="290"/>
      <c r="V2" s="286"/>
      <c r="W2" s="286"/>
      <c r="X2" s="292"/>
    </row>
    <row r="3" spans="1:25">
      <c r="A3" s="142" t="s">
        <v>420</v>
      </c>
      <c r="B3" s="142">
        <v>1</v>
      </c>
      <c r="C3" s="142" t="s">
        <v>412</v>
      </c>
      <c r="D3" s="142">
        <v>0.4</v>
      </c>
      <c r="E3" s="142" t="s">
        <v>319</v>
      </c>
      <c r="F3" s="142">
        <v>0.25</v>
      </c>
      <c r="G3" s="142" t="s">
        <v>423</v>
      </c>
      <c r="H3" s="142">
        <v>0.4</v>
      </c>
      <c r="I3" s="142"/>
      <c r="J3" s="142"/>
      <c r="K3" s="143">
        <f t="shared" ref="K3:K66" si="0">IF(C3="","",VLOOKUP(C3,成本单价,8,0))</f>
        <v>1.2941176470588236</v>
      </c>
      <c r="L3" s="143">
        <f t="shared" ref="L3:L66" si="1">IFERROR(D3*K3,"")</f>
        <v>0.51764705882352946</v>
      </c>
      <c r="M3" s="143">
        <f t="shared" ref="M3:M66" si="2">IF(E3="","",VLOOKUP(E3,成本单价,8,0))</f>
        <v>3.5714285714285716</v>
      </c>
      <c r="N3" s="143">
        <f t="shared" ref="N3:N66" si="3">IFERROR(F3*M3,"")</f>
        <v>0.8928571428571429</v>
      </c>
      <c r="O3" s="143">
        <f t="shared" ref="O3:O66" si="4">IF(G3="","",VLOOKUP(G3,成本单价,8,0))</f>
        <v>1.7</v>
      </c>
      <c r="P3" s="143">
        <f t="shared" ref="P3:P66" si="5">IFERROR(H3*O3,"")</f>
        <v>0.68</v>
      </c>
      <c r="Q3" s="143" t="str">
        <f t="shared" ref="Q3:Q66" si="6">IF(I3="","",VLOOKUP(I3,成本单价,8,0))</f>
        <v/>
      </c>
      <c r="R3" s="143" t="str">
        <f t="shared" ref="R3:R66" si="7">IFERROR(J3*Q3,"")</f>
        <v/>
      </c>
      <c r="S3" s="241">
        <f>B3*0.9</f>
        <v>0.9</v>
      </c>
      <c r="T3" s="144">
        <f t="shared" ref="T3:T66" si="8">IFERROR(SUM(L3,N3,P3,R3,S3),"")</f>
        <v>2.9905042016806722</v>
      </c>
      <c r="U3" s="144">
        <f t="shared" ref="U3:U66" si="9">T3*(1+物料比)</f>
        <v>3.1400294117647061</v>
      </c>
      <c r="V3" s="144">
        <f t="shared" ref="V3:V66" si="10">U3/B3</f>
        <v>3.1400294117647061</v>
      </c>
      <c r="W3" s="144">
        <f t="shared" ref="W3:W66" si="11">D3/B3+F3/B3+H3/B3+J3/B3</f>
        <v>1.05</v>
      </c>
      <c r="X3" s="145">
        <f t="shared" ref="X3:X66" si="12">ROUNDUP(V3*(1+小吃毛利),1)</f>
        <v>3.7</v>
      </c>
    </row>
    <row r="4" spans="1:25" s="3" customFormat="1">
      <c r="A4" s="142" t="s">
        <v>421</v>
      </c>
      <c r="B4" s="142">
        <v>1</v>
      </c>
      <c r="C4" s="146" t="s">
        <v>166</v>
      </c>
      <c r="D4" s="142">
        <v>0.4</v>
      </c>
      <c r="E4" s="142" t="s">
        <v>425</v>
      </c>
      <c r="F4" s="142">
        <v>0.2</v>
      </c>
      <c r="G4" s="142" t="s">
        <v>423</v>
      </c>
      <c r="H4" s="142">
        <v>0.4</v>
      </c>
      <c r="I4" s="142"/>
      <c r="J4" s="142"/>
      <c r="K4" s="143">
        <f t="shared" si="0"/>
        <v>6</v>
      </c>
      <c r="L4" s="143">
        <f t="shared" si="1"/>
        <v>2.4000000000000004</v>
      </c>
      <c r="M4" s="143">
        <f t="shared" si="2"/>
        <v>14.000000000000002</v>
      </c>
      <c r="N4" s="143">
        <f t="shared" si="3"/>
        <v>2.8000000000000007</v>
      </c>
      <c r="O4" s="143">
        <f t="shared" si="4"/>
        <v>1.7</v>
      </c>
      <c r="P4" s="143">
        <f t="shared" si="5"/>
        <v>0.68</v>
      </c>
      <c r="Q4" s="143" t="str">
        <f t="shared" si="6"/>
        <v/>
      </c>
      <c r="R4" s="143" t="str">
        <f t="shared" si="7"/>
        <v/>
      </c>
      <c r="S4" s="241">
        <f>B4*0.2</f>
        <v>0.2</v>
      </c>
      <c r="T4" s="144">
        <f t="shared" si="8"/>
        <v>6.080000000000001</v>
      </c>
      <c r="U4" s="144">
        <f t="shared" si="9"/>
        <v>6.3840000000000012</v>
      </c>
      <c r="V4" s="147">
        <f t="shared" si="10"/>
        <v>6.3840000000000012</v>
      </c>
      <c r="W4" s="144">
        <f t="shared" si="11"/>
        <v>1</v>
      </c>
      <c r="X4" s="145">
        <f t="shared" si="12"/>
        <v>7.5</v>
      </c>
    </row>
    <row r="5" spans="1:25">
      <c r="A5" s="142" t="s">
        <v>427</v>
      </c>
      <c r="B5" s="142">
        <v>1</v>
      </c>
      <c r="C5" s="142" t="s">
        <v>426</v>
      </c>
      <c r="D5" s="142">
        <v>0.6</v>
      </c>
      <c r="E5" s="142" t="s">
        <v>428</v>
      </c>
      <c r="F5" s="142">
        <v>0.1</v>
      </c>
      <c r="G5" s="142" t="s">
        <v>429</v>
      </c>
      <c r="H5" s="142">
        <v>0.1</v>
      </c>
      <c r="I5" s="142"/>
      <c r="J5" s="142"/>
      <c r="K5" s="143">
        <f t="shared" si="0"/>
        <v>5.7142857142857144</v>
      </c>
      <c r="L5" s="143">
        <f t="shared" si="1"/>
        <v>3.4285714285714284</v>
      </c>
      <c r="M5" s="143">
        <f t="shared" si="2"/>
        <v>2.5</v>
      </c>
      <c r="N5" s="143">
        <f t="shared" si="3"/>
        <v>0.25</v>
      </c>
      <c r="O5" s="143">
        <f t="shared" si="4"/>
        <v>0.94117647058823539</v>
      </c>
      <c r="P5" s="143">
        <f t="shared" si="5"/>
        <v>9.4117647058823542E-2</v>
      </c>
      <c r="Q5" s="143" t="str">
        <f t="shared" si="6"/>
        <v/>
      </c>
      <c r="R5" s="143" t="str">
        <f t="shared" si="7"/>
        <v/>
      </c>
      <c r="S5" s="241">
        <f>B5*0.5</f>
        <v>0.5</v>
      </c>
      <c r="T5" s="144">
        <f t="shared" si="8"/>
        <v>4.272689075630252</v>
      </c>
      <c r="U5" s="144">
        <f t="shared" si="9"/>
        <v>4.4863235294117647</v>
      </c>
      <c r="V5" s="147">
        <f t="shared" si="10"/>
        <v>4.4863235294117647</v>
      </c>
      <c r="W5" s="144">
        <f t="shared" si="11"/>
        <v>0.79999999999999993</v>
      </c>
      <c r="X5" s="145">
        <f t="shared" si="12"/>
        <v>5.3</v>
      </c>
    </row>
    <row r="6" spans="1:25">
      <c r="A6" s="148" t="s">
        <v>762</v>
      </c>
      <c r="B6" s="142">
        <v>10</v>
      </c>
      <c r="C6" s="142" t="s">
        <v>1571</v>
      </c>
      <c r="D6" s="142">
        <v>6</v>
      </c>
      <c r="E6" s="142" t="s">
        <v>1572</v>
      </c>
      <c r="F6" s="142"/>
      <c r="G6" s="142"/>
      <c r="H6" s="142"/>
      <c r="I6" s="142"/>
      <c r="J6" s="142"/>
      <c r="K6" s="143">
        <f t="shared" si="0"/>
        <v>10.571428571428573</v>
      </c>
      <c r="L6" s="143">
        <f t="shared" si="1"/>
        <v>63.428571428571438</v>
      </c>
      <c r="M6" s="143" t="e">
        <f t="shared" si="2"/>
        <v>#N/A</v>
      </c>
      <c r="N6" s="143" t="str">
        <f t="shared" si="3"/>
        <v/>
      </c>
      <c r="O6" s="143" t="str">
        <f t="shared" si="4"/>
        <v/>
      </c>
      <c r="P6" s="143" t="str">
        <f t="shared" si="5"/>
        <v/>
      </c>
      <c r="Q6" s="143" t="str">
        <f t="shared" si="6"/>
        <v/>
      </c>
      <c r="R6" s="143" t="str">
        <f t="shared" si="7"/>
        <v/>
      </c>
      <c r="S6" s="241">
        <f>B6*1.1</f>
        <v>11</v>
      </c>
      <c r="T6" s="144">
        <f t="shared" si="8"/>
        <v>74.428571428571445</v>
      </c>
      <c r="U6" s="144">
        <f t="shared" si="9"/>
        <v>78.15000000000002</v>
      </c>
      <c r="V6" s="144">
        <f t="shared" si="10"/>
        <v>7.8150000000000022</v>
      </c>
      <c r="W6" s="144">
        <f t="shared" si="11"/>
        <v>0.6</v>
      </c>
      <c r="X6" s="145">
        <f t="shared" si="12"/>
        <v>9.1</v>
      </c>
    </row>
    <row r="7" spans="1:25">
      <c r="A7" s="148" t="s">
        <v>886</v>
      </c>
      <c r="B7" s="148">
        <v>50</v>
      </c>
      <c r="C7" s="149" t="s">
        <v>223</v>
      </c>
      <c r="D7" s="148">
        <v>8</v>
      </c>
      <c r="E7" s="148" t="s">
        <v>887</v>
      </c>
      <c r="F7" s="148">
        <v>1</v>
      </c>
      <c r="G7" s="142" t="s">
        <v>976</v>
      </c>
      <c r="H7" s="148">
        <v>20</v>
      </c>
      <c r="I7" s="142" t="s">
        <v>977</v>
      </c>
      <c r="J7" s="142">
        <v>1</v>
      </c>
      <c r="K7" s="143">
        <f t="shared" si="0"/>
        <v>24.857142857142858</v>
      </c>
      <c r="L7" s="143">
        <f t="shared" si="1"/>
        <v>198.85714285714286</v>
      </c>
      <c r="M7" s="143">
        <f t="shared" si="2"/>
        <v>2.7142857142857144</v>
      </c>
      <c r="N7" s="143">
        <f t="shared" si="3"/>
        <v>2.7142857142857144</v>
      </c>
      <c r="O7" s="143">
        <f t="shared" si="4"/>
        <v>1.7</v>
      </c>
      <c r="P7" s="143">
        <f t="shared" si="5"/>
        <v>34</v>
      </c>
      <c r="Q7" s="143">
        <f t="shared" si="6"/>
        <v>2.1176470588235294</v>
      </c>
      <c r="R7" s="143">
        <f t="shared" si="7"/>
        <v>2.1176470588235294</v>
      </c>
      <c r="S7" s="241">
        <f>B7*1</f>
        <v>50</v>
      </c>
      <c r="T7" s="144">
        <f t="shared" si="8"/>
        <v>287.68907563025209</v>
      </c>
      <c r="U7" s="144">
        <f t="shared" si="9"/>
        <v>302.0735294117647</v>
      </c>
      <c r="V7" s="144">
        <f t="shared" si="10"/>
        <v>6.0414705882352937</v>
      </c>
      <c r="W7" s="144">
        <f t="shared" si="11"/>
        <v>0.60000000000000009</v>
      </c>
      <c r="X7" s="145">
        <f t="shared" si="12"/>
        <v>7.1</v>
      </c>
    </row>
    <row r="8" spans="1:25">
      <c r="A8" s="148" t="s">
        <v>889</v>
      </c>
      <c r="B8" s="148">
        <v>20</v>
      </c>
      <c r="C8" s="148" t="s">
        <v>890</v>
      </c>
      <c r="D8" s="148">
        <v>4</v>
      </c>
      <c r="E8" s="148" t="s">
        <v>891</v>
      </c>
      <c r="F8" s="148">
        <v>4</v>
      </c>
      <c r="G8" s="150" t="s">
        <v>190</v>
      </c>
      <c r="H8" s="148">
        <v>2</v>
      </c>
      <c r="I8" s="151" t="s">
        <v>978</v>
      </c>
      <c r="J8" s="148">
        <v>4</v>
      </c>
      <c r="K8" s="143">
        <f t="shared" si="0"/>
        <v>2.7142857142857144</v>
      </c>
      <c r="L8" s="143">
        <f t="shared" si="1"/>
        <v>10.857142857142858</v>
      </c>
      <c r="M8" s="143">
        <f t="shared" si="2"/>
        <v>0.94117647058823539</v>
      </c>
      <c r="N8" s="143">
        <f t="shared" si="3"/>
        <v>3.7647058823529416</v>
      </c>
      <c r="O8" s="143">
        <f t="shared" si="4"/>
        <v>13</v>
      </c>
      <c r="P8" s="143">
        <f t="shared" si="5"/>
        <v>26</v>
      </c>
      <c r="Q8" s="143">
        <f t="shared" si="6"/>
        <v>5</v>
      </c>
      <c r="R8" s="143">
        <f t="shared" si="7"/>
        <v>20</v>
      </c>
      <c r="S8" s="241">
        <f>B8*0.8</f>
        <v>16</v>
      </c>
      <c r="T8" s="144">
        <f t="shared" si="8"/>
        <v>76.621848739495803</v>
      </c>
      <c r="U8" s="144">
        <f t="shared" si="9"/>
        <v>80.452941176470603</v>
      </c>
      <c r="V8" s="144">
        <f t="shared" si="10"/>
        <v>4.0226470588235301</v>
      </c>
      <c r="W8" s="144">
        <f t="shared" si="11"/>
        <v>0.7</v>
      </c>
      <c r="X8" s="145">
        <f t="shared" si="12"/>
        <v>4.6999999999999993</v>
      </c>
    </row>
    <row r="9" spans="1:25">
      <c r="A9" s="148" t="s">
        <v>892</v>
      </c>
      <c r="B9" s="148">
        <v>20</v>
      </c>
      <c r="C9" s="148" t="s">
        <v>893</v>
      </c>
      <c r="D9" s="148">
        <v>12</v>
      </c>
      <c r="E9" s="148" t="s">
        <v>979</v>
      </c>
      <c r="F9" s="148">
        <v>2</v>
      </c>
      <c r="G9" s="148" t="s">
        <v>895</v>
      </c>
      <c r="H9" s="148">
        <v>4</v>
      </c>
      <c r="I9" s="148" t="s">
        <v>888</v>
      </c>
      <c r="J9" s="148">
        <v>2</v>
      </c>
      <c r="K9" s="143">
        <f t="shared" si="0"/>
        <v>4</v>
      </c>
      <c r="L9" s="143">
        <f t="shared" si="1"/>
        <v>48</v>
      </c>
      <c r="M9" s="143">
        <f t="shared" si="2"/>
        <v>33.000000000000007</v>
      </c>
      <c r="N9" s="143">
        <f t="shared" si="3"/>
        <v>66.000000000000014</v>
      </c>
      <c r="O9" s="143">
        <f t="shared" si="4"/>
        <v>0.94117647058823539</v>
      </c>
      <c r="P9" s="143">
        <f t="shared" si="5"/>
        <v>3.7647058823529416</v>
      </c>
      <c r="Q9" s="143">
        <f t="shared" si="6"/>
        <v>2.1176470588235294</v>
      </c>
      <c r="R9" s="143">
        <f t="shared" si="7"/>
        <v>4.2352941176470589</v>
      </c>
      <c r="S9" s="241">
        <f>B9*0.8</f>
        <v>16</v>
      </c>
      <c r="T9" s="144">
        <f t="shared" si="8"/>
        <v>138</v>
      </c>
      <c r="U9" s="144">
        <f t="shared" si="9"/>
        <v>144.9</v>
      </c>
      <c r="V9" s="144">
        <f t="shared" si="10"/>
        <v>7.2450000000000001</v>
      </c>
      <c r="W9" s="144">
        <f t="shared" si="11"/>
        <v>0.99999999999999989</v>
      </c>
      <c r="X9" s="145">
        <f t="shared" si="12"/>
        <v>8.5</v>
      </c>
    </row>
    <row r="10" spans="1:25">
      <c r="A10" s="152" t="s">
        <v>885</v>
      </c>
      <c r="B10" s="152">
        <v>40</v>
      </c>
      <c r="C10" s="150" t="s">
        <v>193</v>
      </c>
      <c r="D10" s="152">
        <v>8</v>
      </c>
      <c r="E10" s="152" t="s">
        <v>1426</v>
      </c>
      <c r="F10" s="152">
        <v>8</v>
      </c>
      <c r="G10" s="152" t="s">
        <v>897</v>
      </c>
      <c r="H10" s="152">
        <v>20</v>
      </c>
      <c r="I10" s="152"/>
      <c r="J10" s="152"/>
      <c r="K10" s="143">
        <f t="shared" si="0"/>
        <v>14.000000000000002</v>
      </c>
      <c r="L10" s="143">
        <f t="shared" si="1"/>
        <v>112.00000000000001</v>
      </c>
      <c r="M10" s="143">
        <f t="shared" si="2"/>
        <v>2.882352941176471</v>
      </c>
      <c r="N10" s="143">
        <f t="shared" si="3"/>
        <v>23.058823529411768</v>
      </c>
      <c r="O10" s="143">
        <f t="shared" si="4"/>
        <v>1.7</v>
      </c>
      <c r="P10" s="143">
        <f t="shared" si="5"/>
        <v>34</v>
      </c>
      <c r="Q10" s="143" t="str">
        <f t="shared" si="6"/>
        <v/>
      </c>
      <c r="R10" s="143" t="str">
        <f t="shared" si="7"/>
        <v/>
      </c>
      <c r="S10" s="241">
        <f>B10*0.2</f>
        <v>8</v>
      </c>
      <c r="T10" s="144">
        <f t="shared" si="8"/>
        <v>177.05882352941177</v>
      </c>
      <c r="U10" s="153">
        <f t="shared" si="9"/>
        <v>185.91176470588238</v>
      </c>
      <c r="V10" s="153">
        <f t="shared" si="10"/>
        <v>4.6477941176470594</v>
      </c>
      <c r="W10" s="153">
        <f t="shared" si="11"/>
        <v>0.9</v>
      </c>
      <c r="X10" s="145">
        <f t="shared" si="12"/>
        <v>5.3999999999999995</v>
      </c>
    </row>
    <row r="11" spans="1:25">
      <c r="A11" s="148" t="s">
        <v>1573</v>
      </c>
      <c r="B11" s="148">
        <v>40</v>
      </c>
      <c r="C11" s="148" t="s">
        <v>898</v>
      </c>
      <c r="D11" s="148">
        <v>8</v>
      </c>
      <c r="E11" s="154" t="s">
        <v>319</v>
      </c>
      <c r="F11" s="148">
        <v>5</v>
      </c>
      <c r="G11" s="148" t="s">
        <v>901</v>
      </c>
      <c r="H11" s="148">
        <v>3</v>
      </c>
      <c r="I11" s="150" t="s">
        <v>214</v>
      </c>
      <c r="J11" s="148">
        <v>4</v>
      </c>
      <c r="K11" s="143">
        <f t="shared" si="0"/>
        <v>1.2941176470588236</v>
      </c>
      <c r="L11" s="143">
        <f t="shared" si="1"/>
        <v>10.352941176470589</v>
      </c>
      <c r="M11" s="155">
        <f t="shared" si="2"/>
        <v>3.5714285714285716</v>
      </c>
      <c r="N11" s="143">
        <f t="shared" si="3"/>
        <v>17.857142857142858</v>
      </c>
      <c r="O11" s="143">
        <f t="shared" si="4"/>
        <v>1.6470588235294117</v>
      </c>
      <c r="P11" s="143">
        <f t="shared" si="5"/>
        <v>4.9411764705882355</v>
      </c>
      <c r="Q11" s="155">
        <f t="shared" si="6"/>
        <v>15.428571428571431</v>
      </c>
      <c r="R11" s="143">
        <f t="shared" si="7"/>
        <v>61.714285714285722</v>
      </c>
      <c r="S11" s="241">
        <f>B11*1.5</f>
        <v>60</v>
      </c>
      <c r="T11" s="144">
        <f t="shared" si="8"/>
        <v>154.8655462184874</v>
      </c>
      <c r="U11" s="144">
        <f t="shared" si="9"/>
        <v>162.60882352941178</v>
      </c>
      <c r="V11" s="144">
        <f t="shared" si="10"/>
        <v>4.0652205882352943</v>
      </c>
      <c r="W11" s="144">
        <f t="shared" si="11"/>
        <v>0.5</v>
      </c>
      <c r="X11" s="145">
        <f t="shared" si="12"/>
        <v>4.8</v>
      </c>
    </row>
    <row r="12" spans="1:25">
      <c r="A12" s="152" t="s">
        <v>2070</v>
      </c>
      <c r="B12" s="152">
        <v>40</v>
      </c>
      <c r="C12" s="150" t="s">
        <v>193</v>
      </c>
      <c r="D12" s="152">
        <v>8</v>
      </c>
      <c r="E12" s="156" t="s">
        <v>739</v>
      </c>
      <c r="F12" s="152">
        <v>4</v>
      </c>
      <c r="G12" s="157" t="s">
        <v>337</v>
      </c>
      <c r="H12" s="152">
        <v>4</v>
      </c>
      <c r="I12" s="158" t="s">
        <v>46</v>
      </c>
      <c r="J12" s="159">
        <v>4</v>
      </c>
      <c r="K12" s="143">
        <f t="shared" si="0"/>
        <v>14.000000000000002</v>
      </c>
      <c r="L12" s="143">
        <f t="shared" si="1"/>
        <v>112.00000000000001</v>
      </c>
      <c r="M12" s="155">
        <f t="shared" si="2"/>
        <v>2.1176470588235294</v>
      </c>
      <c r="N12" s="143">
        <f t="shared" si="3"/>
        <v>8.4705882352941178</v>
      </c>
      <c r="O12" s="143" t="e">
        <f t="shared" si="4"/>
        <v>#N/A</v>
      </c>
      <c r="P12" s="143" t="str">
        <f t="shared" si="5"/>
        <v/>
      </c>
      <c r="Q12" s="143">
        <f t="shared" si="6"/>
        <v>2.5882352941176472</v>
      </c>
      <c r="R12" s="143">
        <f t="shared" si="7"/>
        <v>10.352941176470589</v>
      </c>
      <c r="S12" s="241">
        <f>B12*1.2</f>
        <v>48</v>
      </c>
      <c r="T12" s="144">
        <f t="shared" si="8"/>
        <v>178.82352941176472</v>
      </c>
      <c r="U12" s="144">
        <f t="shared" si="9"/>
        <v>187.76470588235296</v>
      </c>
      <c r="V12" s="144">
        <f t="shared" si="10"/>
        <v>4.6941176470588237</v>
      </c>
      <c r="W12" s="144">
        <f t="shared" si="11"/>
        <v>0.5</v>
      </c>
      <c r="X12" s="145">
        <f t="shared" si="12"/>
        <v>5.5</v>
      </c>
    </row>
    <row r="13" spans="1:25">
      <c r="A13" s="152" t="s">
        <v>899</v>
      </c>
      <c r="B13" s="152">
        <v>40</v>
      </c>
      <c r="C13" s="152" t="s">
        <v>900</v>
      </c>
      <c r="D13" s="152">
        <v>8</v>
      </c>
      <c r="E13" s="152" t="s">
        <v>1574</v>
      </c>
      <c r="F13" s="152">
        <v>16</v>
      </c>
      <c r="G13" s="152" t="s">
        <v>902</v>
      </c>
      <c r="H13" s="160">
        <v>4</v>
      </c>
      <c r="I13" s="152" t="s">
        <v>903</v>
      </c>
      <c r="J13" s="160">
        <v>4</v>
      </c>
      <c r="K13" s="143">
        <f t="shared" si="0"/>
        <v>15.428571428571431</v>
      </c>
      <c r="L13" s="143">
        <f t="shared" si="1"/>
        <v>123.42857142857144</v>
      </c>
      <c r="M13" s="143">
        <f t="shared" si="2"/>
        <v>1.7</v>
      </c>
      <c r="N13" s="143">
        <f t="shared" si="3"/>
        <v>27.2</v>
      </c>
      <c r="O13" s="143">
        <f t="shared" si="4"/>
        <v>8.3529411764705888</v>
      </c>
      <c r="P13" s="143">
        <f t="shared" si="5"/>
        <v>33.411764705882355</v>
      </c>
      <c r="Q13" s="143">
        <f t="shared" si="6"/>
        <v>0.70588235294117652</v>
      </c>
      <c r="R13" s="143">
        <f t="shared" si="7"/>
        <v>2.8235294117647061</v>
      </c>
      <c r="S13" s="241">
        <f>B13*0.8</f>
        <v>32</v>
      </c>
      <c r="T13" s="144">
        <f t="shared" si="8"/>
        <v>218.86386554621848</v>
      </c>
      <c r="U13" s="144">
        <f t="shared" si="9"/>
        <v>229.80705882352942</v>
      </c>
      <c r="V13" s="144">
        <f t="shared" si="10"/>
        <v>5.7451764705882358</v>
      </c>
      <c r="W13" s="144">
        <f t="shared" si="11"/>
        <v>0.8</v>
      </c>
      <c r="X13" s="145">
        <f t="shared" si="12"/>
        <v>6.6999999999999993</v>
      </c>
    </row>
    <row r="14" spans="1:25">
      <c r="A14" s="148" t="s">
        <v>904</v>
      </c>
      <c r="B14" s="148">
        <v>20</v>
      </c>
      <c r="C14" s="150" t="s">
        <v>190</v>
      </c>
      <c r="D14" s="148">
        <v>4</v>
      </c>
      <c r="E14" s="148" t="s">
        <v>905</v>
      </c>
      <c r="F14" s="148">
        <v>5</v>
      </c>
      <c r="G14" s="161" t="s">
        <v>1574</v>
      </c>
      <c r="H14" s="148">
        <v>6</v>
      </c>
      <c r="I14" s="148"/>
      <c r="J14" s="148"/>
      <c r="K14" s="143">
        <f t="shared" si="0"/>
        <v>13</v>
      </c>
      <c r="L14" s="143">
        <f t="shared" si="1"/>
        <v>52</v>
      </c>
      <c r="M14" s="143">
        <f t="shared" si="2"/>
        <v>1.6470588235294117</v>
      </c>
      <c r="N14" s="143">
        <f t="shared" si="3"/>
        <v>8.235294117647058</v>
      </c>
      <c r="O14" s="143">
        <f t="shared" si="4"/>
        <v>1.7</v>
      </c>
      <c r="P14" s="143">
        <f t="shared" si="5"/>
        <v>10.199999999999999</v>
      </c>
      <c r="Q14" s="143" t="str">
        <f t="shared" si="6"/>
        <v/>
      </c>
      <c r="R14" s="143" t="str">
        <f t="shared" si="7"/>
        <v/>
      </c>
      <c r="S14" s="241">
        <f>B14*0.6</f>
        <v>12</v>
      </c>
      <c r="T14" s="144">
        <f t="shared" si="8"/>
        <v>82.435294117647061</v>
      </c>
      <c r="U14" s="144">
        <f t="shared" si="9"/>
        <v>86.557058823529417</v>
      </c>
      <c r="V14" s="144">
        <f t="shared" si="10"/>
        <v>4.327852941176471</v>
      </c>
      <c r="W14" s="144">
        <f t="shared" si="11"/>
        <v>0.75</v>
      </c>
      <c r="X14" s="145">
        <f t="shared" si="12"/>
        <v>5.0999999999999996</v>
      </c>
      <c r="Y14" s="162"/>
    </row>
    <row r="15" spans="1:25">
      <c r="A15" s="148" t="s">
        <v>907</v>
      </c>
      <c r="B15" s="148">
        <v>10</v>
      </c>
      <c r="C15" s="148" t="s">
        <v>906</v>
      </c>
      <c r="D15" s="148">
        <v>3</v>
      </c>
      <c r="E15" s="150" t="s">
        <v>193</v>
      </c>
      <c r="F15" s="148">
        <v>1</v>
      </c>
      <c r="G15" s="148" t="s">
        <v>891</v>
      </c>
      <c r="H15" s="148">
        <v>3</v>
      </c>
      <c r="I15" s="148" t="s">
        <v>897</v>
      </c>
      <c r="J15" s="163">
        <v>4</v>
      </c>
      <c r="K15" s="143">
        <f t="shared" si="0"/>
        <v>3.0000000000000004</v>
      </c>
      <c r="L15" s="143">
        <f t="shared" si="1"/>
        <v>9.0000000000000018</v>
      </c>
      <c r="M15" s="143">
        <f t="shared" si="2"/>
        <v>14.000000000000002</v>
      </c>
      <c r="N15" s="143">
        <f t="shared" si="3"/>
        <v>14.000000000000002</v>
      </c>
      <c r="O15" s="143">
        <f t="shared" si="4"/>
        <v>0.94117647058823539</v>
      </c>
      <c r="P15" s="143">
        <f t="shared" si="5"/>
        <v>2.8235294117647061</v>
      </c>
      <c r="Q15" s="143">
        <f t="shared" si="6"/>
        <v>1.7</v>
      </c>
      <c r="R15" s="143">
        <f t="shared" si="7"/>
        <v>6.8</v>
      </c>
      <c r="S15" s="241">
        <f>B15*0.8</f>
        <v>8</v>
      </c>
      <c r="T15" s="144">
        <f t="shared" si="8"/>
        <v>40.623529411764707</v>
      </c>
      <c r="U15" s="144">
        <f t="shared" si="9"/>
        <v>42.654705882352943</v>
      </c>
      <c r="V15" s="144">
        <f t="shared" si="10"/>
        <v>4.2654705882352939</v>
      </c>
      <c r="W15" s="144">
        <f t="shared" si="11"/>
        <v>1.1000000000000001</v>
      </c>
      <c r="X15" s="145">
        <f t="shared" si="12"/>
        <v>5</v>
      </c>
    </row>
    <row r="16" spans="1:25">
      <c r="A16" s="148" t="s">
        <v>908</v>
      </c>
      <c r="B16" s="148">
        <v>20</v>
      </c>
      <c r="C16" s="148" t="s">
        <v>222</v>
      </c>
      <c r="D16" s="148">
        <v>4</v>
      </c>
      <c r="E16" s="148" t="s">
        <v>891</v>
      </c>
      <c r="F16" s="148">
        <v>2</v>
      </c>
      <c r="G16" s="148" t="s">
        <v>888</v>
      </c>
      <c r="H16" s="148">
        <v>1</v>
      </c>
      <c r="I16" s="161" t="s">
        <v>893</v>
      </c>
      <c r="J16" s="163">
        <v>12</v>
      </c>
      <c r="K16" s="143">
        <f t="shared" si="0"/>
        <v>24.142857142857142</v>
      </c>
      <c r="L16" s="143">
        <f t="shared" si="1"/>
        <v>96.571428571428569</v>
      </c>
      <c r="M16" s="143">
        <f t="shared" si="2"/>
        <v>0.94117647058823539</v>
      </c>
      <c r="N16" s="143">
        <f t="shared" si="3"/>
        <v>1.8823529411764708</v>
      </c>
      <c r="O16" s="143">
        <f t="shared" si="4"/>
        <v>2.1176470588235294</v>
      </c>
      <c r="P16" s="143">
        <f t="shared" si="5"/>
        <v>2.1176470588235294</v>
      </c>
      <c r="Q16" s="143">
        <f t="shared" si="6"/>
        <v>4</v>
      </c>
      <c r="R16" s="143">
        <f t="shared" si="7"/>
        <v>48</v>
      </c>
      <c r="S16" s="241">
        <f>B16*0.5</f>
        <v>10</v>
      </c>
      <c r="T16" s="144">
        <f t="shared" si="8"/>
        <v>158.57142857142856</v>
      </c>
      <c r="U16" s="144">
        <f t="shared" si="9"/>
        <v>166.5</v>
      </c>
      <c r="V16" s="153">
        <f t="shared" si="10"/>
        <v>8.3249999999999993</v>
      </c>
      <c r="W16" s="153">
        <f t="shared" si="11"/>
        <v>0.95</v>
      </c>
      <c r="X16" s="145">
        <f t="shared" si="12"/>
        <v>9.6999999999999993</v>
      </c>
    </row>
    <row r="17" spans="1:24">
      <c r="A17" s="148" t="s">
        <v>909</v>
      </c>
      <c r="B17" s="148">
        <v>20</v>
      </c>
      <c r="C17" s="164" t="s">
        <v>1575</v>
      </c>
      <c r="D17" s="148">
        <v>4</v>
      </c>
      <c r="E17" s="149" t="s">
        <v>107</v>
      </c>
      <c r="F17" s="148">
        <v>1</v>
      </c>
      <c r="G17" s="161" t="s">
        <v>1299</v>
      </c>
      <c r="H17" s="148">
        <v>5</v>
      </c>
      <c r="I17" s="161" t="s">
        <v>1576</v>
      </c>
      <c r="J17" s="148">
        <v>5</v>
      </c>
      <c r="K17" s="143">
        <f t="shared" si="0"/>
        <v>33.000000000000007</v>
      </c>
      <c r="L17" s="143">
        <f t="shared" si="1"/>
        <v>132.00000000000003</v>
      </c>
      <c r="M17" s="143">
        <f t="shared" si="2"/>
        <v>2.7142857142857144</v>
      </c>
      <c r="N17" s="143">
        <f t="shared" si="3"/>
        <v>2.7142857142857144</v>
      </c>
      <c r="O17" s="143">
        <f t="shared" si="4"/>
        <v>6.4285714285714288</v>
      </c>
      <c r="P17" s="143">
        <f t="shared" si="5"/>
        <v>32.142857142857146</v>
      </c>
      <c r="Q17" s="143">
        <f t="shared" si="6"/>
        <v>1.7</v>
      </c>
      <c r="R17" s="143">
        <f t="shared" si="7"/>
        <v>8.5</v>
      </c>
      <c r="S17" s="241">
        <f>B17*0.8</f>
        <v>16</v>
      </c>
      <c r="T17" s="144">
        <f t="shared" si="8"/>
        <v>191.35714285714289</v>
      </c>
      <c r="U17" s="144">
        <f t="shared" si="9"/>
        <v>200.92500000000004</v>
      </c>
      <c r="V17" s="144">
        <f t="shared" si="10"/>
        <v>10.046250000000002</v>
      </c>
      <c r="W17" s="144">
        <f t="shared" si="11"/>
        <v>0.75</v>
      </c>
      <c r="X17" s="145">
        <f t="shared" si="12"/>
        <v>11.7</v>
      </c>
    </row>
    <row r="18" spans="1:24">
      <c r="A18" s="148" t="s">
        <v>910</v>
      </c>
      <c r="B18" s="148">
        <v>20</v>
      </c>
      <c r="C18" s="151" t="s">
        <v>1577</v>
      </c>
      <c r="D18" s="148">
        <v>10</v>
      </c>
      <c r="E18" s="148" t="s">
        <v>894</v>
      </c>
      <c r="F18" s="148">
        <v>2</v>
      </c>
      <c r="G18" s="148" t="s">
        <v>888</v>
      </c>
      <c r="H18" s="148">
        <v>1</v>
      </c>
      <c r="I18" s="148" t="s">
        <v>895</v>
      </c>
      <c r="J18" s="148">
        <v>2</v>
      </c>
      <c r="K18" s="143">
        <f t="shared" si="0"/>
        <v>5.7142857142857144</v>
      </c>
      <c r="L18" s="143">
        <f t="shared" si="1"/>
        <v>57.142857142857146</v>
      </c>
      <c r="M18" s="143">
        <f t="shared" si="2"/>
        <v>2.1176470588235294</v>
      </c>
      <c r="N18" s="143">
        <f t="shared" si="3"/>
        <v>4.2352941176470589</v>
      </c>
      <c r="O18" s="143">
        <f t="shared" si="4"/>
        <v>2.1176470588235294</v>
      </c>
      <c r="P18" s="143">
        <f t="shared" si="5"/>
        <v>2.1176470588235294</v>
      </c>
      <c r="Q18" s="143">
        <f t="shared" si="6"/>
        <v>0.94117647058823539</v>
      </c>
      <c r="R18" s="143">
        <f t="shared" si="7"/>
        <v>1.8823529411764708</v>
      </c>
      <c r="S18" s="241">
        <f>B18*0.8</f>
        <v>16</v>
      </c>
      <c r="T18" s="144">
        <f t="shared" si="8"/>
        <v>81.378151260504197</v>
      </c>
      <c r="U18" s="144">
        <f t="shared" si="9"/>
        <v>85.447058823529417</v>
      </c>
      <c r="V18" s="144">
        <f t="shared" si="10"/>
        <v>4.2723529411764707</v>
      </c>
      <c r="W18" s="144">
        <f t="shared" si="11"/>
        <v>0.75</v>
      </c>
      <c r="X18" s="145">
        <f t="shared" si="12"/>
        <v>5</v>
      </c>
    </row>
    <row r="19" spans="1:24">
      <c r="A19" s="152" t="s">
        <v>911</v>
      </c>
      <c r="B19" s="152">
        <v>20</v>
      </c>
      <c r="C19" s="152" t="s">
        <v>319</v>
      </c>
      <c r="D19" s="152">
        <v>5</v>
      </c>
      <c r="E19" s="152" t="s">
        <v>426</v>
      </c>
      <c r="F19" s="152">
        <v>10</v>
      </c>
      <c r="G19" s="152" t="s">
        <v>1578</v>
      </c>
      <c r="H19" s="152">
        <v>3</v>
      </c>
      <c r="I19" s="152" t="s">
        <v>1579</v>
      </c>
      <c r="J19" s="152">
        <v>3</v>
      </c>
      <c r="K19" s="143">
        <f t="shared" si="0"/>
        <v>3.5714285714285716</v>
      </c>
      <c r="L19" s="143">
        <f t="shared" si="1"/>
        <v>17.857142857142858</v>
      </c>
      <c r="M19" s="143">
        <f t="shared" si="2"/>
        <v>5.7142857142857144</v>
      </c>
      <c r="N19" s="143">
        <f t="shared" si="3"/>
        <v>57.142857142857146</v>
      </c>
      <c r="O19" s="143">
        <f t="shared" si="4"/>
        <v>1.6470588235294117</v>
      </c>
      <c r="P19" s="143">
        <f t="shared" si="5"/>
        <v>4.9411764705882355</v>
      </c>
      <c r="Q19" s="143">
        <f t="shared" si="6"/>
        <v>0.94117647058823539</v>
      </c>
      <c r="R19" s="143">
        <f t="shared" si="7"/>
        <v>2.8235294117647061</v>
      </c>
      <c r="S19" s="241">
        <f>B19*0.5</f>
        <v>10</v>
      </c>
      <c r="T19" s="144">
        <f t="shared" si="8"/>
        <v>92.764705882352942</v>
      </c>
      <c r="U19" s="144">
        <f t="shared" si="9"/>
        <v>97.402941176470591</v>
      </c>
      <c r="V19" s="144">
        <f t="shared" si="10"/>
        <v>4.8701470588235294</v>
      </c>
      <c r="W19" s="144">
        <f t="shared" si="11"/>
        <v>1.05</v>
      </c>
      <c r="X19" s="145">
        <f t="shared" si="12"/>
        <v>5.6999999999999993</v>
      </c>
    </row>
    <row r="20" spans="1:24">
      <c r="A20" s="152" t="s">
        <v>912</v>
      </c>
      <c r="B20" s="152">
        <v>25</v>
      </c>
      <c r="C20" s="152" t="s">
        <v>898</v>
      </c>
      <c r="D20" s="152">
        <v>6</v>
      </c>
      <c r="E20" s="152" t="s">
        <v>901</v>
      </c>
      <c r="F20" s="152">
        <v>4</v>
      </c>
      <c r="G20" s="152" t="s">
        <v>1574</v>
      </c>
      <c r="H20" s="152">
        <v>10</v>
      </c>
      <c r="I20" s="152" t="s">
        <v>1580</v>
      </c>
      <c r="J20" s="152">
        <v>5</v>
      </c>
      <c r="K20" s="143">
        <f t="shared" si="0"/>
        <v>1.2941176470588236</v>
      </c>
      <c r="L20" s="143">
        <f t="shared" si="1"/>
        <v>7.764705882352942</v>
      </c>
      <c r="M20" s="143">
        <f t="shared" si="2"/>
        <v>1.6470588235294117</v>
      </c>
      <c r="N20" s="143">
        <f t="shared" si="3"/>
        <v>6.5882352941176467</v>
      </c>
      <c r="O20" s="143">
        <f t="shared" si="4"/>
        <v>1.7</v>
      </c>
      <c r="P20" s="143">
        <f t="shared" si="5"/>
        <v>17</v>
      </c>
      <c r="Q20" s="143">
        <f t="shared" si="6"/>
        <v>13.857142857142858</v>
      </c>
      <c r="R20" s="143">
        <f t="shared" si="7"/>
        <v>69.285714285714292</v>
      </c>
      <c r="S20" s="241">
        <f>B20*0.8</f>
        <v>20</v>
      </c>
      <c r="T20" s="144">
        <f t="shared" si="8"/>
        <v>120.63865546218489</v>
      </c>
      <c r="U20" s="144">
        <f t="shared" si="9"/>
        <v>126.67058823529413</v>
      </c>
      <c r="V20" s="144">
        <f t="shared" si="10"/>
        <v>5.0668235294117654</v>
      </c>
      <c r="W20" s="144">
        <f t="shared" si="11"/>
        <v>1</v>
      </c>
      <c r="X20" s="145">
        <f t="shared" si="12"/>
        <v>5.8999999999999995</v>
      </c>
    </row>
    <row r="21" spans="1:24">
      <c r="A21" s="148" t="s">
        <v>913</v>
      </c>
      <c r="B21" s="148">
        <v>40</v>
      </c>
      <c r="C21" s="150" t="s">
        <v>246</v>
      </c>
      <c r="D21" s="148">
        <v>24</v>
      </c>
      <c r="E21" s="149" t="s">
        <v>2536</v>
      </c>
      <c r="F21" s="148">
        <v>8</v>
      </c>
      <c r="G21" s="161" t="s">
        <v>1581</v>
      </c>
      <c r="H21" s="148">
        <v>6</v>
      </c>
      <c r="I21" s="148" t="s">
        <v>424</v>
      </c>
      <c r="J21" s="148">
        <v>16</v>
      </c>
      <c r="K21" s="143">
        <f t="shared" si="0"/>
        <v>7.2857142857142856</v>
      </c>
      <c r="L21" s="143">
        <f t="shared" si="1"/>
        <v>174.85714285714286</v>
      </c>
      <c r="M21" s="143" t="e">
        <f t="shared" si="2"/>
        <v>#N/A</v>
      </c>
      <c r="N21" s="143" t="str">
        <f t="shared" si="3"/>
        <v/>
      </c>
      <c r="O21" s="143">
        <f t="shared" si="4"/>
        <v>1.1764705882352942</v>
      </c>
      <c r="P21" s="143">
        <f t="shared" si="5"/>
        <v>7.0588235294117645</v>
      </c>
      <c r="Q21" s="143">
        <f t="shared" si="6"/>
        <v>1.7</v>
      </c>
      <c r="R21" s="143">
        <f t="shared" si="7"/>
        <v>27.2</v>
      </c>
      <c r="S21" s="241">
        <f>B21*1.2</f>
        <v>48</v>
      </c>
      <c r="T21" s="144">
        <f t="shared" si="8"/>
        <v>257.11596638655465</v>
      </c>
      <c r="U21" s="144">
        <f t="shared" si="9"/>
        <v>269.97176470588238</v>
      </c>
      <c r="V21" s="144">
        <f t="shared" si="10"/>
        <v>6.7492941176470591</v>
      </c>
      <c r="W21" s="144">
        <f t="shared" si="11"/>
        <v>1.35</v>
      </c>
      <c r="X21" s="145">
        <f t="shared" si="12"/>
        <v>7.8999999999999995</v>
      </c>
    </row>
    <row r="22" spans="1:24">
      <c r="A22" s="148" t="s">
        <v>915</v>
      </c>
      <c r="B22" s="148">
        <v>25</v>
      </c>
      <c r="C22" s="150" t="s">
        <v>157</v>
      </c>
      <c r="D22" s="148">
        <v>5</v>
      </c>
      <c r="E22" s="148" t="s">
        <v>916</v>
      </c>
      <c r="F22" s="148">
        <v>2</v>
      </c>
      <c r="G22" s="148" t="s">
        <v>917</v>
      </c>
      <c r="H22" s="148">
        <v>3</v>
      </c>
      <c r="I22" s="148" t="s">
        <v>918</v>
      </c>
      <c r="J22" s="148">
        <v>3</v>
      </c>
      <c r="K22" s="143">
        <f t="shared" si="0"/>
        <v>19.428571428571431</v>
      </c>
      <c r="L22" s="143">
        <f t="shared" si="1"/>
        <v>97.142857142857153</v>
      </c>
      <c r="M22" s="143" t="e">
        <f t="shared" si="2"/>
        <v>#N/A</v>
      </c>
      <c r="N22" s="143" t="str">
        <f t="shared" si="3"/>
        <v/>
      </c>
      <c r="O22" s="143" t="e">
        <f t="shared" si="4"/>
        <v>#N/A</v>
      </c>
      <c r="P22" s="143" t="str">
        <f t="shared" si="5"/>
        <v/>
      </c>
      <c r="Q22" s="143" t="e">
        <f t="shared" si="6"/>
        <v>#N/A</v>
      </c>
      <c r="R22" s="143" t="str">
        <f t="shared" si="7"/>
        <v/>
      </c>
      <c r="S22" s="241">
        <f>B22*2.5</f>
        <v>62.5</v>
      </c>
      <c r="T22" s="144">
        <f t="shared" si="8"/>
        <v>159.64285714285717</v>
      </c>
      <c r="U22" s="144">
        <f t="shared" si="9"/>
        <v>167.62500000000003</v>
      </c>
      <c r="V22" s="144">
        <f t="shared" si="10"/>
        <v>6.705000000000001</v>
      </c>
      <c r="W22" s="144">
        <f t="shared" si="11"/>
        <v>0.52</v>
      </c>
      <c r="X22" s="145">
        <f t="shared" si="12"/>
        <v>7.8</v>
      </c>
    </row>
    <row r="23" spans="1:24">
      <c r="A23" s="148" t="s">
        <v>1497</v>
      </c>
      <c r="B23" s="148">
        <v>20</v>
      </c>
      <c r="C23" s="148" t="s">
        <v>919</v>
      </c>
      <c r="D23" s="148">
        <v>10</v>
      </c>
      <c r="E23" s="148" t="s">
        <v>1317</v>
      </c>
      <c r="F23" s="148">
        <v>6</v>
      </c>
      <c r="G23" s="148" t="s">
        <v>914</v>
      </c>
      <c r="H23" s="148">
        <v>1</v>
      </c>
      <c r="I23" s="148" t="s">
        <v>902</v>
      </c>
      <c r="J23" s="148">
        <v>1</v>
      </c>
      <c r="K23" s="143">
        <f t="shared" si="0"/>
        <v>10.714285714285715</v>
      </c>
      <c r="L23" s="143">
        <f t="shared" si="1"/>
        <v>107.14285714285715</v>
      </c>
      <c r="M23" s="143">
        <f t="shared" si="2"/>
        <v>1.2941176470588236</v>
      </c>
      <c r="N23" s="143">
        <f t="shared" si="3"/>
        <v>7.764705882352942</v>
      </c>
      <c r="O23" s="143">
        <f t="shared" si="4"/>
        <v>1.6470588235294117</v>
      </c>
      <c r="P23" s="143">
        <f t="shared" si="5"/>
        <v>1.6470588235294117</v>
      </c>
      <c r="Q23" s="155">
        <f t="shared" si="6"/>
        <v>8.3529411764705888</v>
      </c>
      <c r="R23" s="143">
        <f t="shared" si="7"/>
        <v>8.3529411764705888</v>
      </c>
      <c r="S23" s="241">
        <f>B23*0.8</f>
        <v>16</v>
      </c>
      <c r="T23" s="144">
        <f t="shared" si="8"/>
        <v>140.9075630252101</v>
      </c>
      <c r="U23" s="144">
        <f t="shared" si="9"/>
        <v>147.9529411764706</v>
      </c>
      <c r="V23" s="144">
        <f t="shared" si="10"/>
        <v>7.3976470588235301</v>
      </c>
      <c r="W23" s="144">
        <f t="shared" si="11"/>
        <v>0.90000000000000013</v>
      </c>
      <c r="X23" s="145">
        <f t="shared" si="12"/>
        <v>8.6</v>
      </c>
    </row>
    <row r="24" spans="1:24">
      <c r="A24" s="148" t="s">
        <v>920</v>
      </c>
      <c r="B24" s="148">
        <v>20</v>
      </c>
      <c r="C24" s="148" t="s">
        <v>921</v>
      </c>
      <c r="D24" s="148">
        <v>12</v>
      </c>
      <c r="E24" s="148" t="s">
        <v>1582</v>
      </c>
      <c r="F24" s="148">
        <v>5</v>
      </c>
      <c r="G24" s="148" t="s">
        <v>1275</v>
      </c>
      <c r="H24" s="148">
        <v>1</v>
      </c>
      <c r="I24" s="165" t="s">
        <v>179</v>
      </c>
      <c r="J24" s="148">
        <v>1</v>
      </c>
      <c r="K24" s="143">
        <f t="shared" si="0"/>
        <v>9.4285714285714288</v>
      </c>
      <c r="L24" s="143">
        <f t="shared" si="1"/>
        <v>113.14285714285714</v>
      </c>
      <c r="M24" s="143">
        <f t="shared" si="2"/>
        <v>6</v>
      </c>
      <c r="N24" s="143">
        <f t="shared" si="3"/>
        <v>30</v>
      </c>
      <c r="O24" s="143">
        <f t="shared" si="4"/>
        <v>7.6470588235294121</v>
      </c>
      <c r="P24" s="143">
        <f t="shared" si="5"/>
        <v>7.6470588235294121</v>
      </c>
      <c r="Q24" s="143">
        <f t="shared" si="6"/>
        <v>7.6470588235294121</v>
      </c>
      <c r="R24" s="143">
        <f t="shared" si="7"/>
        <v>7.6470588235294121</v>
      </c>
      <c r="S24" s="241">
        <f t="shared" ref="S24:S62" si="13">B24*0.2</f>
        <v>4</v>
      </c>
      <c r="T24" s="144">
        <f t="shared" si="8"/>
        <v>162.43697478991598</v>
      </c>
      <c r="U24" s="144">
        <f t="shared" si="9"/>
        <v>170.5588235294118</v>
      </c>
      <c r="V24" s="153">
        <f t="shared" si="10"/>
        <v>8.5279411764705895</v>
      </c>
      <c r="W24" s="153">
        <f t="shared" si="11"/>
        <v>0.95000000000000007</v>
      </c>
      <c r="X24" s="145">
        <f t="shared" si="12"/>
        <v>9.9</v>
      </c>
    </row>
    <row r="25" spans="1:24">
      <c r="A25" s="148" t="s">
        <v>922</v>
      </c>
      <c r="B25" s="148">
        <v>25</v>
      </c>
      <c r="C25" s="148" t="s">
        <v>434</v>
      </c>
      <c r="D25" s="148">
        <v>5</v>
      </c>
      <c r="E25" s="151" t="s">
        <v>1583</v>
      </c>
      <c r="F25" s="148">
        <v>15</v>
      </c>
      <c r="G25" s="148" t="s">
        <v>891</v>
      </c>
      <c r="H25" s="148">
        <v>3</v>
      </c>
      <c r="I25" s="148" t="s">
        <v>906</v>
      </c>
      <c r="J25" s="148">
        <v>3</v>
      </c>
      <c r="K25" s="143">
        <f t="shared" si="0"/>
        <v>15.428571428571431</v>
      </c>
      <c r="L25" s="143">
        <f t="shared" si="1"/>
        <v>77.142857142857153</v>
      </c>
      <c r="M25" s="143">
        <f t="shared" si="2"/>
        <v>5.7142857142857144</v>
      </c>
      <c r="N25" s="143">
        <f t="shared" si="3"/>
        <v>85.714285714285722</v>
      </c>
      <c r="O25" s="143">
        <f t="shared" si="4"/>
        <v>0.94117647058823539</v>
      </c>
      <c r="P25" s="143">
        <f t="shared" si="5"/>
        <v>2.8235294117647061</v>
      </c>
      <c r="Q25" s="143">
        <f t="shared" si="6"/>
        <v>3.0000000000000004</v>
      </c>
      <c r="R25" s="143">
        <f t="shared" si="7"/>
        <v>9.0000000000000018</v>
      </c>
      <c r="S25" s="241">
        <f>B25*0.6</f>
        <v>15</v>
      </c>
      <c r="T25" s="144">
        <f t="shared" si="8"/>
        <v>189.68067226890759</v>
      </c>
      <c r="U25" s="144">
        <f t="shared" si="9"/>
        <v>199.16470588235296</v>
      </c>
      <c r="V25" s="144">
        <f t="shared" si="10"/>
        <v>7.9665882352941182</v>
      </c>
      <c r="W25" s="144">
        <f t="shared" si="11"/>
        <v>1.04</v>
      </c>
      <c r="X25" s="145">
        <f t="shared" si="12"/>
        <v>9.2999999999999989</v>
      </c>
    </row>
    <row r="26" spans="1:24">
      <c r="A26" s="166" t="s">
        <v>923</v>
      </c>
      <c r="B26" s="89">
        <v>35</v>
      </c>
      <c r="C26" s="18" t="s">
        <v>1584</v>
      </c>
      <c r="D26" s="89">
        <v>15</v>
      </c>
      <c r="E26" s="18" t="s">
        <v>888</v>
      </c>
      <c r="F26" s="89">
        <v>2</v>
      </c>
      <c r="G26" s="18" t="s">
        <v>894</v>
      </c>
      <c r="H26" s="89">
        <v>3</v>
      </c>
      <c r="I26" s="18" t="s">
        <v>895</v>
      </c>
      <c r="J26" s="89">
        <v>3</v>
      </c>
      <c r="K26" s="143">
        <f t="shared" si="0"/>
        <v>4</v>
      </c>
      <c r="L26" s="143">
        <f t="shared" si="1"/>
        <v>60</v>
      </c>
      <c r="M26" s="143">
        <f t="shared" si="2"/>
        <v>2.1176470588235294</v>
      </c>
      <c r="N26" s="143">
        <f t="shared" si="3"/>
        <v>4.2352941176470589</v>
      </c>
      <c r="O26" s="143">
        <f t="shared" si="4"/>
        <v>2.1176470588235294</v>
      </c>
      <c r="P26" s="143">
        <f t="shared" si="5"/>
        <v>6.3529411764705888</v>
      </c>
      <c r="Q26" s="143">
        <f t="shared" si="6"/>
        <v>0.94117647058823539</v>
      </c>
      <c r="R26" s="143">
        <f t="shared" si="7"/>
        <v>2.8235294117647061</v>
      </c>
      <c r="S26" s="241">
        <f>B26*0.5</f>
        <v>17.5</v>
      </c>
      <c r="T26" s="144">
        <f t="shared" si="8"/>
        <v>90.911764705882362</v>
      </c>
      <c r="U26" s="144">
        <f t="shared" si="9"/>
        <v>95.457352941176481</v>
      </c>
      <c r="V26" s="144">
        <f t="shared" si="10"/>
        <v>2.7273529411764708</v>
      </c>
      <c r="W26" s="144">
        <f t="shared" si="11"/>
        <v>0.65714285714285714</v>
      </c>
      <c r="X26" s="145">
        <f t="shared" si="12"/>
        <v>3.2</v>
      </c>
    </row>
    <row r="27" spans="1:24">
      <c r="A27" s="166" t="s">
        <v>953</v>
      </c>
      <c r="B27" s="18">
        <v>10</v>
      </c>
      <c r="C27" s="18" t="s">
        <v>954</v>
      </c>
      <c r="D27" s="18">
        <v>18</v>
      </c>
      <c r="E27" s="18" t="s">
        <v>901</v>
      </c>
      <c r="F27" s="18">
        <v>2</v>
      </c>
      <c r="G27" s="18" t="s">
        <v>952</v>
      </c>
      <c r="H27" s="18">
        <v>2</v>
      </c>
      <c r="I27" s="18"/>
      <c r="J27" s="18"/>
      <c r="K27" s="143">
        <f t="shared" si="0"/>
        <v>9.2857142857142865</v>
      </c>
      <c r="L27" s="143">
        <f t="shared" si="1"/>
        <v>167.14285714285717</v>
      </c>
      <c r="M27" s="143">
        <f t="shared" si="2"/>
        <v>1.6470588235294117</v>
      </c>
      <c r="N27" s="143">
        <f t="shared" si="3"/>
        <v>3.2941176470588234</v>
      </c>
      <c r="O27" s="143">
        <f t="shared" si="4"/>
        <v>3.4117647058823528</v>
      </c>
      <c r="P27" s="143">
        <f t="shared" si="5"/>
        <v>6.8235294117647056</v>
      </c>
      <c r="Q27" s="143" t="str">
        <f t="shared" si="6"/>
        <v/>
      </c>
      <c r="R27" s="143" t="str">
        <f t="shared" si="7"/>
        <v/>
      </c>
      <c r="S27" s="241">
        <f>B27*0.6</f>
        <v>6</v>
      </c>
      <c r="T27" s="144">
        <f t="shared" si="8"/>
        <v>183.26050420168067</v>
      </c>
      <c r="U27" s="144">
        <f t="shared" si="9"/>
        <v>192.42352941176472</v>
      </c>
      <c r="V27" s="144">
        <f t="shared" si="10"/>
        <v>19.24235294117647</v>
      </c>
      <c r="W27" s="144">
        <f t="shared" si="11"/>
        <v>2.2000000000000002</v>
      </c>
      <c r="X27" s="145">
        <f t="shared" si="12"/>
        <v>22.400000000000002</v>
      </c>
    </row>
    <row r="28" spans="1:24">
      <c r="A28" s="166" t="s">
        <v>955</v>
      </c>
      <c r="B28" s="18">
        <v>10</v>
      </c>
      <c r="C28" s="18" t="s">
        <v>919</v>
      </c>
      <c r="D28" s="18">
        <v>12</v>
      </c>
      <c r="E28" s="18" t="s">
        <v>319</v>
      </c>
      <c r="F28" s="18">
        <v>2</v>
      </c>
      <c r="G28" s="18"/>
      <c r="H28" s="18"/>
      <c r="I28" s="18"/>
      <c r="J28" s="18"/>
      <c r="K28" s="143">
        <f t="shared" si="0"/>
        <v>10.714285714285715</v>
      </c>
      <c r="L28" s="143">
        <f t="shared" si="1"/>
        <v>128.57142857142858</v>
      </c>
      <c r="M28" s="143">
        <f t="shared" si="2"/>
        <v>3.5714285714285716</v>
      </c>
      <c r="N28" s="143">
        <f t="shared" si="3"/>
        <v>7.1428571428571432</v>
      </c>
      <c r="O28" s="143" t="str">
        <f t="shared" si="4"/>
        <v/>
      </c>
      <c r="P28" s="143" t="str">
        <f t="shared" si="5"/>
        <v/>
      </c>
      <c r="Q28" s="143" t="str">
        <f t="shared" si="6"/>
        <v/>
      </c>
      <c r="R28" s="143" t="str">
        <f t="shared" si="7"/>
        <v/>
      </c>
      <c r="S28" s="241">
        <f t="shared" si="13"/>
        <v>2</v>
      </c>
      <c r="T28" s="144">
        <f t="shared" si="8"/>
        <v>137.71428571428572</v>
      </c>
      <c r="U28" s="144">
        <f t="shared" si="9"/>
        <v>144.60000000000002</v>
      </c>
      <c r="V28" s="144">
        <f t="shared" si="10"/>
        <v>14.460000000000003</v>
      </c>
      <c r="W28" s="144">
        <f t="shared" si="11"/>
        <v>1.4</v>
      </c>
      <c r="X28" s="145">
        <f t="shared" si="12"/>
        <v>16.8</v>
      </c>
    </row>
    <row r="29" spans="1:24">
      <c r="A29" s="166" t="s">
        <v>956</v>
      </c>
      <c r="B29" s="18">
        <v>10</v>
      </c>
      <c r="C29" s="26" t="s">
        <v>965</v>
      </c>
      <c r="D29" s="18">
        <v>5</v>
      </c>
      <c r="E29" s="18"/>
      <c r="F29" s="18"/>
      <c r="G29" s="18"/>
      <c r="H29" s="18"/>
      <c r="I29" s="18"/>
      <c r="J29" s="18"/>
      <c r="K29" s="143">
        <f t="shared" si="0"/>
        <v>20</v>
      </c>
      <c r="L29" s="143">
        <f t="shared" si="1"/>
        <v>100</v>
      </c>
      <c r="M29" s="143" t="str">
        <f t="shared" si="2"/>
        <v/>
      </c>
      <c r="N29" s="143" t="str">
        <f t="shared" si="3"/>
        <v/>
      </c>
      <c r="O29" s="143" t="str">
        <f t="shared" si="4"/>
        <v/>
      </c>
      <c r="P29" s="143" t="str">
        <f t="shared" si="5"/>
        <v/>
      </c>
      <c r="Q29" s="143" t="str">
        <f t="shared" si="6"/>
        <v/>
      </c>
      <c r="R29" s="143" t="str">
        <f t="shared" si="7"/>
        <v/>
      </c>
      <c r="S29" s="241">
        <f>B29*0.8</f>
        <v>8</v>
      </c>
      <c r="T29" s="144">
        <f t="shared" si="8"/>
        <v>108</v>
      </c>
      <c r="U29" s="144">
        <f t="shared" si="9"/>
        <v>113.4</v>
      </c>
      <c r="V29" s="144">
        <f t="shared" si="10"/>
        <v>11.34</v>
      </c>
      <c r="W29" s="144">
        <f t="shared" si="11"/>
        <v>0.5</v>
      </c>
      <c r="X29" s="145">
        <f t="shared" si="12"/>
        <v>13.2</v>
      </c>
    </row>
    <row r="30" spans="1:24">
      <c r="A30" s="166" t="s">
        <v>957</v>
      </c>
      <c r="B30" s="18">
        <v>10</v>
      </c>
      <c r="C30" s="18" t="s">
        <v>2172</v>
      </c>
      <c r="D30" s="18">
        <v>6</v>
      </c>
      <c r="E30" s="18" t="s">
        <v>958</v>
      </c>
      <c r="F30" s="18">
        <v>3</v>
      </c>
      <c r="G30" s="18"/>
      <c r="H30" s="18"/>
      <c r="I30" s="18"/>
      <c r="J30" s="18"/>
      <c r="K30" s="143">
        <f t="shared" si="0"/>
        <v>33.000000000000007</v>
      </c>
      <c r="L30" s="143">
        <f t="shared" si="1"/>
        <v>198.00000000000006</v>
      </c>
      <c r="M30" s="143">
        <f t="shared" si="2"/>
        <v>2.1176470588235294</v>
      </c>
      <c r="N30" s="143">
        <f t="shared" si="3"/>
        <v>6.3529411764705888</v>
      </c>
      <c r="O30" s="143" t="str">
        <f t="shared" si="4"/>
        <v/>
      </c>
      <c r="P30" s="143" t="str">
        <f t="shared" si="5"/>
        <v/>
      </c>
      <c r="Q30" s="143" t="str">
        <f t="shared" si="6"/>
        <v/>
      </c>
      <c r="R30" s="143" t="str">
        <f t="shared" si="7"/>
        <v/>
      </c>
      <c r="S30" s="241">
        <f t="shared" si="13"/>
        <v>2</v>
      </c>
      <c r="T30" s="144">
        <f t="shared" si="8"/>
        <v>206.35294117647064</v>
      </c>
      <c r="U30" s="144">
        <f t="shared" si="9"/>
        <v>216.67058823529419</v>
      </c>
      <c r="V30" s="144">
        <f t="shared" si="10"/>
        <v>21.66705882352942</v>
      </c>
      <c r="W30" s="144">
        <f t="shared" si="11"/>
        <v>0.89999999999999991</v>
      </c>
      <c r="X30" s="145">
        <f t="shared" si="12"/>
        <v>25.200000000000003</v>
      </c>
    </row>
    <row r="31" spans="1:24" ht="15">
      <c r="A31" s="166" t="s">
        <v>959</v>
      </c>
      <c r="B31" s="18">
        <v>10</v>
      </c>
      <c r="C31" s="26" t="s">
        <v>966</v>
      </c>
      <c r="D31" s="18">
        <v>11</v>
      </c>
      <c r="E31" s="50" t="s">
        <v>964</v>
      </c>
      <c r="F31" s="18">
        <v>1</v>
      </c>
      <c r="G31" s="26" t="s">
        <v>967</v>
      </c>
      <c r="H31" s="18">
        <v>1</v>
      </c>
      <c r="I31" s="18"/>
      <c r="J31" s="18"/>
      <c r="K31" s="143">
        <f t="shared" si="0"/>
        <v>10</v>
      </c>
      <c r="L31" s="143">
        <f t="shared" si="1"/>
        <v>110</v>
      </c>
      <c r="M31" s="143">
        <f t="shared" si="2"/>
        <v>14.285714285714286</v>
      </c>
      <c r="N31" s="143">
        <f t="shared" si="3"/>
        <v>14.285714285714286</v>
      </c>
      <c r="O31" s="143">
        <f t="shared" si="4"/>
        <v>9</v>
      </c>
      <c r="P31" s="143">
        <f t="shared" si="5"/>
        <v>9</v>
      </c>
      <c r="Q31" s="143" t="str">
        <f t="shared" si="6"/>
        <v/>
      </c>
      <c r="R31" s="143" t="str">
        <f t="shared" si="7"/>
        <v/>
      </c>
      <c r="S31" s="241">
        <f t="shared" si="13"/>
        <v>2</v>
      </c>
      <c r="T31" s="144">
        <f t="shared" si="8"/>
        <v>135.28571428571428</v>
      </c>
      <c r="U31" s="144">
        <f t="shared" si="9"/>
        <v>142.05000000000001</v>
      </c>
      <c r="V31" s="144">
        <f t="shared" si="10"/>
        <v>14.205000000000002</v>
      </c>
      <c r="W31" s="144">
        <f t="shared" si="11"/>
        <v>1.3000000000000003</v>
      </c>
      <c r="X31" s="145">
        <f t="shared" si="12"/>
        <v>16.5</v>
      </c>
    </row>
    <row r="32" spans="1:24">
      <c r="A32" s="166" t="s">
        <v>960</v>
      </c>
      <c r="B32" s="18">
        <v>10</v>
      </c>
      <c r="C32" s="13" t="s">
        <v>108</v>
      </c>
      <c r="D32" s="18">
        <v>6</v>
      </c>
      <c r="E32" s="49" t="s">
        <v>193</v>
      </c>
      <c r="F32" s="18">
        <v>2</v>
      </c>
      <c r="G32" s="18"/>
      <c r="H32" s="18"/>
      <c r="I32" s="18"/>
      <c r="J32" s="18"/>
      <c r="K32" s="143">
        <f t="shared" si="0"/>
        <v>3.5294117647058822</v>
      </c>
      <c r="L32" s="143">
        <f t="shared" si="1"/>
        <v>21.176470588235293</v>
      </c>
      <c r="M32" s="143">
        <f t="shared" si="2"/>
        <v>14.000000000000002</v>
      </c>
      <c r="N32" s="143">
        <f t="shared" si="3"/>
        <v>28.000000000000004</v>
      </c>
      <c r="O32" s="143" t="str">
        <f t="shared" si="4"/>
        <v/>
      </c>
      <c r="P32" s="143" t="str">
        <f t="shared" si="5"/>
        <v/>
      </c>
      <c r="Q32" s="143" t="str">
        <f t="shared" si="6"/>
        <v/>
      </c>
      <c r="R32" s="143" t="str">
        <f t="shared" si="7"/>
        <v/>
      </c>
      <c r="S32" s="241">
        <f t="shared" si="13"/>
        <v>2</v>
      </c>
      <c r="T32" s="144">
        <f t="shared" si="8"/>
        <v>51.176470588235297</v>
      </c>
      <c r="U32" s="144">
        <f t="shared" si="9"/>
        <v>53.735294117647065</v>
      </c>
      <c r="V32" s="144">
        <f t="shared" si="10"/>
        <v>5.3735294117647063</v>
      </c>
      <c r="W32" s="144">
        <f t="shared" si="11"/>
        <v>0.8</v>
      </c>
      <c r="X32" s="145">
        <f t="shared" si="12"/>
        <v>6.3</v>
      </c>
    </row>
    <row r="33" spans="1:24" ht="15">
      <c r="A33" s="166" t="s">
        <v>961</v>
      </c>
      <c r="B33" s="18">
        <v>10</v>
      </c>
      <c r="C33" s="49" t="s">
        <v>193</v>
      </c>
      <c r="D33" s="18">
        <v>7</v>
      </c>
      <c r="E33" s="50" t="s">
        <v>968</v>
      </c>
      <c r="F33" s="18">
        <v>4</v>
      </c>
      <c r="G33" s="18"/>
      <c r="H33" s="18"/>
      <c r="I33" s="18"/>
      <c r="J33" s="18"/>
      <c r="K33" s="143">
        <f t="shared" si="0"/>
        <v>14.000000000000002</v>
      </c>
      <c r="L33" s="143">
        <f t="shared" si="1"/>
        <v>98.000000000000014</v>
      </c>
      <c r="M33" s="143">
        <f t="shared" si="2"/>
        <v>1.8571428571428574</v>
      </c>
      <c r="N33" s="143">
        <f t="shared" si="3"/>
        <v>7.4285714285714297</v>
      </c>
      <c r="O33" s="143" t="str">
        <f t="shared" si="4"/>
        <v/>
      </c>
      <c r="P33" s="143" t="str">
        <f t="shared" si="5"/>
        <v/>
      </c>
      <c r="Q33" s="143" t="str">
        <f t="shared" si="6"/>
        <v/>
      </c>
      <c r="R33" s="143" t="str">
        <f t="shared" si="7"/>
        <v/>
      </c>
      <c r="S33" s="241">
        <f t="shared" si="13"/>
        <v>2</v>
      </c>
      <c r="T33" s="144">
        <f t="shared" si="8"/>
        <v>107.42857142857144</v>
      </c>
      <c r="U33" s="144">
        <f t="shared" si="9"/>
        <v>112.80000000000003</v>
      </c>
      <c r="V33" s="144">
        <f t="shared" si="10"/>
        <v>11.280000000000003</v>
      </c>
      <c r="W33" s="144">
        <f t="shared" si="11"/>
        <v>1.1000000000000001</v>
      </c>
      <c r="X33" s="145">
        <f t="shared" si="12"/>
        <v>13.1</v>
      </c>
    </row>
    <row r="34" spans="1:24">
      <c r="A34" s="166" t="s">
        <v>962</v>
      </c>
      <c r="B34" s="18">
        <v>10</v>
      </c>
      <c r="C34" s="49" t="s">
        <v>207</v>
      </c>
      <c r="D34" s="18">
        <v>12</v>
      </c>
      <c r="E34" s="18"/>
      <c r="F34" s="18"/>
      <c r="G34" s="18"/>
      <c r="H34" s="18"/>
      <c r="I34" s="18"/>
      <c r="J34" s="18"/>
      <c r="K34" s="143">
        <f t="shared" si="0"/>
        <v>14.428571428571429</v>
      </c>
      <c r="L34" s="143">
        <f t="shared" si="1"/>
        <v>173.14285714285714</v>
      </c>
      <c r="M34" s="143" t="str">
        <f t="shared" si="2"/>
        <v/>
      </c>
      <c r="N34" s="143" t="str">
        <f t="shared" si="3"/>
        <v/>
      </c>
      <c r="O34" s="143" t="str">
        <f t="shared" si="4"/>
        <v/>
      </c>
      <c r="P34" s="143" t="str">
        <f t="shared" si="5"/>
        <v/>
      </c>
      <c r="Q34" s="143" t="str">
        <f t="shared" si="6"/>
        <v/>
      </c>
      <c r="R34" s="143" t="str">
        <f t="shared" si="7"/>
        <v/>
      </c>
      <c r="S34" s="241">
        <f>B34*0.9</f>
        <v>9</v>
      </c>
      <c r="T34" s="144">
        <f t="shared" si="8"/>
        <v>182.14285714285714</v>
      </c>
      <c r="U34" s="144">
        <f t="shared" si="9"/>
        <v>191.25</v>
      </c>
      <c r="V34" s="144">
        <f t="shared" si="10"/>
        <v>19.125</v>
      </c>
      <c r="W34" s="144">
        <f t="shared" si="11"/>
        <v>1.2</v>
      </c>
      <c r="X34" s="145">
        <f t="shared" si="12"/>
        <v>22.200000000000003</v>
      </c>
    </row>
    <row r="35" spans="1:24">
      <c r="A35" s="166" t="s">
        <v>963</v>
      </c>
      <c r="B35" s="18">
        <v>10</v>
      </c>
      <c r="C35" s="49" t="s">
        <v>289</v>
      </c>
      <c r="D35" s="18">
        <v>7</v>
      </c>
      <c r="E35" s="18"/>
      <c r="F35" s="18"/>
      <c r="G35" s="18"/>
      <c r="H35" s="18"/>
      <c r="I35" s="18"/>
      <c r="J35" s="18"/>
      <c r="K35" s="143">
        <f t="shared" si="0"/>
        <v>12.285714285714286</v>
      </c>
      <c r="L35" s="143">
        <f t="shared" si="1"/>
        <v>86</v>
      </c>
      <c r="M35" s="143" t="str">
        <f t="shared" si="2"/>
        <v/>
      </c>
      <c r="N35" s="143" t="str">
        <f t="shared" si="3"/>
        <v/>
      </c>
      <c r="O35" s="143" t="str">
        <f t="shared" si="4"/>
        <v/>
      </c>
      <c r="P35" s="143" t="str">
        <f t="shared" si="5"/>
        <v/>
      </c>
      <c r="Q35" s="143" t="str">
        <f t="shared" si="6"/>
        <v/>
      </c>
      <c r="R35" s="143" t="str">
        <f t="shared" si="7"/>
        <v/>
      </c>
      <c r="S35" s="241">
        <f t="shared" si="13"/>
        <v>2</v>
      </c>
      <c r="T35" s="144">
        <f t="shared" si="8"/>
        <v>88</v>
      </c>
      <c r="U35" s="144">
        <f t="shared" si="9"/>
        <v>92.4</v>
      </c>
      <c r="V35" s="144">
        <f t="shared" si="10"/>
        <v>9.24</v>
      </c>
      <c r="W35" s="144">
        <f t="shared" si="11"/>
        <v>0.7</v>
      </c>
      <c r="X35" s="145">
        <f t="shared" si="12"/>
        <v>10.799999999999999</v>
      </c>
    </row>
    <row r="36" spans="1:24">
      <c r="A36" s="148" t="s">
        <v>1039</v>
      </c>
      <c r="B36" s="167">
        <v>20</v>
      </c>
      <c r="C36" s="148" t="s">
        <v>1040</v>
      </c>
      <c r="D36" s="148">
        <v>8</v>
      </c>
      <c r="E36" s="151" t="s">
        <v>1585</v>
      </c>
      <c r="F36" s="148">
        <v>12</v>
      </c>
      <c r="G36" s="148" t="s">
        <v>1042</v>
      </c>
      <c r="H36" s="148">
        <v>3</v>
      </c>
      <c r="I36" s="148" t="s">
        <v>1043</v>
      </c>
      <c r="J36" s="148">
        <v>1</v>
      </c>
      <c r="K36" s="143">
        <f t="shared" si="0"/>
        <v>7.2857142857142856</v>
      </c>
      <c r="L36" s="143">
        <f t="shared" si="1"/>
        <v>58.285714285714285</v>
      </c>
      <c r="M36" s="143">
        <f t="shared" si="2"/>
        <v>5.7142857142857144</v>
      </c>
      <c r="N36" s="143">
        <f t="shared" si="3"/>
        <v>68.571428571428569</v>
      </c>
      <c r="O36" s="143">
        <f t="shared" si="4"/>
        <v>0.94117647058823539</v>
      </c>
      <c r="P36" s="143">
        <f t="shared" si="5"/>
        <v>2.8235294117647061</v>
      </c>
      <c r="Q36" s="143">
        <f t="shared" si="6"/>
        <v>6.4285714285714288</v>
      </c>
      <c r="R36" s="143">
        <f t="shared" si="7"/>
        <v>6.4285714285714288</v>
      </c>
      <c r="S36" s="241">
        <f t="shared" si="13"/>
        <v>4</v>
      </c>
      <c r="T36" s="144">
        <f t="shared" si="8"/>
        <v>140.10924369747897</v>
      </c>
      <c r="U36" s="144">
        <f t="shared" si="9"/>
        <v>147.11470588235292</v>
      </c>
      <c r="V36" s="144">
        <f t="shared" si="10"/>
        <v>7.3557352941176459</v>
      </c>
      <c r="W36" s="144">
        <f t="shared" si="11"/>
        <v>1.2</v>
      </c>
      <c r="X36" s="145">
        <f t="shared" si="12"/>
        <v>8.6</v>
      </c>
    </row>
    <row r="37" spans="1:24" ht="42.75">
      <c r="A37" s="161" t="s">
        <v>1046</v>
      </c>
      <c r="B37" s="168">
        <v>30</v>
      </c>
      <c r="C37" s="161" t="s">
        <v>1047</v>
      </c>
      <c r="D37" s="161">
        <v>10</v>
      </c>
      <c r="E37" s="161" t="s">
        <v>2536</v>
      </c>
      <c r="F37" s="161">
        <v>6</v>
      </c>
      <c r="G37" s="154" t="s">
        <v>319</v>
      </c>
      <c r="H37" s="161">
        <v>3</v>
      </c>
      <c r="I37" s="161" t="s">
        <v>1051</v>
      </c>
      <c r="J37" s="169">
        <v>3</v>
      </c>
      <c r="K37" s="143">
        <f t="shared" si="0"/>
        <v>14.000000000000002</v>
      </c>
      <c r="L37" s="143">
        <f t="shared" si="1"/>
        <v>140.00000000000003</v>
      </c>
      <c r="M37" s="143" t="e">
        <f t="shared" si="2"/>
        <v>#N/A</v>
      </c>
      <c r="N37" s="143" t="str">
        <f t="shared" si="3"/>
        <v/>
      </c>
      <c r="O37" s="143">
        <f t="shared" si="4"/>
        <v>3.5714285714285716</v>
      </c>
      <c r="P37" s="143">
        <f t="shared" si="5"/>
        <v>10.714285714285715</v>
      </c>
      <c r="Q37" s="143" t="e">
        <f t="shared" si="6"/>
        <v>#N/A</v>
      </c>
      <c r="R37" s="143" t="str">
        <f t="shared" si="7"/>
        <v/>
      </c>
      <c r="S37" s="241">
        <f>B37*0.9</f>
        <v>27</v>
      </c>
      <c r="T37" s="144">
        <f t="shared" si="8"/>
        <v>177.71428571428575</v>
      </c>
      <c r="U37" s="144">
        <f t="shared" si="9"/>
        <v>186.60000000000005</v>
      </c>
      <c r="V37" s="144">
        <f t="shared" si="10"/>
        <v>6.2200000000000015</v>
      </c>
      <c r="W37" s="144">
        <f t="shared" si="11"/>
        <v>0.73333333333333328</v>
      </c>
      <c r="X37" s="145">
        <f t="shared" si="12"/>
        <v>7.3</v>
      </c>
    </row>
    <row r="38" spans="1:24">
      <c r="A38" s="170" t="s">
        <v>1053</v>
      </c>
      <c r="B38" s="167">
        <v>25</v>
      </c>
      <c r="C38" s="148" t="s">
        <v>1430</v>
      </c>
      <c r="D38" s="148">
        <v>4</v>
      </c>
      <c r="E38" s="148" t="s">
        <v>193</v>
      </c>
      <c r="F38" s="148">
        <v>5</v>
      </c>
      <c r="G38" s="148" t="s">
        <v>1056</v>
      </c>
      <c r="H38" s="148">
        <v>4</v>
      </c>
      <c r="I38" s="148" t="s">
        <v>1057</v>
      </c>
      <c r="J38" s="148">
        <v>10</v>
      </c>
      <c r="K38" s="143">
        <f t="shared" si="0"/>
        <v>1.1764705882352942</v>
      </c>
      <c r="L38" s="143">
        <f t="shared" si="1"/>
        <v>4.7058823529411766</v>
      </c>
      <c r="M38" s="143">
        <f t="shared" si="2"/>
        <v>14.000000000000002</v>
      </c>
      <c r="N38" s="143">
        <f t="shared" si="3"/>
        <v>70.000000000000014</v>
      </c>
      <c r="O38" s="143">
        <f t="shared" si="4"/>
        <v>1.6470588235294117</v>
      </c>
      <c r="P38" s="143">
        <f t="shared" si="5"/>
        <v>6.5882352941176467</v>
      </c>
      <c r="Q38" s="143">
        <f t="shared" si="6"/>
        <v>1.7</v>
      </c>
      <c r="R38" s="143">
        <f t="shared" si="7"/>
        <v>17</v>
      </c>
      <c r="S38" s="241">
        <f t="shared" si="13"/>
        <v>5</v>
      </c>
      <c r="T38" s="144">
        <f t="shared" si="8"/>
        <v>103.29411764705884</v>
      </c>
      <c r="U38" s="144">
        <f t="shared" si="9"/>
        <v>108.45882352941179</v>
      </c>
      <c r="V38" s="144">
        <f t="shared" si="10"/>
        <v>4.3383529411764714</v>
      </c>
      <c r="W38" s="144">
        <f t="shared" si="11"/>
        <v>0.92</v>
      </c>
      <c r="X38" s="145">
        <f t="shared" si="12"/>
        <v>5.0999999999999996</v>
      </c>
    </row>
    <row r="39" spans="1:24" ht="28.5">
      <c r="A39" s="170" t="s">
        <v>1336</v>
      </c>
      <c r="B39" s="167">
        <v>10</v>
      </c>
      <c r="C39" s="148" t="s">
        <v>1452</v>
      </c>
      <c r="D39" s="148">
        <v>2.5</v>
      </c>
      <c r="E39" s="148" t="s">
        <v>1453</v>
      </c>
      <c r="F39" s="148">
        <v>6</v>
      </c>
      <c r="G39" s="148" t="s">
        <v>1454</v>
      </c>
      <c r="H39" s="148">
        <v>2</v>
      </c>
      <c r="I39" s="148" t="s">
        <v>1455</v>
      </c>
      <c r="J39" s="148"/>
      <c r="K39" s="143">
        <f t="shared" si="0"/>
        <v>13.857142857142858</v>
      </c>
      <c r="L39" s="143">
        <f t="shared" si="1"/>
        <v>34.642857142857146</v>
      </c>
      <c r="M39" s="143">
        <f t="shared" si="2"/>
        <v>1.7</v>
      </c>
      <c r="N39" s="143">
        <f t="shared" si="3"/>
        <v>10.199999999999999</v>
      </c>
      <c r="O39" s="143">
        <f t="shared" si="4"/>
        <v>8.3529411764705888</v>
      </c>
      <c r="P39" s="143">
        <f t="shared" si="5"/>
        <v>16.705882352941178</v>
      </c>
      <c r="Q39" s="143" t="e">
        <f t="shared" si="6"/>
        <v>#N/A</v>
      </c>
      <c r="R39" s="143" t="str">
        <f t="shared" si="7"/>
        <v/>
      </c>
      <c r="S39" s="241">
        <f t="shared" si="13"/>
        <v>2</v>
      </c>
      <c r="T39" s="144">
        <f t="shared" si="8"/>
        <v>63.548739495798316</v>
      </c>
      <c r="U39" s="144">
        <f t="shared" si="9"/>
        <v>66.726176470588229</v>
      </c>
      <c r="V39" s="144">
        <f t="shared" si="10"/>
        <v>6.6726176470588232</v>
      </c>
      <c r="W39" s="144">
        <f t="shared" si="11"/>
        <v>1.05</v>
      </c>
      <c r="X39" s="145">
        <f t="shared" si="12"/>
        <v>7.8</v>
      </c>
    </row>
    <row r="40" spans="1:24">
      <c r="A40" s="170" t="s">
        <v>1337</v>
      </c>
      <c r="B40" s="167">
        <v>10</v>
      </c>
      <c r="C40" s="148" t="s">
        <v>1456</v>
      </c>
      <c r="D40" s="148">
        <v>2</v>
      </c>
      <c r="E40" s="148" t="s">
        <v>1457</v>
      </c>
      <c r="F40" s="148">
        <v>4</v>
      </c>
      <c r="G40" s="148" t="s">
        <v>1453</v>
      </c>
      <c r="H40" s="148">
        <v>6</v>
      </c>
      <c r="I40" s="148"/>
      <c r="J40" s="148"/>
      <c r="K40" s="143">
        <f t="shared" si="0"/>
        <v>1.6470588235294117</v>
      </c>
      <c r="L40" s="143">
        <f t="shared" si="1"/>
        <v>3.2941176470588234</v>
      </c>
      <c r="M40" s="143">
        <f t="shared" si="2"/>
        <v>1.1764705882352942</v>
      </c>
      <c r="N40" s="143">
        <f t="shared" si="3"/>
        <v>4.7058823529411766</v>
      </c>
      <c r="O40" s="143">
        <f t="shared" si="4"/>
        <v>1.7</v>
      </c>
      <c r="P40" s="143">
        <f t="shared" si="5"/>
        <v>10.199999999999999</v>
      </c>
      <c r="Q40" s="143" t="str">
        <f t="shared" si="6"/>
        <v/>
      </c>
      <c r="R40" s="143" t="str">
        <f t="shared" si="7"/>
        <v/>
      </c>
      <c r="S40" s="241">
        <f t="shared" si="13"/>
        <v>2</v>
      </c>
      <c r="T40" s="144">
        <f t="shared" si="8"/>
        <v>20.2</v>
      </c>
      <c r="U40" s="144">
        <f t="shared" si="9"/>
        <v>21.21</v>
      </c>
      <c r="V40" s="144">
        <f t="shared" si="10"/>
        <v>2.121</v>
      </c>
      <c r="W40" s="144">
        <f t="shared" si="11"/>
        <v>1.2000000000000002</v>
      </c>
      <c r="X40" s="145">
        <f t="shared" si="12"/>
        <v>2.5</v>
      </c>
    </row>
    <row r="41" spans="1:24">
      <c r="A41" s="170" t="s">
        <v>1338</v>
      </c>
      <c r="B41" s="167">
        <v>10</v>
      </c>
      <c r="C41" s="148" t="s">
        <v>1458</v>
      </c>
      <c r="D41" s="142">
        <v>7</v>
      </c>
      <c r="E41" s="148" t="s">
        <v>2536</v>
      </c>
      <c r="F41" s="148">
        <v>3</v>
      </c>
      <c r="G41" s="142" t="s">
        <v>1459</v>
      </c>
      <c r="H41" s="148">
        <v>2</v>
      </c>
      <c r="I41" s="148" t="s">
        <v>1460</v>
      </c>
      <c r="J41" s="142">
        <v>2</v>
      </c>
      <c r="K41" s="143">
        <f t="shared" si="0"/>
        <v>7.2857142857142856</v>
      </c>
      <c r="L41" s="143">
        <f t="shared" si="1"/>
        <v>51</v>
      </c>
      <c r="M41" s="143" t="e">
        <f t="shared" si="2"/>
        <v>#N/A</v>
      </c>
      <c r="N41" s="143" t="str">
        <f t="shared" si="3"/>
        <v/>
      </c>
      <c r="O41" s="143">
        <f t="shared" si="4"/>
        <v>3.5714285714285716</v>
      </c>
      <c r="P41" s="143">
        <f t="shared" si="5"/>
        <v>7.1428571428571432</v>
      </c>
      <c r="Q41" s="143">
        <f t="shared" si="6"/>
        <v>2.27</v>
      </c>
      <c r="R41" s="143">
        <f t="shared" si="7"/>
        <v>4.54</v>
      </c>
      <c r="S41" s="241">
        <f t="shared" si="13"/>
        <v>2</v>
      </c>
      <c r="T41" s="144">
        <f t="shared" si="8"/>
        <v>64.682857142857145</v>
      </c>
      <c r="U41" s="144">
        <f t="shared" si="9"/>
        <v>67.917000000000002</v>
      </c>
      <c r="V41" s="144">
        <f t="shared" si="10"/>
        <v>6.7917000000000005</v>
      </c>
      <c r="W41" s="144">
        <f t="shared" si="11"/>
        <v>1.4</v>
      </c>
      <c r="X41" s="145">
        <f t="shared" si="12"/>
        <v>7.8999999999999995</v>
      </c>
    </row>
    <row r="42" spans="1:24">
      <c r="A42" s="171" t="s">
        <v>1339</v>
      </c>
      <c r="B42" s="172">
        <v>10</v>
      </c>
      <c r="C42" s="26" t="s">
        <v>1461</v>
      </c>
      <c r="D42" s="173">
        <v>3</v>
      </c>
      <c r="E42" s="26" t="s">
        <v>1586</v>
      </c>
      <c r="F42" s="173">
        <v>6</v>
      </c>
      <c r="G42" s="142" t="s">
        <v>1459</v>
      </c>
      <c r="H42" s="173">
        <v>3</v>
      </c>
      <c r="I42" s="26"/>
      <c r="J42" s="173"/>
      <c r="K42" s="143">
        <f t="shared" si="0"/>
        <v>0.88235294117647056</v>
      </c>
      <c r="L42" s="143">
        <f t="shared" si="1"/>
        <v>2.6470588235294117</v>
      </c>
      <c r="M42" s="143">
        <f t="shared" si="2"/>
        <v>2.5</v>
      </c>
      <c r="N42" s="143">
        <f t="shared" si="3"/>
        <v>15</v>
      </c>
      <c r="O42" s="143">
        <f t="shared" si="4"/>
        <v>3.5714285714285716</v>
      </c>
      <c r="P42" s="143">
        <f t="shared" si="5"/>
        <v>10.714285714285715</v>
      </c>
      <c r="Q42" s="143" t="str">
        <f t="shared" si="6"/>
        <v/>
      </c>
      <c r="R42" s="143" t="str">
        <f t="shared" si="7"/>
        <v/>
      </c>
      <c r="S42" s="241">
        <f t="shared" si="13"/>
        <v>2</v>
      </c>
      <c r="T42" s="144">
        <f t="shared" si="8"/>
        <v>30.361344537815128</v>
      </c>
      <c r="U42" s="144">
        <f t="shared" si="9"/>
        <v>31.879411764705885</v>
      </c>
      <c r="V42" s="144">
        <f t="shared" si="10"/>
        <v>3.1879411764705887</v>
      </c>
      <c r="W42" s="144">
        <f t="shared" si="11"/>
        <v>1.2</v>
      </c>
      <c r="X42" s="145">
        <f t="shared" si="12"/>
        <v>3.7</v>
      </c>
    </row>
    <row r="43" spans="1:24">
      <c r="A43" s="171" t="s">
        <v>1346</v>
      </c>
      <c r="B43" s="172">
        <v>10</v>
      </c>
      <c r="C43" s="26" t="s">
        <v>1462</v>
      </c>
      <c r="D43" s="173">
        <v>4</v>
      </c>
      <c r="E43" s="26" t="s">
        <v>1463</v>
      </c>
      <c r="F43" s="173">
        <v>0.5</v>
      </c>
      <c r="G43" s="26" t="s">
        <v>1464</v>
      </c>
      <c r="H43" s="173">
        <v>1</v>
      </c>
      <c r="I43" s="26" t="s">
        <v>1453</v>
      </c>
      <c r="J43" s="173">
        <v>4</v>
      </c>
      <c r="K43" s="143">
        <f t="shared" si="0"/>
        <v>14.000000000000002</v>
      </c>
      <c r="L43" s="143">
        <f t="shared" si="1"/>
        <v>56.000000000000007</v>
      </c>
      <c r="M43" s="143">
        <f t="shared" si="2"/>
        <v>6</v>
      </c>
      <c r="N43" s="143">
        <f t="shared" si="3"/>
        <v>3</v>
      </c>
      <c r="O43" s="143">
        <f t="shared" si="4"/>
        <v>4.2352941176470589</v>
      </c>
      <c r="P43" s="143">
        <f t="shared" si="5"/>
        <v>4.2352941176470589</v>
      </c>
      <c r="Q43" s="143">
        <f t="shared" si="6"/>
        <v>1.7</v>
      </c>
      <c r="R43" s="143">
        <f t="shared" si="7"/>
        <v>6.8</v>
      </c>
      <c r="S43" s="241">
        <f t="shared" si="13"/>
        <v>2</v>
      </c>
      <c r="T43" s="144">
        <f t="shared" si="8"/>
        <v>72.035294117647069</v>
      </c>
      <c r="U43" s="144">
        <f t="shared" si="9"/>
        <v>75.637058823529429</v>
      </c>
      <c r="V43" s="144">
        <f t="shared" si="10"/>
        <v>7.5637058823529433</v>
      </c>
      <c r="W43" s="144">
        <f t="shared" si="11"/>
        <v>0.95000000000000007</v>
      </c>
      <c r="X43" s="145">
        <f t="shared" si="12"/>
        <v>8.7999999999999989</v>
      </c>
    </row>
    <row r="44" spans="1:24">
      <c r="A44" s="171" t="s">
        <v>1347</v>
      </c>
      <c r="B44" s="172">
        <v>10</v>
      </c>
      <c r="C44" s="26" t="s">
        <v>319</v>
      </c>
      <c r="D44" s="173">
        <v>4</v>
      </c>
      <c r="E44" s="26" t="s">
        <v>1465</v>
      </c>
      <c r="F44" s="173">
        <v>3</v>
      </c>
      <c r="G44" s="26" t="s">
        <v>1453</v>
      </c>
      <c r="H44" s="173">
        <v>4</v>
      </c>
      <c r="I44" s="26"/>
      <c r="J44" s="173"/>
      <c r="K44" s="143">
        <f t="shared" si="0"/>
        <v>3.5714285714285716</v>
      </c>
      <c r="L44" s="143">
        <f t="shared" si="1"/>
        <v>14.285714285714286</v>
      </c>
      <c r="M44" s="143">
        <f t="shared" si="2"/>
        <v>1.6470588235294117</v>
      </c>
      <c r="N44" s="143">
        <f t="shared" si="3"/>
        <v>4.9411764705882355</v>
      </c>
      <c r="O44" s="143">
        <f t="shared" si="4"/>
        <v>1.7</v>
      </c>
      <c r="P44" s="143">
        <f t="shared" si="5"/>
        <v>6.8</v>
      </c>
      <c r="Q44" s="143" t="str">
        <f t="shared" si="6"/>
        <v/>
      </c>
      <c r="R44" s="143" t="str">
        <f t="shared" si="7"/>
        <v/>
      </c>
      <c r="S44" s="241">
        <f t="shared" si="13"/>
        <v>2</v>
      </c>
      <c r="T44" s="144">
        <f t="shared" si="8"/>
        <v>28.026890756302524</v>
      </c>
      <c r="U44" s="144">
        <f t="shared" si="9"/>
        <v>29.428235294117652</v>
      </c>
      <c r="V44" s="144">
        <f t="shared" si="10"/>
        <v>2.9428235294117653</v>
      </c>
      <c r="W44" s="144">
        <f t="shared" si="11"/>
        <v>1.1000000000000001</v>
      </c>
      <c r="X44" s="145">
        <f t="shared" si="12"/>
        <v>3.5</v>
      </c>
    </row>
    <row r="45" spans="1:24">
      <c r="A45" s="171" t="s">
        <v>1348</v>
      </c>
      <c r="B45" s="172">
        <v>10</v>
      </c>
      <c r="C45" s="26" t="s">
        <v>1466</v>
      </c>
      <c r="D45" s="173">
        <v>1.5</v>
      </c>
      <c r="E45" s="26" t="s">
        <v>1467</v>
      </c>
      <c r="F45" s="173">
        <v>3</v>
      </c>
      <c r="G45" s="26" t="s">
        <v>1469</v>
      </c>
      <c r="H45" s="173">
        <v>2</v>
      </c>
      <c r="I45" s="26" t="s">
        <v>1470</v>
      </c>
      <c r="J45" s="173">
        <v>1</v>
      </c>
      <c r="K45" s="143">
        <f t="shared" si="0"/>
        <v>33.000000000000007</v>
      </c>
      <c r="L45" s="143">
        <f t="shared" si="1"/>
        <v>49.500000000000014</v>
      </c>
      <c r="M45" s="143">
        <f t="shared" si="2"/>
        <v>2.77</v>
      </c>
      <c r="N45" s="143">
        <f t="shared" si="3"/>
        <v>8.31</v>
      </c>
      <c r="O45" s="143">
        <f t="shared" si="4"/>
        <v>2.1176470588235294</v>
      </c>
      <c r="P45" s="143">
        <f t="shared" si="5"/>
        <v>4.2352941176470589</v>
      </c>
      <c r="Q45" s="143">
        <f t="shared" si="6"/>
        <v>2.1176470588235294</v>
      </c>
      <c r="R45" s="143">
        <f t="shared" si="7"/>
        <v>2.1176470588235294</v>
      </c>
      <c r="S45" s="241">
        <f t="shared" si="13"/>
        <v>2</v>
      </c>
      <c r="T45" s="144">
        <f t="shared" si="8"/>
        <v>66.162941176470611</v>
      </c>
      <c r="U45" s="144">
        <f t="shared" si="9"/>
        <v>69.471088235294147</v>
      </c>
      <c r="V45" s="144">
        <f t="shared" si="10"/>
        <v>6.9471088235294145</v>
      </c>
      <c r="W45" s="144">
        <f t="shared" si="11"/>
        <v>0.74999999999999989</v>
      </c>
      <c r="X45" s="145">
        <f t="shared" si="12"/>
        <v>8.1</v>
      </c>
    </row>
    <row r="46" spans="1:24">
      <c r="A46" s="171" t="s">
        <v>1387</v>
      </c>
      <c r="B46" s="172">
        <v>20</v>
      </c>
      <c r="C46" s="26" t="s">
        <v>1453</v>
      </c>
      <c r="D46" s="173">
        <v>10</v>
      </c>
      <c r="E46" s="26" t="s">
        <v>1498</v>
      </c>
      <c r="F46" s="173">
        <v>3</v>
      </c>
      <c r="G46" s="26" t="s">
        <v>319</v>
      </c>
      <c r="H46" s="173">
        <v>3</v>
      </c>
      <c r="I46" s="26" t="s">
        <v>1009</v>
      </c>
      <c r="J46" s="173">
        <v>0.2</v>
      </c>
      <c r="K46" s="143">
        <f t="shared" si="0"/>
        <v>1.7</v>
      </c>
      <c r="L46" s="143">
        <f t="shared" si="1"/>
        <v>17</v>
      </c>
      <c r="M46" s="143">
        <f t="shared" si="2"/>
        <v>14.000000000000002</v>
      </c>
      <c r="N46" s="143">
        <f t="shared" si="3"/>
        <v>42.000000000000007</v>
      </c>
      <c r="O46" s="143">
        <f t="shared" si="4"/>
        <v>3.5714285714285716</v>
      </c>
      <c r="P46" s="143">
        <f t="shared" si="5"/>
        <v>10.714285714285715</v>
      </c>
      <c r="Q46" s="143">
        <f t="shared" si="6"/>
        <v>61.428571428571431</v>
      </c>
      <c r="R46" s="143">
        <f t="shared" si="7"/>
        <v>12.285714285714286</v>
      </c>
      <c r="S46" s="241">
        <f>B46*0.4</f>
        <v>8</v>
      </c>
      <c r="T46" s="144">
        <f t="shared" si="8"/>
        <v>90.000000000000014</v>
      </c>
      <c r="U46" s="144">
        <f t="shared" si="9"/>
        <v>94.500000000000014</v>
      </c>
      <c r="V46" s="144">
        <f t="shared" si="10"/>
        <v>4.7250000000000005</v>
      </c>
      <c r="W46" s="144">
        <f t="shared" si="11"/>
        <v>0.81</v>
      </c>
      <c r="X46" s="145">
        <f t="shared" si="12"/>
        <v>5.5</v>
      </c>
    </row>
    <row r="47" spans="1:24">
      <c r="A47" s="171" t="s">
        <v>1388</v>
      </c>
      <c r="B47" s="172">
        <v>20</v>
      </c>
      <c r="C47" s="26" t="s">
        <v>1453</v>
      </c>
      <c r="D47" s="173">
        <v>10</v>
      </c>
      <c r="E47" s="26" t="s">
        <v>319</v>
      </c>
      <c r="F47" s="173">
        <v>6</v>
      </c>
      <c r="G47" s="26" t="s">
        <v>1499</v>
      </c>
      <c r="H47" s="173">
        <v>3</v>
      </c>
      <c r="I47" s="26" t="s">
        <v>1500</v>
      </c>
      <c r="J47" s="173">
        <v>8</v>
      </c>
      <c r="K47" s="143">
        <f t="shared" si="0"/>
        <v>1.7</v>
      </c>
      <c r="L47" s="143">
        <f t="shared" si="1"/>
        <v>17</v>
      </c>
      <c r="M47" s="143">
        <f t="shared" si="2"/>
        <v>3.5714285714285716</v>
      </c>
      <c r="N47" s="143">
        <f t="shared" si="3"/>
        <v>21.428571428571431</v>
      </c>
      <c r="O47" s="143">
        <f t="shared" si="4"/>
        <v>0.94117647058823539</v>
      </c>
      <c r="P47" s="143">
        <f t="shared" si="5"/>
        <v>2.8235294117647061</v>
      </c>
      <c r="Q47" s="143">
        <f t="shared" si="6"/>
        <v>1.2941176470588236</v>
      </c>
      <c r="R47" s="143">
        <f t="shared" si="7"/>
        <v>10.352941176470589</v>
      </c>
      <c r="S47" s="241">
        <f>B47*0.6</f>
        <v>12</v>
      </c>
      <c r="T47" s="144">
        <f t="shared" si="8"/>
        <v>63.605042016806721</v>
      </c>
      <c r="U47" s="144">
        <f t="shared" si="9"/>
        <v>66.785294117647055</v>
      </c>
      <c r="V47" s="144">
        <f t="shared" si="10"/>
        <v>3.3392647058823526</v>
      </c>
      <c r="W47" s="144">
        <f t="shared" si="11"/>
        <v>1.35</v>
      </c>
      <c r="X47" s="145">
        <f t="shared" si="12"/>
        <v>3.9</v>
      </c>
    </row>
    <row r="48" spans="1:24">
      <c r="A48" s="171" t="s">
        <v>1495</v>
      </c>
      <c r="B48" s="172">
        <v>20</v>
      </c>
      <c r="C48" s="26" t="s">
        <v>1501</v>
      </c>
      <c r="D48" s="173">
        <v>15</v>
      </c>
      <c r="E48" s="26" t="s">
        <v>1502</v>
      </c>
      <c r="F48" s="173">
        <v>4</v>
      </c>
      <c r="G48" s="26" t="s">
        <v>2139</v>
      </c>
      <c r="H48" s="173">
        <v>4</v>
      </c>
      <c r="I48" s="26" t="s">
        <v>1669</v>
      </c>
      <c r="J48" s="173">
        <v>2</v>
      </c>
      <c r="K48" s="143">
        <f t="shared" si="0"/>
        <v>2.77</v>
      </c>
      <c r="L48" s="143">
        <f t="shared" si="1"/>
        <v>41.55</v>
      </c>
      <c r="M48" s="143">
        <f t="shared" si="2"/>
        <v>0.94117647058823539</v>
      </c>
      <c r="N48" s="143">
        <f t="shared" si="3"/>
        <v>3.7647058823529416</v>
      </c>
      <c r="O48" s="143">
        <f t="shared" si="4"/>
        <v>4.3999999999999995</v>
      </c>
      <c r="P48" s="143">
        <f t="shared" si="5"/>
        <v>17.599999999999998</v>
      </c>
      <c r="Q48" s="143">
        <f t="shared" si="6"/>
        <v>17.647058823529413</v>
      </c>
      <c r="R48" s="143">
        <f t="shared" si="7"/>
        <v>35.294117647058826</v>
      </c>
      <c r="S48" s="241">
        <f>B48*0.8</f>
        <v>16</v>
      </c>
      <c r="T48" s="144">
        <f t="shared" si="8"/>
        <v>114.20882352941176</v>
      </c>
      <c r="U48" s="144">
        <f t="shared" si="9"/>
        <v>119.91926470588236</v>
      </c>
      <c r="V48" s="144">
        <f t="shared" si="10"/>
        <v>5.9959632352941181</v>
      </c>
      <c r="W48" s="144">
        <f t="shared" si="11"/>
        <v>1.25</v>
      </c>
      <c r="X48" s="145">
        <f t="shared" si="12"/>
        <v>7</v>
      </c>
    </row>
    <row r="49" spans="1:24">
      <c r="A49" s="171" t="s">
        <v>1391</v>
      </c>
      <c r="B49" s="172">
        <v>15</v>
      </c>
      <c r="C49" s="26" t="s">
        <v>297</v>
      </c>
      <c r="D49" s="173">
        <v>1</v>
      </c>
      <c r="E49" s="26" t="s">
        <v>1503</v>
      </c>
      <c r="F49" s="173">
        <v>1</v>
      </c>
      <c r="G49" s="26" t="s">
        <v>1504</v>
      </c>
      <c r="H49" s="173">
        <v>2</v>
      </c>
      <c r="I49" s="26" t="s">
        <v>1505</v>
      </c>
      <c r="J49" s="173">
        <v>4.5</v>
      </c>
      <c r="K49" s="143">
        <f t="shared" si="0"/>
        <v>31.571428571428577</v>
      </c>
      <c r="L49" s="143">
        <f t="shared" si="1"/>
        <v>31.571428571428577</v>
      </c>
      <c r="M49" s="143">
        <f t="shared" si="2"/>
        <v>4.2352941176470589</v>
      </c>
      <c r="N49" s="143">
        <f t="shared" si="3"/>
        <v>4.2352941176470589</v>
      </c>
      <c r="O49" s="143">
        <f t="shared" si="4"/>
        <v>2.1176470588235294</v>
      </c>
      <c r="P49" s="143">
        <f t="shared" si="5"/>
        <v>4.2352941176470589</v>
      </c>
      <c r="Q49" s="143">
        <f t="shared" si="6"/>
        <v>2.27</v>
      </c>
      <c r="R49" s="143">
        <f t="shared" si="7"/>
        <v>10.215</v>
      </c>
      <c r="S49" s="241">
        <f t="shared" si="13"/>
        <v>3</v>
      </c>
      <c r="T49" s="144">
        <f t="shared" si="8"/>
        <v>53.257016806722689</v>
      </c>
      <c r="U49" s="144">
        <f t="shared" si="9"/>
        <v>55.919867647058823</v>
      </c>
      <c r="V49" s="144">
        <f t="shared" si="10"/>
        <v>3.7279911764705882</v>
      </c>
      <c r="W49" s="144">
        <f t="shared" si="11"/>
        <v>0.56666666666666665</v>
      </c>
      <c r="X49" s="145">
        <f t="shared" si="12"/>
        <v>4.3999999999999995</v>
      </c>
    </row>
    <row r="50" spans="1:24">
      <c r="A50" s="171" t="s">
        <v>1355</v>
      </c>
      <c r="B50" s="172">
        <v>20</v>
      </c>
      <c r="C50" s="26" t="s">
        <v>1506</v>
      </c>
      <c r="D50" s="173">
        <v>12</v>
      </c>
      <c r="E50" s="26" t="s">
        <v>1507</v>
      </c>
      <c r="F50" s="173">
        <v>3</v>
      </c>
      <c r="G50" s="26" t="s">
        <v>1504</v>
      </c>
      <c r="H50" s="173">
        <v>2</v>
      </c>
      <c r="I50" s="26" t="s">
        <v>319</v>
      </c>
      <c r="J50" s="173">
        <v>5</v>
      </c>
      <c r="K50" s="143">
        <f t="shared" si="0"/>
        <v>4</v>
      </c>
      <c r="L50" s="143">
        <f t="shared" si="1"/>
        <v>48</v>
      </c>
      <c r="M50" s="143">
        <f t="shared" si="2"/>
        <v>2.1176470588235294</v>
      </c>
      <c r="N50" s="143">
        <f t="shared" si="3"/>
        <v>6.3529411764705888</v>
      </c>
      <c r="O50" s="143">
        <f t="shared" si="4"/>
        <v>2.1176470588235294</v>
      </c>
      <c r="P50" s="143">
        <f t="shared" si="5"/>
        <v>4.2352941176470589</v>
      </c>
      <c r="Q50" s="143">
        <f t="shared" si="6"/>
        <v>3.5714285714285716</v>
      </c>
      <c r="R50" s="143">
        <f t="shared" si="7"/>
        <v>17.857142857142858</v>
      </c>
      <c r="S50" s="241">
        <f t="shared" si="13"/>
        <v>4</v>
      </c>
      <c r="T50" s="144">
        <f t="shared" si="8"/>
        <v>80.445378151260499</v>
      </c>
      <c r="U50" s="144">
        <f t="shared" si="9"/>
        <v>84.46764705882353</v>
      </c>
      <c r="V50" s="144">
        <f t="shared" si="10"/>
        <v>4.2233823529411767</v>
      </c>
      <c r="W50" s="144">
        <f t="shared" si="11"/>
        <v>1.1000000000000001</v>
      </c>
      <c r="X50" s="145">
        <f t="shared" si="12"/>
        <v>4.8999999999999995</v>
      </c>
    </row>
    <row r="51" spans="1:24">
      <c r="A51" s="171" t="s">
        <v>1396</v>
      </c>
      <c r="B51" s="172">
        <v>20</v>
      </c>
      <c r="C51" s="26" t="s">
        <v>1509</v>
      </c>
      <c r="D51" s="173">
        <v>4</v>
      </c>
      <c r="E51" s="26" t="s">
        <v>1510</v>
      </c>
      <c r="F51" s="173">
        <v>8</v>
      </c>
      <c r="G51" s="26" t="s">
        <v>1511</v>
      </c>
      <c r="H51" s="173">
        <v>4</v>
      </c>
      <c r="I51" s="26" t="s">
        <v>1512</v>
      </c>
      <c r="J51" s="173">
        <v>10</v>
      </c>
      <c r="K51" s="143">
        <f t="shared" si="0"/>
        <v>14.000000000000002</v>
      </c>
      <c r="L51" s="143">
        <f t="shared" si="1"/>
        <v>56.000000000000007</v>
      </c>
      <c r="M51" s="143">
        <f t="shared" si="2"/>
        <v>1.1764705882352942</v>
      </c>
      <c r="N51" s="143">
        <f t="shared" si="3"/>
        <v>9.4117647058823533</v>
      </c>
      <c r="O51" s="143">
        <f t="shared" si="4"/>
        <v>1.6470588235294117</v>
      </c>
      <c r="P51" s="143">
        <f t="shared" si="5"/>
        <v>6.5882352941176467</v>
      </c>
      <c r="Q51" s="143">
        <f t="shared" si="6"/>
        <v>1.7</v>
      </c>
      <c r="R51" s="143">
        <f t="shared" si="7"/>
        <v>17</v>
      </c>
      <c r="S51" s="241">
        <f>B51*0.3</f>
        <v>6</v>
      </c>
      <c r="T51" s="144">
        <f t="shared" si="8"/>
        <v>95.000000000000014</v>
      </c>
      <c r="U51" s="144">
        <f t="shared" si="9"/>
        <v>99.750000000000014</v>
      </c>
      <c r="V51" s="144">
        <f t="shared" si="10"/>
        <v>4.9875000000000007</v>
      </c>
      <c r="W51" s="144">
        <f t="shared" si="11"/>
        <v>1.3</v>
      </c>
      <c r="X51" s="145">
        <f t="shared" si="12"/>
        <v>5.8</v>
      </c>
    </row>
    <row r="52" spans="1:24">
      <c r="A52" s="171" t="s">
        <v>1496</v>
      </c>
      <c r="B52" s="172">
        <v>20</v>
      </c>
      <c r="C52" s="26" t="s">
        <v>1513</v>
      </c>
      <c r="D52" s="173">
        <v>3</v>
      </c>
      <c r="E52" s="26" t="s">
        <v>1509</v>
      </c>
      <c r="F52" s="173">
        <v>4</v>
      </c>
      <c r="G52" s="26" t="s">
        <v>1512</v>
      </c>
      <c r="H52" s="173">
        <v>8</v>
      </c>
      <c r="I52" s="26"/>
      <c r="J52" s="173"/>
      <c r="K52" s="143">
        <f t="shared" si="0"/>
        <v>6</v>
      </c>
      <c r="L52" s="143">
        <f t="shared" si="1"/>
        <v>18</v>
      </c>
      <c r="M52" s="143">
        <f t="shared" si="2"/>
        <v>14.000000000000002</v>
      </c>
      <c r="N52" s="143">
        <f t="shared" si="3"/>
        <v>56.000000000000007</v>
      </c>
      <c r="O52" s="143">
        <f t="shared" si="4"/>
        <v>1.7</v>
      </c>
      <c r="P52" s="143">
        <f t="shared" si="5"/>
        <v>13.6</v>
      </c>
      <c r="Q52" s="143" t="str">
        <f t="shared" si="6"/>
        <v/>
      </c>
      <c r="R52" s="143" t="str">
        <f t="shared" si="7"/>
        <v/>
      </c>
      <c r="S52" s="241">
        <f>B52*0.3</f>
        <v>6</v>
      </c>
      <c r="T52" s="144">
        <f t="shared" si="8"/>
        <v>93.6</v>
      </c>
      <c r="U52" s="144">
        <f t="shared" si="9"/>
        <v>98.28</v>
      </c>
      <c r="V52" s="144">
        <f t="shared" si="10"/>
        <v>4.9139999999999997</v>
      </c>
      <c r="W52" s="144">
        <f t="shared" si="11"/>
        <v>0.75</v>
      </c>
      <c r="X52" s="145">
        <f t="shared" si="12"/>
        <v>5.8</v>
      </c>
    </row>
    <row r="53" spans="1:24">
      <c r="A53" s="171" t="s">
        <v>1058</v>
      </c>
      <c r="B53" s="172">
        <v>20</v>
      </c>
      <c r="C53" s="26" t="s">
        <v>1431</v>
      </c>
      <c r="D53" s="173">
        <v>6</v>
      </c>
      <c r="E53" s="26" t="s">
        <v>1060</v>
      </c>
      <c r="F53" s="173">
        <v>4</v>
      </c>
      <c r="G53" s="26" t="s">
        <v>1508</v>
      </c>
      <c r="H53" s="173">
        <v>3</v>
      </c>
      <c r="I53" s="26" t="s">
        <v>319</v>
      </c>
      <c r="J53" s="173">
        <v>3</v>
      </c>
      <c r="K53" s="143">
        <f t="shared" si="0"/>
        <v>13</v>
      </c>
      <c r="L53" s="143">
        <f t="shared" si="1"/>
        <v>78</v>
      </c>
      <c r="M53" s="143">
        <f t="shared" si="2"/>
        <v>2.1176470588235294</v>
      </c>
      <c r="N53" s="143">
        <f t="shared" si="3"/>
        <v>8.4705882352941178</v>
      </c>
      <c r="O53" s="143">
        <f t="shared" si="4"/>
        <v>1.7</v>
      </c>
      <c r="P53" s="143">
        <f t="shared" si="5"/>
        <v>5.0999999999999996</v>
      </c>
      <c r="Q53" s="143">
        <f t="shared" si="6"/>
        <v>3.5714285714285716</v>
      </c>
      <c r="R53" s="143">
        <f t="shared" si="7"/>
        <v>10.714285714285715</v>
      </c>
      <c r="S53" s="241">
        <f t="shared" si="13"/>
        <v>4</v>
      </c>
      <c r="T53" s="144">
        <f t="shared" si="8"/>
        <v>106.28487394957983</v>
      </c>
      <c r="U53" s="144">
        <f t="shared" si="9"/>
        <v>111.59911764705883</v>
      </c>
      <c r="V53" s="144">
        <f t="shared" si="10"/>
        <v>5.5799558823529418</v>
      </c>
      <c r="W53" s="144">
        <f t="shared" si="11"/>
        <v>0.8</v>
      </c>
      <c r="X53" s="145">
        <f t="shared" si="12"/>
        <v>6.5</v>
      </c>
    </row>
    <row r="54" spans="1:24">
      <c r="A54" s="174" t="s">
        <v>1359</v>
      </c>
      <c r="B54" s="174">
        <v>20</v>
      </c>
      <c r="C54" s="175" t="s">
        <v>1514</v>
      </c>
      <c r="D54" s="174">
        <v>6</v>
      </c>
      <c r="E54" s="175" t="s">
        <v>1515</v>
      </c>
      <c r="F54" s="174">
        <v>4</v>
      </c>
      <c r="G54" s="175" t="s">
        <v>1516</v>
      </c>
      <c r="H54" s="174">
        <v>3</v>
      </c>
      <c r="I54" s="175" t="s">
        <v>1512</v>
      </c>
      <c r="J54" s="174">
        <v>8</v>
      </c>
      <c r="K54" s="143">
        <f t="shared" si="0"/>
        <v>1.2857142857142858</v>
      </c>
      <c r="L54" s="143">
        <f t="shared" si="1"/>
        <v>7.7142857142857153</v>
      </c>
      <c r="M54" s="143">
        <f t="shared" si="2"/>
        <v>13.857142857142858</v>
      </c>
      <c r="N54" s="143">
        <f t="shared" si="3"/>
        <v>55.428571428571431</v>
      </c>
      <c r="O54" s="143">
        <f t="shared" si="4"/>
        <v>0.94117647058823539</v>
      </c>
      <c r="P54" s="143">
        <f t="shared" si="5"/>
        <v>2.8235294117647061</v>
      </c>
      <c r="Q54" s="143">
        <f t="shared" si="6"/>
        <v>1.7</v>
      </c>
      <c r="R54" s="143">
        <f t="shared" si="7"/>
        <v>13.6</v>
      </c>
      <c r="S54" s="241">
        <f t="shared" si="13"/>
        <v>4</v>
      </c>
      <c r="T54" s="144">
        <f t="shared" si="8"/>
        <v>83.566386554621843</v>
      </c>
      <c r="U54" s="144">
        <f t="shared" si="9"/>
        <v>87.744705882352946</v>
      </c>
      <c r="V54" s="144">
        <f t="shared" si="10"/>
        <v>4.3872352941176471</v>
      </c>
      <c r="W54" s="144">
        <f t="shared" si="11"/>
        <v>1.05</v>
      </c>
      <c r="X54" s="145">
        <f t="shared" si="12"/>
        <v>5.0999999999999996</v>
      </c>
    </row>
    <row r="55" spans="1:24">
      <c r="A55" s="174" t="s">
        <v>1360</v>
      </c>
      <c r="B55" s="174">
        <v>20</v>
      </c>
      <c r="C55" s="174" t="s">
        <v>1009</v>
      </c>
      <c r="D55" s="174">
        <v>0.5</v>
      </c>
      <c r="E55" s="174" t="s">
        <v>972</v>
      </c>
      <c r="F55" s="174">
        <v>0.5</v>
      </c>
      <c r="G55" s="174" t="s">
        <v>319</v>
      </c>
      <c r="H55" s="174">
        <v>5</v>
      </c>
      <c r="I55" s="175" t="s">
        <v>1541</v>
      </c>
      <c r="J55" s="174">
        <v>8</v>
      </c>
      <c r="K55" s="143">
        <f t="shared" si="0"/>
        <v>61.428571428571431</v>
      </c>
      <c r="L55" s="143">
        <f t="shared" si="1"/>
        <v>30.714285714285715</v>
      </c>
      <c r="M55" s="143">
        <f t="shared" si="2"/>
        <v>21.428571428571431</v>
      </c>
      <c r="N55" s="143">
        <f t="shared" si="3"/>
        <v>10.714285714285715</v>
      </c>
      <c r="O55" s="143">
        <f t="shared" si="4"/>
        <v>3.5714285714285716</v>
      </c>
      <c r="P55" s="143">
        <f t="shared" si="5"/>
        <v>17.857142857142858</v>
      </c>
      <c r="Q55" s="143">
        <f t="shared" si="6"/>
        <v>1.7</v>
      </c>
      <c r="R55" s="143">
        <f t="shared" si="7"/>
        <v>13.6</v>
      </c>
      <c r="S55" s="241">
        <f t="shared" si="13"/>
        <v>4</v>
      </c>
      <c r="T55" s="144">
        <f t="shared" si="8"/>
        <v>76.885714285714286</v>
      </c>
      <c r="U55" s="144">
        <f t="shared" si="9"/>
        <v>80.73</v>
      </c>
      <c r="V55" s="144">
        <f t="shared" si="10"/>
        <v>4.0365000000000002</v>
      </c>
      <c r="W55" s="144">
        <f t="shared" si="11"/>
        <v>0.7</v>
      </c>
      <c r="X55" s="145">
        <f t="shared" si="12"/>
        <v>4.6999999999999993</v>
      </c>
    </row>
    <row r="56" spans="1:24">
      <c r="A56" s="174" t="s">
        <v>1367</v>
      </c>
      <c r="B56" s="174">
        <v>20</v>
      </c>
      <c r="C56" s="175" t="s">
        <v>1542</v>
      </c>
      <c r="D56" s="174">
        <v>13</v>
      </c>
      <c r="E56" s="175" t="s">
        <v>2536</v>
      </c>
      <c r="F56" s="174">
        <v>6</v>
      </c>
      <c r="G56" s="175" t="s">
        <v>1541</v>
      </c>
      <c r="H56" s="174">
        <v>8</v>
      </c>
      <c r="I56" s="174"/>
      <c r="J56" s="174"/>
      <c r="K56" s="143">
        <f t="shared" si="0"/>
        <v>7.2857142857142856</v>
      </c>
      <c r="L56" s="143">
        <f t="shared" si="1"/>
        <v>94.714285714285708</v>
      </c>
      <c r="M56" s="143" t="e">
        <f t="shared" si="2"/>
        <v>#N/A</v>
      </c>
      <c r="N56" s="143" t="str">
        <f t="shared" si="3"/>
        <v/>
      </c>
      <c r="O56" s="143">
        <f t="shared" si="4"/>
        <v>1.7</v>
      </c>
      <c r="P56" s="143">
        <f t="shared" si="5"/>
        <v>13.6</v>
      </c>
      <c r="Q56" s="143" t="str">
        <f t="shared" si="6"/>
        <v/>
      </c>
      <c r="R56" s="143" t="str">
        <f t="shared" si="7"/>
        <v/>
      </c>
      <c r="S56" s="241">
        <f t="shared" si="13"/>
        <v>4</v>
      </c>
      <c r="T56" s="144">
        <f t="shared" si="8"/>
        <v>112.3142857142857</v>
      </c>
      <c r="U56" s="144">
        <f t="shared" si="9"/>
        <v>117.92999999999999</v>
      </c>
      <c r="V56" s="144">
        <f t="shared" si="10"/>
        <v>5.8964999999999996</v>
      </c>
      <c r="W56" s="144">
        <f t="shared" si="11"/>
        <v>1.35</v>
      </c>
      <c r="X56" s="145">
        <f t="shared" si="12"/>
        <v>6.8999999999999995</v>
      </c>
    </row>
    <row r="57" spans="1:24">
      <c r="A57" s="175" t="s">
        <v>2557</v>
      </c>
      <c r="B57" s="174">
        <v>25</v>
      </c>
      <c r="C57" s="175" t="s">
        <v>1543</v>
      </c>
      <c r="D57" s="174">
        <v>5</v>
      </c>
      <c r="E57" s="175" t="s">
        <v>337</v>
      </c>
      <c r="F57" s="174">
        <v>2</v>
      </c>
      <c r="G57" s="175" t="s">
        <v>1544</v>
      </c>
      <c r="H57" s="174">
        <v>3</v>
      </c>
      <c r="I57" s="175" t="s">
        <v>1545</v>
      </c>
      <c r="J57" s="174">
        <v>2</v>
      </c>
      <c r="K57" s="143">
        <f t="shared" si="0"/>
        <v>14.000000000000002</v>
      </c>
      <c r="L57" s="143">
        <f t="shared" si="1"/>
        <v>70.000000000000014</v>
      </c>
      <c r="M57" s="143" t="e">
        <f t="shared" si="2"/>
        <v>#N/A</v>
      </c>
      <c r="N57" s="143" t="str">
        <f t="shared" si="3"/>
        <v/>
      </c>
      <c r="O57" s="143">
        <f t="shared" si="4"/>
        <v>0.94117647058823539</v>
      </c>
      <c r="P57" s="143">
        <f t="shared" si="5"/>
        <v>2.8235294117647061</v>
      </c>
      <c r="Q57" s="143">
        <f t="shared" si="6"/>
        <v>2.5882352941176472</v>
      </c>
      <c r="R57" s="143">
        <f t="shared" si="7"/>
        <v>5.1764705882352944</v>
      </c>
      <c r="S57" s="241">
        <f t="shared" si="13"/>
        <v>5</v>
      </c>
      <c r="T57" s="144">
        <f t="shared" si="8"/>
        <v>83.000000000000014</v>
      </c>
      <c r="U57" s="144">
        <f t="shared" si="9"/>
        <v>87.15000000000002</v>
      </c>
      <c r="V57" s="144">
        <f t="shared" si="10"/>
        <v>3.4860000000000007</v>
      </c>
      <c r="W57" s="144">
        <f t="shared" si="11"/>
        <v>0.48000000000000004</v>
      </c>
      <c r="X57" s="145">
        <f t="shared" si="12"/>
        <v>4.0999999999999996</v>
      </c>
    </row>
    <row r="58" spans="1:24">
      <c r="A58" s="174" t="s">
        <v>1368</v>
      </c>
      <c r="B58" s="174">
        <v>20</v>
      </c>
      <c r="C58" s="174" t="s">
        <v>222</v>
      </c>
      <c r="D58" s="174">
        <v>5</v>
      </c>
      <c r="E58" s="175" t="s">
        <v>1546</v>
      </c>
      <c r="F58" s="174">
        <v>15</v>
      </c>
      <c r="G58" s="175" t="s">
        <v>1544</v>
      </c>
      <c r="H58" s="174">
        <v>3</v>
      </c>
      <c r="I58" s="174"/>
      <c r="J58" s="174"/>
      <c r="K58" s="143">
        <f t="shared" si="0"/>
        <v>24.142857142857142</v>
      </c>
      <c r="L58" s="143">
        <f t="shared" si="1"/>
        <v>120.71428571428571</v>
      </c>
      <c r="M58" s="143">
        <f t="shared" si="2"/>
        <v>2.77</v>
      </c>
      <c r="N58" s="143">
        <f t="shared" si="3"/>
        <v>41.55</v>
      </c>
      <c r="O58" s="143">
        <f t="shared" si="4"/>
        <v>0.94117647058823539</v>
      </c>
      <c r="P58" s="143">
        <f t="shared" si="5"/>
        <v>2.8235294117647061</v>
      </c>
      <c r="Q58" s="143" t="str">
        <f t="shared" si="6"/>
        <v/>
      </c>
      <c r="R58" s="143" t="str">
        <f t="shared" si="7"/>
        <v/>
      </c>
      <c r="S58" s="241">
        <f t="shared" si="13"/>
        <v>4</v>
      </c>
      <c r="T58" s="144">
        <f t="shared" si="8"/>
        <v>169.0878151260504</v>
      </c>
      <c r="U58" s="144">
        <f t="shared" si="9"/>
        <v>177.54220588235293</v>
      </c>
      <c r="V58" s="144">
        <f t="shared" si="10"/>
        <v>8.8771102941176459</v>
      </c>
      <c r="W58" s="144">
        <f t="shared" si="11"/>
        <v>1.1499999999999999</v>
      </c>
      <c r="X58" s="145">
        <f t="shared" si="12"/>
        <v>10.299999999999999</v>
      </c>
    </row>
    <row r="59" spans="1:24" ht="29.25" customHeight="1">
      <c r="A59" s="174" t="s">
        <v>1369</v>
      </c>
      <c r="B59" s="174">
        <v>20</v>
      </c>
      <c r="C59" s="176" t="s">
        <v>1294</v>
      </c>
      <c r="D59" s="174">
        <v>4</v>
      </c>
      <c r="E59" s="175" t="s">
        <v>319</v>
      </c>
      <c r="F59" s="174">
        <v>2</v>
      </c>
      <c r="G59" s="175" t="s">
        <v>1548</v>
      </c>
      <c r="H59" s="174">
        <v>2</v>
      </c>
      <c r="I59" s="175" t="s">
        <v>1549</v>
      </c>
      <c r="J59" s="174">
        <v>8</v>
      </c>
      <c r="K59" s="143">
        <f t="shared" si="0"/>
        <v>8.5714285714285712</v>
      </c>
      <c r="L59" s="143">
        <f t="shared" si="1"/>
        <v>34.285714285714285</v>
      </c>
      <c r="M59" s="143">
        <f t="shared" si="2"/>
        <v>3.5714285714285716</v>
      </c>
      <c r="N59" s="143">
        <f t="shared" si="3"/>
        <v>7.1428571428571432</v>
      </c>
      <c r="O59" s="143">
        <f t="shared" si="4"/>
        <v>2.1176470588235294</v>
      </c>
      <c r="P59" s="143">
        <f t="shared" si="5"/>
        <v>4.2352941176470589</v>
      </c>
      <c r="Q59" s="143">
        <f t="shared" si="6"/>
        <v>2.27</v>
      </c>
      <c r="R59" s="143">
        <f t="shared" si="7"/>
        <v>18.16</v>
      </c>
      <c r="S59" s="241">
        <f>B59*0.9</f>
        <v>18</v>
      </c>
      <c r="T59" s="144">
        <f t="shared" si="8"/>
        <v>81.823865546218485</v>
      </c>
      <c r="U59" s="144">
        <f t="shared" si="9"/>
        <v>85.915058823529407</v>
      </c>
      <c r="V59" s="144">
        <f t="shared" si="10"/>
        <v>4.2957529411764703</v>
      </c>
      <c r="W59" s="144">
        <f t="shared" si="11"/>
        <v>0.8</v>
      </c>
      <c r="X59" s="145">
        <f t="shared" si="12"/>
        <v>5</v>
      </c>
    </row>
    <row r="60" spans="1:24">
      <c r="A60" s="174" t="s">
        <v>1372</v>
      </c>
      <c r="B60" s="174">
        <v>20</v>
      </c>
      <c r="C60" s="175" t="s">
        <v>1550</v>
      </c>
      <c r="D60" s="174">
        <v>4</v>
      </c>
      <c r="E60" s="175" t="s">
        <v>2536</v>
      </c>
      <c r="F60" s="174">
        <v>5</v>
      </c>
      <c r="G60" s="175" t="s">
        <v>1547</v>
      </c>
      <c r="H60" s="174">
        <v>2</v>
      </c>
      <c r="I60" s="175" t="s">
        <v>1541</v>
      </c>
      <c r="J60" s="174">
        <v>8</v>
      </c>
      <c r="K60" s="143">
        <f t="shared" si="0"/>
        <v>14.000000000000002</v>
      </c>
      <c r="L60" s="143">
        <f t="shared" si="1"/>
        <v>56.000000000000007</v>
      </c>
      <c r="M60" s="143" t="e">
        <f t="shared" si="2"/>
        <v>#N/A</v>
      </c>
      <c r="N60" s="143" t="str">
        <f t="shared" si="3"/>
        <v/>
      </c>
      <c r="O60" s="143">
        <f t="shared" si="4"/>
        <v>2.1176470588235294</v>
      </c>
      <c r="P60" s="143">
        <f t="shared" si="5"/>
        <v>4.2352941176470589</v>
      </c>
      <c r="Q60" s="143">
        <f t="shared" si="6"/>
        <v>1.7</v>
      </c>
      <c r="R60" s="143">
        <f t="shared" si="7"/>
        <v>13.6</v>
      </c>
      <c r="S60" s="241">
        <f>B60*0.8</f>
        <v>16</v>
      </c>
      <c r="T60" s="144">
        <f t="shared" si="8"/>
        <v>89.835294117647067</v>
      </c>
      <c r="U60" s="144">
        <f t="shared" si="9"/>
        <v>94.327058823529427</v>
      </c>
      <c r="V60" s="144">
        <f t="shared" si="10"/>
        <v>4.7163529411764715</v>
      </c>
      <c r="W60" s="144">
        <f t="shared" si="11"/>
        <v>0.95000000000000007</v>
      </c>
      <c r="X60" s="145">
        <f t="shared" si="12"/>
        <v>5.5</v>
      </c>
    </row>
    <row r="61" spans="1:24">
      <c r="A61" s="174" t="s">
        <v>1373</v>
      </c>
      <c r="B61" s="174">
        <v>20</v>
      </c>
      <c r="C61" s="175" t="s">
        <v>1551</v>
      </c>
      <c r="D61" s="174">
        <v>8</v>
      </c>
      <c r="E61" s="175" t="s">
        <v>1552</v>
      </c>
      <c r="F61" s="174">
        <v>8</v>
      </c>
      <c r="G61" s="175" t="s">
        <v>1544</v>
      </c>
      <c r="H61" s="174">
        <v>3</v>
      </c>
      <c r="I61" s="175" t="s">
        <v>1541</v>
      </c>
      <c r="J61" s="174">
        <v>10</v>
      </c>
      <c r="K61" s="143">
        <f t="shared" si="0"/>
        <v>1.1764705882352942</v>
      </c>
      <c r="L61" s="143">
        <f t="shared" si="1"/>
        <v>9.4117647058823533</v>
      </c>
      <c r="M61" s="143">
        <f t="shared" si="2"/>
        <v>1.2941176470588236</v>
      </c>
      <c r="N61" s="143">
        <f t="shared" si="3"/>
        <v>10.352941176470589</v>
      </c>
      <c r="O61" s="143">
        <f t="shared" si="4"/>
        <v>0.94117647058823539</v>
      </c>
      <c r="P61" s="143">
        <f t="shared" si="5"/>
        <v>2.8235294117647061</v>
      </c>
      <c r="Q61" s="143">
        <f t="shared" si="6"/>
        <v>1.7</v>
      </c>
      <c r="R61" s="143">
        <f t="shared" si="7"/>
        <v>17</v>
      </c>
      <c r="S61" s="241">
        <f t="shared" si="13"/>
        <v>4</v>
      </c>
      <c r="T61" s="144">
        <f t="shared" si="8"/>
        <v>43.588235294117652</v>
      </c>
      <c r="U61" s="144">
        <f t="shared" si="9"/>
        <v>45.767647058823535</v>
      </c>
      <c r="V61" s="144">
        <f t="shared" si="10"/>
        <v>2.2883823529411766</v>
      </c>
      <c r="W61" s="144">
        <f t="shared" si="11"/>
        <v>1.4500000000000002</v>
      </c>
      <c r="X61" s="145">
        <f t="shared" si="12"/>
        <v>2.7</v>
      </c>
    </row>
    <row r="62" spans="1:24">
      <c r="A62" s="174" t="s">
        <v>1374</v>
      </c>
      <c r="B62" s="174">
        <v>1</v>
      </c>
      <c r="C62" s="174" t="s">
        <v>1298</v>
      </c>
      <c r="D62" s="174">
        <v>1.5</v>
      </c>
      <c r="E62" s="175" t="s">
        <v>1548</v>
      </c>
      <c r="F62" s="174">
        <v>0.2</v>
      </c>
      <c r="G62" s="175" t="s">
        <v>1547</v>
      </c>
      <c r="H62" s="174">
        <v>0.2</v>
      </c>
      <c r="I62" s="175" t="s">
        <v>1553</v>
      </c>
      <c r="J62" s="174">
        <v>0.2</v>
      </c>
      <c r="K62" s="143">
        <f t="shared" si="0"/>
        <v>2.8571428571428572</v>
      </c>
      <c r="L62" s="143">
        <f t="shared" si="1"/>
        <v>4.2857142857142856</v>
      </c>
      <c r="M62" s="143">
        <f t="shared" si="2"/>
        <v>2.1176470588235294</v>
      </c>
      <c r="N62" s="143">
        <f t="shared" si="3"/>
        <v>0.42352941176470593</v>
      </c>
      <c r="O62" s="143">
        <f t="shared" si="4"/>
        <v>2.1176470588235294</v>
      </c>
      <c r="P62" s="143">
        <f t="shared" si="5"/>
        <v>0.42352941176470593</v>
      </c>
      <c r="Q62" s="143">
        <f t="shared" si="6"/>
        <v>0.94117647058823539</v>
      </c>
      <c r="R62" s="143">
        <f t="shared" si="7"/>
        <v>0.18823529411764708</v>
      </c>
      <c r="S62" s="241">
        <f t="shared" si="13"/>
        <v>0.2</v>
      </c>
      <c r="T62" s="144">
        <f t="shared" si="8"/>
        <v>5.5210084033613454</v>
      </c>
      <c r="U62" s="144">
        <f t="shared" si="9"/>
        <v>5.7970588235294125</v>
      </c>
      <c r="V62" s="144">
        <f t="shared" si="10"/>
        <v>5.7970588235294125</v>
      </c>
      <c r="W62" s="144">
        <f t="shared" si="11"/>
        <v>2.1</v>
      </c>
      <c r="X62" s="145">
        <f t="shared" si="12"/>
        <v>6.8</v>
      </c>
    </row>
    <row r="63" spans="1:24">
      <c r="A63" s="174" t="s">
        <v>1380</v>
      </c>
      <c r="B63" s="174">
        <v>10</v>
      </c>
      <c r="C63" s="174" t="s">
        <v>222</v>
      </c>
      <c r="D63" s="174">
        <v>3</v>
      </c>
      <c r="E63" s="175" t="s">
        <v>1541</v>
      </c>
      <c r="F63" s="174">
        <v>4</v>
      </c>
      <c r="G63" s="174"/>
      <c r="H63" s="174"/>
      <c r="I63" s="174"/>
      <c r="J63" s="174"/>
      <c r="K63" s="143">
        <f t="shared" si="0"/>
        <v>24.142857142857142</v>
      </c>
      <c r="L63" s="143">
        <f t="shared" si="1"/>
        <v>72.428571428571431</v>
      </c>
      <c r="M63" s="143">
        <f t="shared" si="2"/>
        <v>1.7</v>
      </c>
      <c r="N63" s="143">
        <f t="shared" si="3"/>
        <v>6.8</v>
      </c>
      <c r="O63" s="143" t="str">
        <f t="shared" si="4"/>
        <v/>
      </c>
      <c r="P63" s="143" t="str">
        <f t="shared" si="5"/>
        <v/>
      </c>
      <c r="Q63" s="143" t="str">
        <f t="shared" si="6"/>
        <v/>
      </c>
      <c r="R63" s="143" t="str">
        <f t="shared" si="7"/>
        <v/>
      </c>
      <c r="S63" s="241">
        <f>B63*0.5</f>
        <v>5</v>
      </c>
      <c r="T63" s="144">
        <f t="shared" si="8"/>
        <v>84.228571428571428</v>
      </c>
      <c r="U63" s="144">
        <f t="shared" si="9"/>
        <v>88.44</v>
      </c>
      <c r="V63" s="144">
        <f t="shared" si="10"/>
        <v>8.8439999999999994</v>
      </c>
      <c r="W63" s="144">
        <f t="shared" si="11"/>
        <v>0.7</v>
      </c>
      <c r="X63" s="145">
        <f t="shared" si="12"/>
        <v>10.299999999999999</v>
      </c>
    </row>
    <row r="64" spans="1:24">
      <c r="A64" s="174" t="s">
        <v>1381</v>
      </c>
      <c r="B64" s="174">
        <v>10</v>
      </c>
      <c r="C64" s="175" t="s">
        <v>1554</v>
      </c>
      <c r="D64" s="174">
        <v>1</v>
      </c>
      <c r="E64" s="175" t="s">
        <v>1555</v>
      </c>
      <c r="F64" s="174">
        <v>6</v>
      </c>
      <c r="G64" s="175" t="s">
        <v>1556</v>
      </c>
      <c r="H64" s="174">
        <v>1</v>
      </c>
      <c r="I64" s="175" t="s">
        <v>1553</v>
      </c>
      <c r="J64" s="174">
        <v>1</v>
      </c>
      <c r="K64" s="143">
        <f t="shared" si="0"/>
        <v>33.000000000000007</v>
      </c>
      <c r="L64" s="143">
        <f t="shared" si="1"/>
        <v>33.000000000000007</v>
      </c>
      <c r="M64" s="143">
        <f t="shared" si="2"/>
        <v>4</v>
      </c>
      <c r="N64" s="143">
        <f t="shared" si="3"/>
        <v>24</v>
      </c>
      <c r="O64" s="143">
        <f t="shared" si="4"/>
        <v>1.6470588235294117</v>
      </c>
      <c r="P64" s="143">
        <f t="shared" si="5"/>
        <v>1.6470588235294117</v>
      </c>
      <c r="Q64" s="143">
        <f t="shared" si="6"/>
        <v>0.94117647058823539</v>
      </c>
      <c r="R64" s="143">
        <f t="shared" si="7"/>
        <v>0.94117647058823539</v>
      </c>
      <c r="S64" s="241">
        <f>B64*0.7</f>
        <v>7</v>
      </c>
      <c r="T64" s="144">
        <f t="shared" si="8"/>
        <v>66.588235294117652</v>
      </c>
      <c r="U64" s="144">
        <f t="shared" si="9"/>
        <v>69.917647058823533</v>
      </c>
      <c r="V64" s="144">
        <f t="shared" si="10"/>
        <v>6.9917647058823533</v>
      </c>
      <c r="W64" s="144">
        <f t="shared" si="11"/>
        <v>0.89999999999999991</v>
      </c>
      <c r="X64" s="145">
        <f t="shared" si="12"/>
        <v>8.1999999999999993</v>
      </c>
    </row>
    <row r="65" spans="1:24">
      <c r="A65" s="174" t="s">
        <v>1382</v>
      </c>
      <c r="B65" s="174">
        <v>10</v>
      </c>
      <c r="C65" s="175" t="s">
        <v>1549</v>
      </c>
      <c r="D65" s="174">
        <v>4</v>
      </c>
      <c r="E65" s="175" t="s">
        <v>319</v>
      </c>
      <c r="F65" s="174">
        <v>1</v>
      </c>
      <c r="G65" s="175" t="s">
        <v>1557</v>
      </c>
      <c r="H65" s="174">
        <v>0.3</v>
      </c>
      <c r="I65" s="175" t="s">
        <v>1558</v>
      </c>
      <c r="J65" s="174">
        <v>0.2</v>
      </c>
      <c r="K65" s="143">
        <f t="shared" si="0"/>
        <v>2.27</v>
      </c>
      <c r="L65" s="143">
        <f t="shared" si="1"/>
        <v>9.08</v>
      </c>
      <c r="M65" s="143">
        <f t="shared" si="2"/>
        <v>3.5714285714285716</v>
      </c>
      <c r="N65" s="143">
        <f t="shared" si="3"/>
        <v>3.5714285714285716</v>
      </c>
      <c r="O65" s="143">
        <f t="shared" si="4"/>
        <v>1.1176470588235294</v>
      </c>
      <c r="P65" s="143">
        <f t="shared" si="5"/>
        <v>0.3352941176470588</v>
      </c>
      <c r="Q65" s="143">
        <f t="shared" si="6"/>
        <v>2.1176470588235294</v>
      </c>
      <c r="R65" s="143">
        <f t="shared" si="7"/>
        <v>0.42352941176470593</v>
      </c>
      <c r="S65" s="241">
        <f t="shared" ref="S65:S70" si="14">B65*0.5</f>
        <v>5</v>
      </c>
      <c r="T65" s="144">
        <f t="shared" si="8"/>
        <v>18.410252100840339</v>
      </c>
      <c r="U65" s="144">
        <f t="shared" si="9"/>
        <v>19.330764705882356</v>
      </c>
      <c r="V65" s="144">
        <f t="shared" si="10"/>
        <v>1.9330764705882355</v>
      </c>
      <c r="W65" s="144">
        <f t="shared" si="11"/>
        <v>0.55000000000000004</v>
      </c>
      <c r="X65" s="145">
        <f t="shared" si="12"/>
        <v>2.3000000000000003</v>
      </c>
    </row>
    <row r="66" spans="1:24">
      <c r="A66" s="174" t="s">
        <v>1383</v>
      </c>
      <c r="B66" s="174">
        <v>10</v>
      </c>
      <c r="C66" s="175" t="s">
        <v>206</v>
      </c>
      <c r="D66" s="174">
        <v>3</v>
      </c>
      <c r="E66" s="175" t="s">
        <v>2536</v>
      </c>
      <c r="F66" s="174">
        <v>2</v>
      </c>
      <c r="G66" s="175" t="s">
        <v>1559</v>
      </c>
      <c r="H66" s="174">
        <v>2</v>
      </c>
      <c r="I66" s="174" t="s">
        <v>42</v>
      </c>
      <c r="J66" s="174">
        <v>1</v>
      </c>
      <c r="K66" s="143">
        <f t="shared" si="0"/>
        <v>14.428571428571429</v>
      </c>
      <c r="L66" s="143">
        <f t="shared" si="1"/>
        <v>43.285714285714285</v>
      </c>
      <c r="M66" s="143" t="e">
        <f t="shared" si="2"/>
        <v>#N/A</v>
      </c>
      <c r="N66" s="143" t="str">
        <f t="shared" si="3"/>
        <v/>
      </c>
      <c r="O66" s="143">
        <f t="shared" si="4"/>
        <v>2.882352941176471</v>
      </c>
      <c r="P66" s="143">
        <f t="shared" si="5"/>
        <v>5.764705882352942</v>
      </c>
      <c r="Q66" s="143">
        <f t="shared" si="6"/>
        <v>42.857142857142861</v>
      </c>
      <c r="R66" s="143">
        <f t="shared" si="7"/>
        <v>42.857142857142861</v>
      </c>
      <c r="S66" s="241">
        <f t="shared" si="14"/>
        <v>5</v>
      </c>
      <c r="T66" s="144">
        <f t="shared" si="8"/>
        <v>96.907563025210095</v>
      </c>
      <c r="U66" s="144">
        <f t="shared" si="9"/>
        <v>101.7529411764706</v>
      </c>
      <c r="V66" s="144">
        <f t="shared" si="10"/>
        <v>10.175294117647059</v>
      </c>
      <c r="W66" s="144">
        <f t="shared" si="11"/>
        <v>0.79999999999999993</v>
      </c>
      <c r="X66" s="145">
        <f t="shared" si="12"/>
        <v>11.9</v>
      </c>
    </row>
    <row r="67" spans="1:24">
      <c r="A67" s="174" t="s">
        <v>1396</v>
      </c>
      <c r="B67" s="174">
        <v>10</v>
      </c>
      <c r="C67" s="175" t="s">
        <v>1588</v>
      </c>
      <c r="D67" s="174">
        <v>7</v>
      </c>
      <c r="E67" s="175" t="s">
        <v>1589</v>
      </c>
      <c r="F67" s="174">
        <v>3</v>
      </c>
      <c r="G67" s="175" t="s">
        <v>1590</v>
      </c>
      <c r="H67" s="174">
        <v>5</v>
      </c>
      <c r="I67" s="174"/>
      <c r="J67" s="174"/>
      <c r="K67" s="143">
        <f t="shared" ref="K67:K130" si="15">IF(C67="","",VLOOKUP(C67,成本单价,8,0))</f>
        <v>1.1764705882352942</v>
      </c>
      <c r="L67" s="143">
        <f t="shared" ref="L67:L89" si="16">IFERROR(D67*K67,"")</f>
        <v>8.2352941176470598</v>
      </c>
      <c r="M67" s="143">
        <f t="shared" ref="M67:M109" si="17">IF(E67="","",VLOOKUP(E67,成本单价,8,0))</f>
        <v>14.000000000000002</v>
      </c>
      <c r="N67" s="143">
        <f t="shared" ref="N67:N68" si="18">IFERROR(F67*M67,"")</f>
        <v>42.000000000000007</v>
      </c>
      <c r="O67" s="143">
        <f t="shared" ref="O67:O73" si="19">IF(G67="","",VLOOKUP(G67,成本单价,8,0))</f>
        <v>1.7</v>
      </c>
      <c r="P67" s="143">
        <f t="shared" ref="P67:P70" si="20">IFERROR(H67*O67,"")</f>
        <v>8.5</v>
      </c>
      <c r="Q67" s="143" t="str">
        <f t="shared" ref="Q67:Q130" si="21">IF(I67="","",VLOOKUP(I67,成本单价,8,0))</f>
        <v/>
      </c>
      <c r="R67" s="143" t="str">
        <f t="shared" ref="R67:R71" si="22">IFERROR(J67*Q67,"")</f>
        <v/>
      </c>
      <c r="S67" s="241">
        <f t="shared" si="14"/>
        <v>5</v>
      </c>
      <c r="T67" s="144">
        <f t="shared" ref="T67:T71" si="23">IFERROR(SUM(L67,N67,P67,R67,S67),"")</f>
        <v>63.735294117647065</v>
      </c>
      <c r="U67" s="144">
        <f t="shared" ref="U67:U76" si="24">T67*(1+物料比)</f>
        <v>66.922058823529426</v>
      </c>
      <c r="V67" s="144">
        <f t="shared" ref="V67:V96" si="25">U67/B67</f>
        <v>6.6922058823529422</v>
      </c>
      <c r="W67" s="144">
        <f t="shared" ref="W67:W90" si="26">D67/B67+F67/B67+H67/B67+J67/B67</f>
        <v>1.5</v>
      </c>
      <c r="X67" s="145">
        <f t="shared" ref="X67:X68" si="27">ROUNDUP(V67*(1+小吃毛利),1)</f>
        <v>7.8</v>
      </c>
    </row>
    <row r="68" spans="1:24">
      <c r="A68" s="174" t="s">
        <v>1397</v>
      </c>
      <c r="B68" s="174">
        <v>10</v>
      </c>
      <c r="C68" s="175" t="s">
        <v>1591</v>
      </c>
      <c r="D68" s="174">
        <v>3</v>
      </c>
      <c r="E68" s="175" t="s">
        <v>1009</v>
      </c>
      <c r="F68" s="174">
        <v>0.1</v>
      </c>
      <c r="G68" s="174"/>
      <c r="H68" s="174"/>
      <c r="I68" s="174"/>
      <c r="J68" s="174"/>
      <c r="K68" s="143">
        <f t="shared" si="15"/>
        <v>14.000000000000002</v>
      </c>
      <c r="L68" s="143">
        <f t="shared" si="16"/>
        <v>42.000000000000007</v>
      </c>
      <c r="M68" s="143">
        <f t="shared" si="17"/>
        <v>61.428571428571431</v>
      </c>
      <c r="N68" s="143">
        <f t="shared" si="18"/>
        <v>6.1428571428571432</v>
      </c>
      <c r="O68" s="143" t="str">
        <f t="shared" si="19"/>
        <v/>
      </c>
      <c r="P68" s="143" t="str">
        <f t="shared" si="20"/>
        <v/>
      </c>
      <c r="Q68" s="143" t="str">
        <f t="shared" si="21"/>
        <v/>
      </c>
      <c r="R68" s="143" t="str">
        <f t="shared" si="22"/>
        <v/>
      </c>
      <c r="S68" s="241">
        <f>B68*0.6</f>
        <v>6</v>
      </c>
      <c r="T68" s="144">
        <f t="shared" si="23"/>
        <v>54.142857142857153</v>
      </c>
      <c r="U68" s="144">
        <f t="shared" si="24"/>
        <v>56.850000000000016</v>
      </c>
      <c r="V68" s="144">
        <f t="shared" si="25"/>
        <v>5.6850000000000014</v>
      </c>
      <c r="W68" s="144">
        <f t="shared" si="26"/>
        <v>0.31</v>
      </c>
      <c r="X68" s="145">
        <f t="shared" si="27"/>
        <v>6.6</v>
      </c>
    </row>
    <row r="69" spans="1:24">
      <c r="A69" s="1" t="s">
        <v>1398</v>
      </c>
      <c r="B69" s="1">
        <v>10</v>
      </c>
      <c r="C69" s="137" t="s">
        <v>1592</v>
      </c>
      <c r="D69" s="1">
        <v>3</v>
      </c>
      <c r="E69" s="137" t="s">
        <v>1586</v>
      </c>
      <c r="F69" s="1">
        <v>6</v>
      </c>
      <c r="G69" s="1"/>
      <c r="H69" s="1"/>
      <c r="I69" s="1"/>
      <c r="J69" s="174"/>
      <c r="K69" s="143">
        <f t="shared" si="15"/>
        <v>0.88235294117647056</v>
      </c>
      <c r="L69" s="143">
        <f t="shared" si="16"/>
        <v>2.6470588235294117</v>
      </c>
      <c r="M69" s="143">
        <f t="shared" si="17"/>
        <v>2.5</v>
      </c>
      <c r="N69" s="1">
        <f t="shared" ref="N69:N89" si="28">IFERROR(F69*M69,"")</f>
        <v>15</v>
      </c>
      <c r="O69" s="143" t="str">
        <f t="shared" si="19"/>
        <v/>
      </c>
      <c r="P69" s="143" t="str">
        <f t="shared" si="20"/>
        <v/>
      </c>
      <c r="Q69" s="143" t="str">
        <f t="shared" si="21"/>
        <v/>
      </c>
      <c r="R69" s="143" t="str">
        <f t="shared" si="22"/>
        <v/>
      </c>
      <c r="S69" s="241">
        <f t="shared" si="14"/>
        <v>5</v>
      </c>
      <c r="T69" s="144">
        <f t="shared" si="23"/>
        <v>22.647058823529413</v>
      </c>
      <c r="U69" s="144">
        <f t="shared" si="24"/>
        <v>23.779411764705884</v>
      </c>
      <c r="V69" s="144">
        <f t="shared" si="25"/>
        <v>2.3779411764705882</v>
      </c>
      <c r="W69" s="144">
        <f t="shared" si="26"/>
        <v>0.89999999999999991</v>
      </c>
      <c r="X69" s="139">
        <f t="shared" ref="X69:X89" si="29">ROUNDUP(V69*(1+小吃毛利),1)</f>
        <v>2.8000000000000003</v>
      </c>
    </row>
    <row r="70" spans="1:24">
      <c r="A70" s="1" t="s">
        <v>1566</v>
      </c>
      <c r="B70" s="1">
        <v>10</v>
      </c>
      <c r="C70" s="1" t="s">
        <v>235</v>
      </c>
      <c r="D70" s="1">
        <v>2</v>
      </c>
      <c r="E70" s="137" t="s">
        <v>1593</v>
      </c>
      <c r="F70" s="1">
        <v>3</v>
      </c>
      <c r="G70" s="137" t="s">
        <v>1590</v>
      </c>
      <c r="H70" s="1">
        <v>5</v>
      </c>
      <c r="I70" s="1"/>
      <c r="J70" s="1"/>
      <c r="K70" s="143">
        <f t="shared" si="15"/>
        <v>34.714285714285715</v>
      </c>
      <c r="L70" s="143">
        <f t="shared" si="16"/>
        <v>69.428571428571431</v>
      </c>
      <c r="M70" s="143">
        <f t="shared" si="17"/>
        <v>0.94117647058823539</v>
      </c>
      <c r="N70" s="1">
        <f t="shared" si="28"/>
        <v>2.8235294117647061</v>
      </c>
      <c r="O70" s="143">
        <f t="shared" si="19"/>
        <v>1.7</v>
      </c>
      <c r="P70" s="143">
        <f t="shared" si="20"/>
        <v>8.5</v>
      </c>
      <c r="Q70" s="143" t="str">
        <f t="shared" si="21"/>
        <v/>
      </c>
      <c r="R70" s="143" t="str">
        <f t="shared" si="22"/>
        <v/>
      </c>
      <c r="S70" s="241">
        <f t="shared" si="14"/>
        <v>5</v>
      </c>
      <c r="T70" s="144">
        <f t="shared" si="23"/>
        <v>85.752100840336141</v>
      </c>
      <c r="U70" s="144">
        <f t="shared" si="24"/>
        <v>90.039705882352948</v>
      </c>
      <c r="V70" s="144">
        <f t="shared" si="25"/>
        <v>9.0039705882352941</v>
      </c>
      <c r="W70" s="144">
        <f t="shared" si="26"/>
        <v>1</v>
      </c>
      <c r="X70" s="139">
        <f t="shared" si="29"/>
        <v>10.5</v>
      </c>
    </row>
    <row r="71" spans="1:24">
      <c r="A71" s="1" t="s">
        <v>1567</v>
      </c>
      <c r="B71" s="1">
        <v>10</v>
      </c>
      <c r="C71" s="1" t="s">
        <v>319</v>
      </c>
      <c r="D71" s="1">
        <v>3</v>
      </c>
      <c r="E71" s="1" t="s">
        <v>1009</v>
      </c>
      <c r="F71" s="1">
        <v>0.1</v>
      </c>
      <c r="G71" s="137" t="s">
        <v>1590</v>
      </c>
      <c r="H71" s="1">
        <v>5</v>
      </c>
      <c r="I71" s="1"/>
      <c r="J71" s="1"/>
      <c r="K71" s="143">
        <f t="shared" si="15"/>
        <v>3.5714285714285716</v>
      </c>
      <c r="L71" s="143">
        <f t="shared" si="16"/>
        <v>10.714285714285715</v>
      </c>
      <c r="M71" s="143">
        <f t="shared" si="17"/>
        <v>61.428571428571431</v>
      </c>
      <c r="N71" s="1">
        <f t="shared" si="28"/>
        <v>6.1428571428571432</v>
      </c>
      <c r="O71" s="143">
        <f t="shared" si="19"/>
        <v>1.7</v>
      </c>
      <c r="P71" s="140">
        <f t="shared" ref="P71:P89" si="30">IFERROR(H71*O71,"")</f>
        <v>8.5</v>
      </c>
      <c r="Q71" s="143" t="str">
        <f t="shared" si="21"/>
        <v/>
      </c>
      <c r="R71" s="143" t="str">
        <f t="shared" si="22"/>
        <v/>
      </c>
      <c r="S71" s="241">
        <f>B71*0.8</f>
        <v>8</v>
      </c>
      <c r="T71" s="144">
        <f t="shared" si="23"/>
        <v>33.357142857142861</v>
      </c>
      <c r="U71" s="144">
        <f t="shared" si="24"/>
        <v>35.025000000000006</v>
      </c>
      <c r="V71" s="144">
        <f t="shared" si="25"/>
        <v>3.5025000000000004</v>
      </c>
      <c r="W71" s="144">
        <f t="shared" si="26"/>
        <v>0.81</v>
      </c>
      <c r="X71" s="139">
        <f t="shared" si="29"/>
        <v>4.0999999999999996</v>
      </c>
    </row>
    <row r="72" spans="1:24" s="114" customFormat="1">
      <c r="A72" s="1" t="s">
        <v>1568</v>
      </c>
      <c r="B72" s="1">
        <v>10</v>
      </c>
      <c r="C72" s="1" t="s">
        <v>222</v>
      </c>
      <c r="D72" s="1">
        <v>3</v>
      </c>
      <c r="E72" s="137" t="s">
        <v>2536</v>
      </c>
      <c r="F72" s="1">
        <v>4</v>
      </c>
      <c r="G72" s="137" t="s">
        <v>1664</v>
      </c>
      <c r="H72" s="1">
        <v>2</v>
      </c>
      <c r="I72" s="137" t="s">
        <v>1665</v>
      </c>
      <c r="J72" s="1">
        <v>1</v>
      </c>
      <c r="K72" s="143">
        <f t="shared" si="15"/>
        <v>24.142857142857142</v>
      </c>
      <c r="L72" s="143">
        <f t="shared" si="16"/>
        <v>72.428571428571431</v>
      </c>
      <c r="M72" s="143" t="e">
        <f t="shared" si="17"/>
        <v>#N/A</v>
      </c>
      <c r="N72" s="1" t="str">
        <f t="shared" si="28"/>
        <v/>
      </c>
      <c r="O72" s="143">
        <f t="shared" si="19"/>
        <v>1.2941176470588236</v>
      </c>
      <c r="P72" s="140">
        <f t="shared" si="30"/>
        <v>2.5882352941176472</v>
      </c>
      <c r="Q72" s="143">
        <f t="shared" si="21"/>
        <v>2.2941176470588234</v>
      </c>
      <c r="R72" s="135">
        <f t="shared" ref="R72:R112" si="31">IFERROR(J72*Q72,"")</f>
        <v>2.2941176470588234</v>
      </c>
      <c r="S72" s="241">
        <f t="shared" ref="S72:S75" si="32">B72*0.8</f>
        <v>8</v>
      </c>
      <c r="T72" s="136">
        <f t="shared" ref="T72:T96" si="33">IFERROR(SUM(L72,N87,P72,R72,S72),"")</f>
        <v>92.453781512605048</v>
      </c>
      <c r="U72" s="144">
        <f t="shared" si="24"/>
        <v>97.07647058823531</v>
      </c>
      <c r="V72" s="144">
        <f t="shared" si="25"/>
        <v>9.7076470588235306</v>
      </c>
      <c r="W72" s="144">
        <f t="shared" si="26"/>
        <v>0.99999999999999989</v>
      </c>
      <c r="X72" s="177">
        <f t="shared" si="29"/>
        <v>11.299999999999999</v>
      </c>
    </row>
    <row r="73" spans="1:24">
      <c r="A73" s="1" t="s">
        <v>1569</v>
      </c>
      <c r="B73" s="1">
        <v>10</v>
      </c>
      <c r="C73" s="137" t="s">
        <v>1666</v>
      </c>
      <c r="D73" s="1">
        <v>3</v>
      </c>
      <c r="E73" s="137" t="s">
        <v>1667</v>
      </c>
      <c r="F73" s="1">
        <v>3</v>
      </c>
      <c r="G73" s="1" t="s">
        <v>1009</v>
      </c>
      <c r="H73" s="1">
        <v>0.2</v>
      </c>
      <c r="I73" s="137" t="s">
        <v>1668</v>
      </c>
      <c r="J73" s="1">
        <v>5</v>
      </c>
      <c r="K73" s="143">
        <f t="shared" si="15"/>
        <v>4.2352941176470589</v>
      </c>
      <c r="L73" s="143">
        <f t="shared" si="16"/>
        <v>12.705882352941178</v>
      </c>
      <c r="M73" s="143">
        <f t="shared" si="17"/>
        <v>15.428571428571431</v>
      </c>
      <c r="N73" s="1">
        <f t="shared" si="28"/>
        <v>46.285714285714292</v>
      </c>
      <c r="O73" s="143">
        <f t="shared" si="19"/>
        <v>61.428571428571431</v>
      </c>
      <c r="P73" s="140">
        <f t="shared" si="30"/>
        <v>12.285714285714286</v>
      </c>
      <c r="Q73" s="143">
        <f t="shared" si="21"/>
        <v>1.7</v>
      </c>
      <c r="R73" s="135">
        <f t="shared" si="31"/>
        <v>8.5</v>
      </c>
      <c r="S73" s="241">
        <f>B73*1.5</f>
        <v>15</v>
      </c>
      <c r="T73" s="136">
        <f t="shared" si="33"/>
        <v>69.634453781512605</v>
      </c>
      <c r="U73" s="144">
        <f t="shared" si="24"/>
        <v>73.116176470588243</v>
      </c>
      <c r="V73" s="144">
        <f t="shared" si="25"/>
        <v>7.3116176470588243</v>
      </c>
      <c r="W73" s="144">
        <f t="shared" si="26"/>
        <v>1.1200000000000001</v>
      </c>
      <c r="X73" s="177">
        <f t="shared" si="29"/>
        <v>8.5</v>
      </c>
    </row>
    <row r="74" spans="1:24">
      <c r="A74" s="1" t="s">
        <v>1570</v>
      </c>
      <c r="B74" s="1">
        <v>10</v>
      </c>
      <c r="C74" s="1" t="s">
        <v>300</v>
      </c>
      <c r="D74" s="1">
        <v>3</v>
      </c>
      <c r="E74" s="1" t="s">
        <v>1297</v>
      </c>
      <c r="F74" s="1">
        <v>2</v>
      </c>
      <c r="G74" s="137" t="s">
        <v>101</v>
      </c>
      <c r="H74" s="1">
        <v>3</v>
      </c>
      <c r="I74" s="1"/>
      <c r="J74" s="1">
        <v>5</v>
      </c>
      <c r="K74" s="143">
        <f t="shared" si="15"/>
        <v>6.1428571428571432</v>
      </c>
      <c r="L74" s="1">
        <f t="shared" si="16"/>
        <v>18.428571428571431</v>
      </c>
      <c r="M74" s="143">
        <f t="shared" si="17"/>
        <v>77.142857142857153</v>
      </c>
      <c r="N74" s="1">
        <f t="shared" si="28"/>
        <v>154.28571428571431</v>
      </c>
      <c r="O74" s="140">
        <f t="shared" ref="O74:O90" si="34">IF(G74="","",VLOOKUP(G74,成本单价,8,0))</f>
        <v>8.5714285714285712</v>
      </c>
      <c r="P74" s="140">
        <f t="shared" si="30"/>
        <v>25.714285714285715</v>
      </c>
      <c r="Q74" s="143" t="str">
        <f t="shared" si="21"/>
        <v/>
      </c>
      <c r="R74" s="135" t="str">
        <f t="shared" si="31"/>
        <v/>
      </c>
      <c r="S74" s="241">
        <f t="shared" si="32"/>
        <v>8</v>
      </c>
      <c r="T74" s="136">
        <f t="shared" si="33"/>
        <v>54.789915966386559</v>
      </c>
      <c r="U74" s="144">
        <f t="shared" si="24"/>
        <v>57.529411764705891</v>
      </c>
      <c r="V74" s="144">
        <f t="shared" si="25"/>
        <v>5.7529411764705891</v>
      </c>
      <c r="W74" s="144">
        <f t="shared" si="26"/>
        <v>1.3</v>
      </c>
      <c r="X74" s="177">
        <f t="shared" si="29"/>
        <v>6.6999999999999993</v>
      </c>
    </row>
    <row r="75" spans="1:24">
      <c r="A75" s="1" t="s">
        <v>1901</v>
      </c>
      <c r="B75" s="1">
        <v>10</v>
      </c>
      <c r="C75" s="1" t="s">
        <v>222</v>
      </c>
      <c r="D75" s="1">
        <v>3</v>
      </c>
      <c r="E75" s="1" t="s">
        <v>1406</v>
      </c>
      <c r="F75" s="1">
        <v>4</v>
      </c>
      <c r="G75" s="137" t="s">
        <v>1930</v>
      </c>
      <c r="H75" s="1">
        <v>1</v>
      </c>
      <c r="I75" s="1" t="s">
        <v>337</v>
      </c>
      <c r="J75" s="1">
        <v>1</v>
      </c>
      <c r="K75" s="143">
        <f t="shared" si="15"/>
        <v>24.142857142857142</v>
      </c>
      <c r="L75" s="1">
        <f t="shared" si="16"/>
        <v>72.428571428571431</v>
      </c>
      <c r="M75" s="143">
        <f t="shared" si="17"/>
        <v>1.7</v>
      </c>
      <c r="N75" s="1">
        <f t="shared" si="28"/>
        <v>6.8</v>
      </c>
      <c r="O75" s="140">
        <f t="shared" si="34"/>
        <v>2.1176470588235294</v>
      </c>
      <c r="P75" s="140">
        <f t="shared" si="30"/>
        <v>2.1176470588235294</v>
      </c>
      <c r="Q75" s="143" t="e">
        <f t="shared" si="21"/>
        <v>#N/A</v>
      </c>
      <c r="R75" s="135" t="str">
        <f t="shared" si="31"/>
        <v/>
      </c>
      <c r="S75" s="241">
        <f t="shared" si="32"/>
        <v>8</v>
      </c>
      <c r="T75" s="136">
        <f t="shared" si="33"/>
        <v>82.546218487394967</v>
      </c>
      <c r="U75" s="144">
        <f t="shared" si="24"/>
        <v>86.673529411764719</v>
      </c>
      <c r="V75" s="144">
        <f t="shared" si="25"/>
        <v>8.6673529411764711</v>
      </c>
      <c r="W75" s="144">
        <f t="shared" si="26"/>
        <v>0.89999999999999991</v>
      </c>
      <c r="X75" s="177">
        <f t="shared" si="29"/>
        <v>10.1</v>
      </c>
    </row>
    <row r="76" spans="1:24">
      <c r="A76" s="1" t="s">
        <v>1902</v>
      </c>
      <c r="B76" s="1">
        <v>10</v>
      </c>
      <c r="C76" s="137" t="s">
        <v>1931</v>
      </c>
      <c r="D76" s="1">
        <v>3</v>
      </c>
      <c r="E76" s="1" t="s">
        <v>1009</v>
      </c>
      <c r="F76" s="1">
        <v>0.2</v>
      </c>
      <c r="G76" s="137" t="s">
        <v>1932</v>
      </c>
      <c r="H76" s="1">
        <v>2</v>
      </c>
      <c r="I76" s="137" t="s">
        <v>1933</v>
      </c>
      <c r="J76" s="1">
        <v>5</v>
      </c>
      <c r="K76" s="143">
        <f t="shared" si="15"/>
        <v>4.2352941176470589</v>
      </c>
      <c r="L76" s="1">
        <f t="shared" si="16"/>
        <v>12.705882352941178</v>
      </c>
      <c r="M76" s="143">
        <f t="shared" si="17"/>
        <v>61.428571428571431</v>
      </c>
      <c r="N76" s="1">
        <f t="shared" si="28"/>
        <v>12.285714285714286</v>
      </c>
      <c r="O76" s="140">
        <f t="shared" si="34"/>
        <v>3.5714285714285716</v>
      </c>
      <c r="P76" s="140">
        <f t="shared" si="30"/>
        <v>7.1428571428571432</v>
      </c>
      <c r="Q76" s="143">
        <f t="shared" si="21"/>
        <v>1.7</v>
      </c>
      <c r="R76" s="135">
        <f t="shared" si="31"/>
        <v>8.5</v>
      </c>
      <c r="S76" s="241">
        <f>B76*1.2</f>
        <v>12</v>
      </c>
      <c r="T76" s="183">
        <f t="shared" si="33"/>
        <v>42.936974789915965</v>
      </c>
      <c r="U76" s="144">
        <f t="shared" si="24"/>
        <v>45.083823529411767</v>
      </c>
      <c r="V76" s="144">
        <f t="shared" si="25"/>
        <v>4.5083823529411768</v>
      </c>
      <c r="W76" s="144">
        <f t="shared" si="26"/>
        <v>1.02</v>
      </c>
      <c r="X76" s="177">
        <f t="shared" si="29"/>
        <v>5.3</v>
      </c>
    </row>
    <row r="77" spans="1:24">
      <c r="A77" s="1" t="s">
        <v>1903</v>
      </c>
      <c r="B77" s="1">
        <v>10</v>
      </c>
      <c r="C77" s="137" t="s">
        <v>1934</v>
      </c>
      <c r="D77" s="1">
        <v>2</v>
      </c>
      <c r="E77" s="137" t="s">
        <v>1935</v>
      </c>
      <c r="F77" s="1">
        <v>6</v>
      </c>
      <c r="G77" s="137" t="s">
        <v>1936</v>
      </c>
      <c r="H77" s="1">
        <v>1</v>
      </c>
      <c r="I77" s="137" t="s">
        <v>1937</v>
      </c>
      <c r="J77" s="1">
        <v>1</v>
      </c>
      <c r="K77" s="143">
        <f t="shared" si="15"/>
        <v>13</v>
      </c>
      <c r="L77" s="1">
        <f t="shared" si="16"/>
        <v>26</v>
      </c>
      <c r="M77" s="143">
        <f t="shared" si="17"/>
        <v>4</v>
      </c>
      <c r="N77" s="1">
        <f t="shared" si="28"/>
        <v>24</v>
      </c>
      <c r="O77" s="182">
        <f t="shared" si="34"/>
        <v>2.1176470588235294</v>
      </c>
      <c r="P77" s="140">
        <f t="shared" si="30"/>
        <v>2.1176470588235294</v>
      </c>
      <c r="Q77" s="143">
        <f t="shared" si="21"/>
        <v>2.1176470588235294</v>
      </c>
      <c r="R77" s="135">
        <f t="shared" si="31"/>
        <v>2.1176470588235294</v>
      </c>
      <c r="S77" s="241">
        <f t="shared" ref="S77:S95" si="35">B77*1.2</f>
        <v>12</v>
      </c>
      <c r="T77" s="183">
        <f t="shared" si="33"/>
        <v>50.735294117647058</v>
      </c>
      <c r="U77" s="136">
        <f t="shared" ref="U77:U99" si="36">T77*(1+物料比)</f>
        <v>53.272058823529413</v>
      </c>
      <c r="V77" s="144">
        <f t="shared" si="25"/>
        <v>5.3272058823529411</v>
      </c>
      <c r="W77" s="144">
        <f t="shared" si="26"/>
        <v>1</v>
      </c>
      <c r="X77" s="181">
        <f t="shared" si="29"/>
        <v>6.1999999999999993</v>
      </c>
    </row>
    <row r="78" spans="1:24">
      <c r="A78" s="1" t="s">
        <v>1904</v>
      </c>
      <c r="B78" s="1">
        <v>10</v>
      </c>
      <c r="C78" s="137" t="s">
        <v>1938</v>
      </c>
      <c r="D78" s="1">
        <v>2.5</v>
      </c>
      <c r="E78" s="1" t="s">
        <v>1292</v>
      </c>
      <c r="F78" s="1">
        <v>5</v>
      </c>
      <c r="G78" s="1"/>
      <c r="H78" s="1"/>
      <c r="I78" s="1"/>
      <c r="J78" s="1"/>
      <c r="K78" s="143">
        <f t="shared" si="15"/>
        <v>34.714285714285715</v>
      </c>
      <c r="L78" s="1">
        <f t="shared" si="16"/>
        <v>86.785714285714292</v>
      </c>
      <c r="M78" s="143">
        <f t="shared" si="17"/>
        <v>2.8571428571428572</v>
      </c>
      <c r="N78" s="1">
        <f t="shared" si="28"/>
        <v>14.285714285714286</v>
      </c>
      <c r="O78" s="182" t="str">
        <f t="shared" si="34"/>
        <v/>
      </c>
      <c r="P78" s="140" t="str">
        <f t="shared" si="30"/>
        <v/>
      </c>
      <c r="Q78" s="143" t="str">
        <f t="shared" si="21"/>
        <v/>
      </c>
      <c r="R78" s="135" t="str">
        <f t="shared" si="31"/>
        <v/>
      </c>
      <c r="S78" s="241">
        <f>B78*0.2</f>
        <v>2</v>
      </c>
      <c r="T78" s="183">
        <f t="shared" si="33"/>
        <v>99.5</v>
      </c>
      <c r="U78" s="136">
        <f t="shared" si="36"/>
        <v>104.47500000000001</v>
      </c>
      <c r="V78" s="144">
        <f t="shared" si="25"/>
        <v>10.447500000000002</v>
      </c>
      <c r="W78" s="144">
        <f t="shared" si="26"/>
        <v>0.75</v>
      </c>
      <c r="X78" s="181">
        <f t="shared" si="29"/>
        <v>12.2</v>
      </c>
    </row>
    <row r="79" spans="1:24">
      <c r="A79" s="1" t="s">
        <v>1905</v>
      </c>
      <c r="B79" s="1">
        <v>10</v>
      </c>
      <c r="C79" s="1" t="s">
        <v>208</v>
      </c>
      <c r="D79" s="1">
        <v>4</v>
      </c>
      <c r="E79" s="137" t="s">
        <v>1933</v>
      </c>
      <c r="F79" s="1">
        <v>5</v>
      </c>
      <c r="G79" s="137" t="s">
        <v>1939</v>
      </c>
      <c r="H79" s="1">
        <v>1</v>
      </c>
      <c r="I79" s="137" t="s">
        <v>1940</v>
      </c>
      <c r="J79" s="1">
        <v>1</v>
      </c>
      <c r="K79" s="143">
        <f t="shared" si="15"/>
        <v>14.428571428571429</v>
      </c>
      <c r="L79" s="1">
        <f t="shared" si="16"/>
        <v>57.714285714285715</v>
      </c>
      <c r="M79" s="143">
        <f t="shared" si="17"/>
        <v>1.7</v>
      </c>
      <c r="N79" s="1">
        <f t="shared" si="28"/>
        <v>8.5</v>
      </c>
      <c r="O79" s="182">
        <f t="shared" si="34"/>
        <v>1.6470588235294117</v>
      </c>
      <c r="P79" s="140">
        <f t="shared" si="30"/>
        <v>1.6470588235294117</v>
      </c>
      <c r="Q79" s="143">
        <f t="shared" si="21"/>
        <v>0.94117647058823539</v>
      </c>
      <c r="R79" s="135">
        <f t="shared" si="31"/>
        <v>0.94117647058823539</v>
      </c>
      <c r="S79" s="241">
        <f t="shared" si="35"/>
        <v>12</v>
      </c>
      <c r="T79" s="183">
        <f t="shared" si="33"/>
        <v>79.102521008403357</v>
      </c>
      <c r="U79" s="136">
        <f t="shared" si="36"/>
        <v>83.057647058823534</v>
      </c>
      <c r="V79" s="144">
        <f t="shared" si="25"/>
        <v>8.3057647058823534</v>
      </c>
      <c r="W79" s="144">
        <f t="shared" si="26"/>
        <v>1.1000000000000001</v>
      </c>
      <c r="X79" s="181">
        <f t="shared" si="29"/>
        <v>9.6999999999999993</v>
      </c>
    </row>
    <row r="80" spans="1:24">
      <c r="A80" s="1" t="s">
        <v>1906</v>
      </c>
      <c r="B80" s="1">
        <v>10</v>
      </c>
      <c r="C80" s="137" t="s">
        <v>1941</v>
      </c>
      <c r="D80" s="1">
        <v>4</v>
      </c>
      <c r="E80" s="137" t="s">
        <v>1931</v>
      </c>
      <c r="F80" s="1">
        <v>3</v>
      </c>
      <c r="G80" s="137" t="s">
        <v>1933</v>
      </c>
      <c r="H80" s="1">
        <v>5</v>
      </c>
      <c r="I80" s="1" t="s">
        <v>319</v>
      </c>
      <c r="J80" s="1">
        <v>1</v>
      </c>
      <c r="K80" s="143">
        <f t="shared" si="15"/>
        <v>1.2941176470588236</v>
      </c>
      <c r="L80" s="1">
        <f t="shared" si="16"/>
        <v>5.1764705882352944</v>
      </c>
      <c r="M80" s="143">
        <f t="shared" si="17"/>
        <v>4.2352941176470589</v>
      </c>
      <c r="N80" s="1">
        <f t="shared" si="28"/>
        <v>12.705882352941178</v>
      </c>
      <c r="O80" s="182">
        <f t="shared" si="34"/>
        <v>1.7</v>
      </c>
      <c r="P80" s="140">
        <f t="shared" si="30"/>
        <v>8.5</v>
      </c>
      <c r="Q80" s="143">
        <f t="shared" si="21"/>
        <v>3.5714285714285716</v>
      </c>
      <c r="R80" s="135">
        <f t="shared" si="31"/>
        <v>3.5714285714285716</v>
      </c>
      <c r="S80" s="241">
        <f t="shared" si="35"/>
        <v>12</v>
      </c>
      <c r="T80" s="183">
        <f t="shared" si="33"/>
        <v>39.962184873949582</v>
      </c>
      <c r="U80" s="136">
        <f t="shared" si="36"/>
        <v>41.960294117647059</v>
      </c>
      <c r="V80" s="144">
        <f t="shared" si="25"/>
        <v>4.1960294117647061</v>
      </c>
      <c r="W80" s="144">
        <f t="shared" si="26"/>
        <v>1.3</v>
      </c>
      <c r="X80" s="181">
        <f t="shared" si="29"/>
        <v>4.8999999999999995</v>
      </c>
    </row>
    <row r="81" spans="1:24">
      <c r="A81" s="1" t="s">
        <v>1907</v>
      </c>
      <c r="B81" s="1">
        <v>10</v>
      </c>
      <c r="C81" s="137" t="s">
        <v>1942</v>
      </c>
      <c r="D81" s="1">
        <v>4</v>
      </c>
      <c r="E81" s="137" t="s">
        <v>1943</v>
      </c>
      <c r="F81" s="1">
        <v>3</v>
      </c>
      <c r="G81" s="137" t="s">
        <v>2536</v>
      </c>
      <c r="H81" s="1">
        <v>3</v>
      </c>
      <c r="I81" s="137" t="s">
        <v>1944</v>
      </c>
      <c r="J81" s="1">
        <v>4</v>
      </c>
      <c r="K81" s="143">
        <f t="shared" si="15"/>
        <v>14.428571428571429</v>
      </c>
      <c r="L81" s="1">
        <f t="shared" si="16"/>
        <v>57.714285714285715</v>
      </c>
      <c r="M81" s="143">
        <f t="shared" si="17"/>
        <v>1.8823529411764708</v>
      </c>
      <c r="N81" s="1">
        <f t="shared" si="28"/>
        <v>5.6470588235294121</v>
      </c>
      <c r="O81" s="182" t="e">
        <f t="shared" si="34"/>
        <v>#N/A</v>
      </c>
      <c r="P81" s="140" t="str">
        <f t="shared" si="30"/>
        <v/>
      </c>
      <c r="Q81" s="143">
        <f t="shared" si="21"/>
        <v>2.27</v>
      </c>
      <c r="R81" s="135">
        <f t="shared" si="31"/>
        <v>9.08</v>
      </c>
      <c r="S81" s="241">
        <f t="shared" si="35"/>
        <v>12</v>
      </c>
      <c r="T81" s="183">
        <f t="shared" si="33"/>
        <v>80.911932773109243</v>
      </c>
      <c r="U81" s="136">
        <f t="shared" si="36"/>
        <v>84.95752941176471</v>
      </c>
      <c r="V81" s="144">
        <f t="shared" si="25"/>
        <v>8.4957529411764714</v>
      </c>
      <c r="W81" s="144">
        <f t="shared" si="26"/>
        <v>1.4</v>
      </c>
      <c r="X81" s="177">
        <f t="shared" si="29"/>
        <v>9.9</v>
      </c>
    </row>
    <row r="82" spans="1:24">
      <c r="A82" s="1" t="s">
        <v>1908</v>
      </c>
      <c r="B82" s="1">
        <v>10</v>
      </c>
      <c r="C82" s="1" t="s">
        <v>222</v>
      </c>
      <c r="D82" s="1">
        <v>2</v>
      </c>
      <c r="E82" s="137" t="s">
        <v>1945</v>
      </c>
      <c r="F82" s="1">
        <v>4</v>
      </c>
      <c r="G82" s="137" t="s">
        <v>1946</v>
      </c>
      <c r="H82" s="1">
        <v>4</v>
      </c>
      <c r="I82" s="137" t="s">
        <v>1933</v>
      </c>
      <c r="J82" s="1">
        <v>4</v>
      </c>
      <c r="K82" s="143">
        <f t="shared" si="15"/>
        <v>24.142857142857142</v>
      </c>
      <c r="L82" s="1">
        <f t="shared" si="16"/>
        <v>48.285714285714285</v>
      </c>
      <c r="M82" s="143">
        <f t="shared" si="17"/>
        <v>2.1176470588235294</v>
      </c>
      <c r="N82" s="1">
        <f t="shared" si="28"/>
        <v>8.4705882352941178</v>
      </c>
      <c r="O82" s="182" t="e">
        <f t="shared" si="34"/>
        <v>#N/A</v>
      </c>
      <c r="P82" s="140" t="str">
        <f t="shared" si="30"/>
        <v/>
      </c>
      <c r="Q82" s="143">
        <f t="shared" si="21"/>
        <v>1.7</v>
      </c>
      <c r="R82" s="135">
        <f t="shared" si="31"/>
        <v>6.8</v>
      </c>
      <c r="S82" s="241">
        <f t="shared" si="35"/>
        <v>12</v>
      </c>
      <c r="T82" s="183">
        <f t="shared" si="33"/>
        <v>79.085714285714289</v>
      </c>
      <c r="U82" s="136">
        <f t="shared" si="36"/>
        <v>83.04</v>
      </c>
      <c r="V82" s="144">
        <f t="shared" si="25"/>
        <v>8.3040000000000003</v>
      </c>
      <c r="W82" s="144">
        <f t="shared" si="26"/>
        <v>1.4</v>
      </c>
      <c r="X82" s="177">
        <f t="shared" si="29"/>
        <v>9.6999999999999993</v>
      </c>
    </row>
    <row r="83" spans="1:24">
      <c r="A83" s="1" t="s">
        <v>1909</v>
      </c>
      <c r="B83" s="1">
        <v>10</v>
      </c>
      <c r="C83" s="1" t="s">
        <v>1009</v>
      </c>
      <c r="D83" s="1">
        <v>0.3</v>
      </c>
      <c r="E83" s="1" t="s">
        <v>319</v>
      </c>
      <c r="F83" s="1">
        <v>4</v>
      </c>
      <c r="G83" s="137" t="s">
        <v>1933</v>
      </c>
      <c r="H83" s="1">
        <v>4</v>
      </c>
      <c r="I83" s="1"/>
      <c r="J83" s="1"/>
      <c r="K83" s="143">
        <f t="shared" si="15"/>
        <v>61.428571428571431</v>
      </c>
      <c r="L83" s="1">
        <f t="shared" si="16"/>
        <v>18.428571428571427</v>
      </c>
      <c r="M83" s="143">
        <f t="shared" si="17"/>
        <v>3.5714285714285716</v>
      </c>
      <c r="N83" s="1">
        <f t="shared" si="28"/>
        <v>14.285714285714286</v>
      </c>
      <c r="O83" s="182">
        <f t="shared" si="34"/>
        <v>1.7</v>
      </c>
      <c r="P83" s="140">
        <f t="shared" si="30"/>
        <v>6.8</v>
      </c>
      <c r="Q83" s="143" t="str">
        <f t="shared" si="21"/>
        <v/>
      </c>
      <c r="R83" s="135" t="str">
        <f t="shared" si="31"/>
        <v/>
      </c>
      <c r="S83" s="241">
        <f t="shared" si="35"/>
        <v>12</v>
      </c>
      <c r="T83" s="183">
        <f t="shared" si="33"/>
        <v>45.728571428571428</v>
      </c>
      <c r="U83" s="183">
        <f t="shared" si="36"/>
        <v>48.015000000000001</v>
      </c>
      <c r="V83" s="144">
        <f t="shared" si="25"/>
        <v>4.8014999999999999</v>
      </c>
      <c r="W83" s="144">
        <f t="shared" si="26"/>
        <v>0.83000000000000007</v>
      </c>
      <c r="X83" s="177">
        <f t="shared" si="29"/>
        <v>5.6</v>
      </c>
    </row>
    <row r="84" spans="1:24">
      <c r="A84" s="1" t="s">
        <v>1910</v>
      </c>
      <c r="B84" s="1">
        <v>10</v>
      </c>
      <c r="C84" s="137" t="s">
        <v>1947</v>
      </c>
      <c r="D84" s="1">
        <v>2</v>
      </c>
      <c r="E84" s="137" t="s">
        <v>1948</v>
      </c>
      <c r="F84" s="1">
        <v>2</v>
      </c>
      <c r="G84" s="137" t="s">
        <v>1949</v>
      </c>
      <c r="H84" s="1">
        <v>1</v>
      </c>
      <c r="I84" s="137" t="s">
        <v>1950</v>
      </c>
      <c r="J84" s="1">
        <v>2</v>
      </c>
      <c r="K84" s="143">
        <f t="shared" si="15"/>
        <v>14.000000000000002</v>
      </c>
      <c r="L84" s="1">
        <f t="shared" si="16"/>
        <v>28.000000000000004</v>
      </c>
      <c r="M84" s="143">
        <f t="shared" si="17"/>
        <v>1.1176470588235294</v>
      </c>
      <c r="N84" s="1">
        <f t="shared" si="28"/>
        <v>2.2352941176470589</v>
      </c>
      <c r="O84" s="182">
        <f t="shared" si="34"/>
        <v>3.4117647058823528</v>
      </c>
      <c r="P84" s="140">
        <f t="shared" si="30"/>
        <v>3.4117647058823528</v>
      </c>
      <c r="Q84" s="143">
        <f t="shared" si="21"/>
        <v>0.94117647058823539</v>
      </c>
      <c r="R84" s="135">
        <f t="shared" si="31"/>
        <v>1.8823529411764708</v>
      </c>
      <c r="S84" s="241">
        <f>B84*1.9</f>
        <v>19</v>
      </c>
      <c r="T84" s="183">
        <f t="shared" si="33"/>
        <v>54.176470588235297</v>
      </c>
      <c r="U84" s="183">
        <f t="shared" si="36"/>
        <v>56.885294117647064</v>
      </c>
      <c r="V84" s="144">
        <f t="shared" si="25"/>
        <v>5.6885294117647067</v>
      </c>
      <c r="W84" s="144">
        <f t="shared" si="26"/>
        <v>0.7</v>
      </c>
      <c r="X84" s="177">
        <f t="shared" si="29"/>
        <v>6.6</v>
      </c>
    </row>
    <row r="85" spans="1:24">
      <c r="A85" s="1" t="s">
        <v>1911</v>
      </c>
      <c r="B85" s="1">
        <v>10</v>
      </c>
      <c r="C85" s="137" t="s">
        <v>1951</v>
      </c>
      <c r="D85" s="1">
        <v>6</v>
      </c>
      <c r="E85" s="137" t="s">
        <v>1952</v>
      </c>
      <c r="F85" s="1">
        <v>4</v>
      </c>
      <c r="G85" s="137" t="s">
        <v>1936</v>
      </c>
      <c r="H85" s="1">
        <v>1</v>
      </c>
      <c r="I85" s="137" t="s">
        <v>1953</v>
      </c>
      <c r="J85" s="1">
        <v>3</v>
      </c>
      <c r="K85" s="143">
        <f t="shared" si="15"/>
        <v>10.714285714285715</v>
      </c>
      <c r="L85" s="1">
        <f t="shared" si="16"/>
        <v>64.285714285714292</v>
      </c>
      <c r="M85" s="143">
        <f t="shared" si="17"/>
        <v>2.27</v>
      </c>
      <c r="N85" s="1">
        <f t="shared" si="28"/>
        <v>9.08</v>
      </c>
      <c r="O85" s="182">
        <f t="shared" si="34"/>
        <v>2.1176470588235294</v>
      </c>
      <c r="P85" s="140">
        <f t="shared" si="30"/>
        <v>2.1176470588235294</v>
      </c>
      <c r="Q85" s="143">
        <f t="shared" si="21"/>
        <v>2.2941176470588234</v>
      </c>
      <c r="R85" s="135">
        <f t="shared" si="31"/>
        <v>6.8823529411764701</v>
      </c>
      <c r="S85" s="241">
        <f t="shared" si="35"/>
        <v>12</v>
      </c>
      <c r="T85" s="183">
        <f t="shared" si="33"/>
        <v>93.785714285714292</v>
      </c>
      <c r="U85" s="183">
        <f t="shared" si="36"/>
        <v>98.475000000000009</v>
      </c>
      <c r="V85" s="144">
        <f t="shared" si="25"/>
        <v>9.8475000000000001</v>
      </c>
      <c r="W85" s="144">
        <f t="shared" si="26"/>
        <v>1.4000000000000001</v>
      </c>
      <c r="X85" s="177">
        <f t="shared" si="29"/>
        <v>11.5</v>
      </c>
    </row>
    <row r="86" spans="1:24">
      <c r="A86" s="1" t="s">
        <v>1912</v>
      </c>
      <c r="B86" s="1">
        <v>10</v>
      </c>
      <c r="C86" s="137" t="s">
        <v>1940</v>
      </c>
      <c r="D86" s="1">
        <v>3</v>
      </c>
      <c r="E86" s="137" t="s">
        <v>1932</v>
      </c>
      <c r="F86" s="1">
        <v>3</v>
      </c>
      <c r="G86" s="137" t="s">
        <v>1933</v>
      </c>
      <c r="H86" s="1">
        <v>5</v>
      </c>
      <c r="I86" s="1"/>
      <c r="J86" s="1"/>
      <c r="K86" s="143">
        <f t="shared" si="15"/>
        <v>0.94117647058823539</v>
      </c>
      <c r="L86" s="1">
        <f t="shared" si="16"/>
        <v>2.8235294117647061</v>
      </c>
      <c r="M86" s="143">
        <f t="shared" si="17"/>
        <v>3.5714285714285716</v>
      </c>
      <c r="N86" s="1">
        <f t="shared" si="28"/>
        <v>10.714285714285715</v>
      </c>
      <c r="O86" s="182">
        <f t="shared" si="34"/>
        <v>1.7</v>
      </c>
      <c r="P86" s="140">
        <f t="shared" si="30"/>
        <v>8.5</v>
      </c>
      <c r="Q86" s="143" t="str">
        <f t="shared" si="21"/>
        <v/>
      </c>
      <c r="R86" s="182" t="str">
        <f t="shared" si="31"/>
        <v/>
      </c>
      <c r="S86" s="241">
        <f>B86*2</f>
        <v>20</v>
      </c>
      <c r="T86" s="183">
        <f t="shared" si="33"/>
        <v>39.82352941176471</v>
      </c>
      <c r="U86" s="183">
        <f t="shared" si="36"/>
        <v>41.814705882352946</v>
      </c>
      <c r="V86" s="144">
        <f t="shared" si="25"/>
        <v>4.1814705882352943</v>
      </c>
      <c r="W86" s="144">
        <f t="shared" si="26"/>
        <v>1.1000000000000001</v>
      </c>
      <c r="X86" s="181">
        <f t="shared" si="29"/>
        <v>4.8999999999999995</v>
      </c>
    </row>
    <row r="87" spans="1:24">
      <c r="A87" s="1" t="s">
        <v>1913</v>
      </c>
      <c r="B87" s="1">
        <v>10</v>
      </c>
      <c r="C87" s="137" t="s">
        <v>1939</v>
      </c>
      <c r="D87" s="1">
        <v>4</v>
      </c>
      <c r="E87" s="137" t="s">
        <v>1932</v>
      </c>
      <c r="F87" s="1">
        <v>2</v>
      </c>
      <c r="G87" s="137" t="s">
        <v>1933</v>
      </c>
      <c r="H87" s="1">
        <v>5</v>
      </c>
      <c r="I87" s="137" t="s">
        <v>1940</v>
      </c>
      <c r="J87" s="1">
        <v>1</v>
      </c>
      <c r="K87" s="143">
        <f t="shared" si="15"/>
        <v>1.6470588235294117</v>
      </c>
      <c r="L87" s="1">
        <f t="shared" si="16"/>
        <v>6.5882352941176467</v>
      </c>
      <c r="M87" s="143">
        <f t="shared" si="17"/>
        <v>3.5714285714285716</v>
      </c>
      <c r="N87" s="1">
        <f t="shared" si="28"/>
        <v>7.1428571428571432</v>
      </c>
      <c r="O87" s="182">
        <f t="shared" si="34"/>
        <v>1.7</v>
      </c>
      <c r="P87" s="140">
        <f t="shared" si="30"/>
        <v>8.5</v>
      </c>
      <c r="Q87" s="143">
        <f t="shared" si="21"/>
        <v>0.94117647058823539</v>
      </c>
      <c r="R87" s="182">
        <f t="shared" si="31"/>
        <v>0.94117647058823539</v>
      </c>
      <c r="S87" s="241">
        <f t="shared" si="35"/>
        <v>12</v>
      </c>
      <c r="T87" s="183">
        <f t="shared" si="33"/>
        <v>36.529411764705884</v>
      </c>
      <c r="U87" s="183">
        <f t="shared" si="36"/>
        <v>38.35588235294118</v>
      </c>
      <c r="V87" s="144">
        <f t="shared" si="25"/>
        <v>3.835588235294118</v>
      </c>
      <c r="W87" s="144">
        <f t="shared" si="26"/>
        <v>1.2000000000000002</v>
      </c>
      <c r="X87" s="181">
        <f t="shared" si="29"/>
        <v>4.5</v>
      </c>
    </row>
    <row r="88" spans="1:24">
      <c r="A88" s="1" t="s">
        <v>1914</v>
      </c>
      <c r="B88" s="1">
        <v>10</v>
      </c>
      <c r="C88" s="137" t="s">
        <v>1954</v>
      </c>
      <c r="D88" s="1">
        <v>2</v>
      </c>
      <c r="E88" s="137" t="s">
        <v>1955</v>
      </c>
      <c r="F88" s="1">
        <v>2</v>
      </c>
      <c r="G88" s="137" t="s">
        <v>1937</v>
      </c>
      <c r="H88" s="1">
        <v>0.5</v>
      </c>
      <c r="I88" s="137" t="s">
        <v>1956</v>
      </c>
      <c r="J88" s="1">
        <v>0.5</v>
      </c>
      <c r="K88" s="143">
        <f t="shared" si="15"/>
        <v>34.714285714285715</v>
      </c>
      <c r="L88" s="1">
        <f t="shared" si="16"/>
        <v>69.428571428571431</v>
      </c>
      <c r="M88" s="143">
        <f t="shared" si="17"/>
        <v>10.571428571428573</v>
      </c>
      <c r="N88" s="1">
        <f t="shared" si="28"/>
        <v>21.142857142857146</v>
      </c>
      <c r="O88" s="182">
        <f t="shared" si="34"/>
        <v>2.1176470588235294</v>
      </c>
      <c r="P88" s="140">
        <f t="shared" si="30"/>
        <v>1.0588235294117647</v>
      </c>
      <c r="Q88" s="143">
        <f t="shared" si="21"/>
        <v>2.2352941176470589</v>
      </c>
      <c r="R88" s="182">
        <f t="shared" si="31"/>
        <v>1.1176470588235294</v>
      </c>
      <c r="S88" s="241">
        <f t="shared" si="35"/>
        <v>12</v>
      </c>
      <c r="T88" s="183">
        <f t="shared" si="33"/>
        <v>91.252100840336141</v>
      </c>
      <c r="U88" s="183">
        <f t="shared" si="36"/>
        <v>95.814705882352953</v>
      </c>
      <c r="V88" s="144">
        <f t="shared" si="25"/>
        <v>9.5814705882352946</v>
      </c>
      <c r="W88" s="144">
        <f t="shared" si="26"/>
        <v>0.5</v>
      </c>
      <c r="X88" s="181">
        <f t="shared" si="29"/>
        <v>11.2</v>
      </c>
    </row>
    <row r="89" spans="1:24">
      <c r="A89" s="1" t="s">
        <v>1915</v>
      </c>
      <c r="B89" s="1">
        <v>10</v>
      </c>
      <c r="C89" s="137" t="s">
        <v>1957</v>
      </c>
      <c r="D89" s="1">
        <v>2</v>
      </c>
      <c r="E89" s="137" t="s">
        <v>1958</v>
      </c>
      <c r="F89" s="1">
        <v>3</v>
      </c>
      <c r="G89" s="137" t="s">
        <v>1959</v>
      </c>
      <c r="H89" s="1">
        <v>4</v>
      </c>
      <c r="I89" s="1"/>
      <c r="J89" s="1"/>
      <c r="K89" s="143">
        <f t="shared" si="15"/>
        <v>13.857142857142858</v>
      </c>
      <c r="L89" s="1">
        <f t="shared" si="16"/>
        <v>27.714285714285715</v>
      </c>
      <c r="M89" s="143">
        <f t="shared" si="17"/>
        <v>0.88235294117647056</v>
      </c>
      <c r="N89" s="1">
        <f t="shared" si="28"/>
        <v>2.6470588235294117</v>
      </c>
      <c r="O89" s="182">
        <f t="shared" si="34"/>
        <v>2.5</v>
      </c>
      <c r="P89" s="1">
        <f t="shared" si="30"/>
        <v>10</v>
      </c>
      <c r="Q89" s="143" t="str">
        <f t="shared" si="21"/>
        <v/>
      </c>
      <c r="R89" s="182" t="str">
        <f t="shared" si="31"/>
        <v/>
      </c>
      <c r="S89" s="241">
        <f t="shared" si="35"/>
        <v>12</v>
      </c>
      <c r="T89" s="183">
        <f t="shared" si="33"/>
        <v>57.361344537815128</v>
      </c>
      <c r="U89" s="183">
        <f t="shared" si="36"/>
        <v>60.229411764705887</v>
      </c>
      <c r="V89" s="144">
        <f t="shared" si="25"/>
        <v>6.0229411764705887</v>
      </c>
      <c r="W89" s="144">
        <f t="shared" si="26"/>
        <v>0.9</v>
      </c>
      <c r="X89" s="181">
        <f t="shared" si="29"/>
        <v>7</v>
      </c>
    </row>
    <row r="90" spans="1:24">
      <c r="A90" s="26" t="s">
        <v>1916</v>
      </c>
      <c r="B90" s="26">
        <v>10</v>
      </c>
      <c r="C90" s="26" t="s">
        <v>1960</v>
      </c>
      <c r="D90" s="26">
        <v>6</v>
      </c>
      <c r="E90" s="26" t="s">
        <v>2536</v>
      </c>
      <c r="F90" s="26">
        <v>3</v>
      </c>
      <c r="G90" s="26" t="s">
        <v>1961</v>
      </c>
      <c r="H90" s="26">
        <v>1</v>
      </c>
      <c r="I90" s="26" t="s">
        <v>1962</v>
      </c>
      <c r="J90" s="26">
        <v>1</v>
      </c>
      <c r="K90" s="143">
        <f t="shared" si="15"/>
        <v>7.2857142857142856</v>
      </c>
      <c r="L90" s="44">
        <f t="shared" ref="L90:L132" si="37">IFERROR(D90*K90,"")</f>
        <v>43.714285714285715</v>
      </c>
      <c r="M90" s="143" t="e">
        <f t="shared" si="17"/>
        <v>#N/A</v>
      </c>
      <c r="N90" s="44" t="str">
        <f t="shared" ref="N90:N132" si="38">IFERROR(F90*M90,"")</f>
        <v/>
      </c>
      <c r="O90" s="182">
        <f t="shared" si="34"/>
        <v>1.6470588235294117</v>
      </c>
      <c r="P90" s="44">
        <f t="shared" ref="P90:P133" si="39">IFERROR(H90*O90,"")</f>
        <v>1.6470588235294117</v>
      </c>
      <c r="Q90" s="143">
        <f t="shared" si="21"/>
        <v>8.3529411764705888</v>
      </c>
      <c r="R90" s="182">
        <f t="shared" si="31"/>
        <v>8.3529411764705888</v>
      </c>
      <c r="S90" s="241">
        <f t="shared" si="35"/>
        <v>12</v>
      </c>
      <c r="T90" s="183">
        <f t="shared" si="33"/>
        <v>75.455462184873952</v>
      </c>
      <c r="U90" s="183">
        <f t="shared" si="36"/>
        <v>79.228235294117653</v>
      </c>
      <c r="V90" s="144">
        <f t="shared" si="25"/>
        <v>7.9228235294117653</v>
      </c>
      <c r="W90" s="144">
        <f t="shared" si="26"/>
        <v>1.0999999999999999</v>
      </c>
      <c r="X90" s="62">
        <f t="shared" ref="X90:X132" si="40">ROUNDUP(V90*(1+小吃毛利),1)</f>
        <v>9.1999999999999993</v>
      </c>
    </row>
    <row r="91" spans="1:24">
      <c r="A91" s="26" t="s">
        <v>1917</v>
      </c>
      <c r="B91" s="26">
        <v>10</v>
      </c>
      <c r="C91" s="27" t="s">
        <v>1963</v>
      </c>
      <c r="D91" s="27">
        <v>2</v>
      </c>
      <c r="E91" s="27" t="s">
        <v>1964</v>
      </c>
      <c r="F91" s="27">
        <v>1</v>
      </c>
      <c r="G91" s="27" t="s">
        <v>1965</v>
      </c>
      <c r="H91" s="27">
        <v>1</v>
      </c>
      <c r="I91" s="27" t="s">
        <v>1933</v>
      </c>
      <c r="J91" s="27">
        <v>5</v>
      </c>
      <c r="K91" s="143">
        <f t="shared" si="15"/>
        <v>2.7142857142857144</v>
      </c>
      <c r="L91" s="44">
        <f t="shared" si="37"/>
        <v>5.4285714285714288</v>
      </c>
      <c r="M91" s="143">
        <f t="shared" si="17"/>
        <v>2.5882352941176472</v>
      </c>
      <c r="N91" s="44">
        <f t="shared" si="38"/>
        <v>2.5882352941176472</v>
      </c>
      <c r="O91" s="44">
        <f t="shared" ref="O91:O131" si="41">IF(G91="","",VLOOKUP(G91,成本单价,8,0))</f>
        <v>6.4285714285714288</v>
      </c>
      <c r="P91" s="44">
        <f t="shared" si="39"/>
        <v>6.4285714285714288</v>
      </c>
      <c r="Q91" s="143">
        <f t="shared" si="21"/>
        <v>1.7</v>
      </c>
      <c r="R91" s="135">
        <f t="shared" si="31"/>
        <v>8.5</v>
      </c>
      <c r="S91" s="241">
        <f>B91*2</f>
        <v>20</v>
      </c>
      <c r="T91" s="183">
        <f t="shared" si="33"/>
        <v>51.071428571428577</v>
      </c>
      <c r="U91" s="183">
        <f t="shared" si="36"/>
        <v>53.625000000000007</v>
      </c>
      <c r="V91" s="144">
        <f t="shared" si="25"/>
        <v>5.3625000000000007</v>
      </c>
      <c r="W91" s="36">
        <f t="shared" ref="W91:W131" si="42">D91/B91+F91/B91+H91/B91+J91/B91</f>
        <v>0.9</v>
      </c>
      <c r="X91" s="62">
        <f t="shared" si="40"/>
        <v>6.3</v>
      </c>
    </row>
    <row r="92" spans="1:24">
      <c r="A92" s="26" t="s">
        <v>1918</v>
      </c>
      <c r="B92" s="26">
        <v>10</v>
      </c>
      <c r="C92" s="32" t="s">
        <v>1966</v>
      </c>
      <c r="D92" s="26">
        <v>2</v>
      </c>
      <c r="E92" s="26" t="s">
        <v>1933</v>
      </c>
      <c r="F92" s="26">
        <v>5</v>
      </c>
      <c r="G92" s="26" t="s">
        <v>1940</v>
      </c>
      <c r="H92" s="26">
        <v>1</v>
      </c>
      <c r="I92" s="26"/>
      <c r="J92" s="26"/>
      <c r="K92" s="143">
        <f t="shared" si="15"/>
        <v>13.857142857142858</v>
      </c>
      <c r="L92" s="44">
        <f t="shared" si="37"/>
        <v>27.714285714285715</v>
      </c>
      <c r="M92" s="143">
        <f t="shared" si="17"/>
        <v>1.7</v>
      </c>
      <c r="N92" s="44">
        <f t="shared" si="38"/>
        <v>8.5</v>
      </c>
      <c r="O92" s="44">
        <f t="shared" si="41"/>
        <v>0.94117647058823539</v>
      </c>
      <c r="P92" s="44">
        <f t="shared" si="39"/>
        <v>0.94117647058823539</v>
      </c>
      <c r="Q92" s="143" t="str">
        <f t="shared" si="21"/>
        <v/>
      </c>
      <c r="R92" s="135" t="str">
        <f t="shared" si="31"/>
        <v/>
      </c>
      <c r="S92" s="241">
        <f>B92*1</f>
        <v>10</v>
      </c>
      <c r="T92" s="183">
        <f t="shared" si="33"/>
        <v>46.890756302521005</v>
      </c>
      <c r="U92" s="183">
        <f t="shared" si="36"/>
        <v>49.235294117647058</v>
      </c>
      <c r="V92" s="144">
        <f t="shared" si="25"/>
        <v>4.9235294117647062</v>
      </c>
      <c r="W92" s="42">
        <f t="shared" si="42"/>
        <v>0.79999999999999993</v>
      </c>
      <c r="X92" s="62">
        <f t="shared" si="40"/>
        <v>5.8</v>
      </c>
    </row>
    <row r="93" spans="1:24">
      <c r="A93" s="26" t="s">
        <v>1919</v>
      </c>
      <c r="B93" s="26">
        <v>10</v>
      </c>
      <c r="C93" s="32" t="s">
        <v>426</v>
      </c>
      <c r="D93" s="26">
        <v>5</v>
      </c>
      <c r="E93" s="26" t="s">
        <v>319</v>
      </c>
      <c r="F93" s="26">
        <v>3</v>
      </c>
      <c r="G93" s="26" t="s">
        <v>1940</v>
      </c>
      <c r="H93" s="26">
        <v>2</v>
      </c>
      <c r="I93" s="26"/>
      <c r="J93" s="26"/>
      <c r="K93" s="143">
        <f t="shared" si="15"/>
        <v>5.7142857142857144</v>
      </c>
      <c r="L93" s="44">
        <f t="shared" si="37"/>
        <v>28.571428571428573</v>
      </c>
      <c r="M93" s="143">
        <f t="shared" si="17"/>
        <v>3.5714285714285716</v>
      </c>
      <c r="N93" s="44">
        <f t="shared" si="38"/>
        <v>10.714285714285715</v>
      </c>
      <c r="O93" s="44">
        <f t="shared" si="41"/>
        <v>0.94117647058823539</v>
      </c>
      <c r="P93" s="44">
        <f t="shared" si="39"/>
        <v>1.8823529411764708</v>
      </c>
      <c r="Q93" s="143" t="str">
        <f t="shared" si="21"/>
        <v/>
      </c>
      <c r="R93" s="135" t="str">
        <f t="shared" si="31"/>
        <v/>
      </c>
      <c r="S93" s="241">
        <f t="shared" si="35"/>
        <v>12</v>
      </c>
      <c r="T93" s="183">
        <f t="shared" si="33"/>
        <v>98.453781512605048</v>
      </c>
      <c r="U93" s="183">
        <f t="shared" si="36"/>
        <v>103.37647058823531</v>
      </c>
      <c r="V93" s="144">
        <f t="shared" si="25"/>
        <v>10.337647058823531</v>
      </c>
      <c r="W93" s="42">
        <f t="shared" si="42"/>
        <v>1</v>
      </c>
      <c r="X93" s="62">
        <f t="shared" si="40"/>
        <v>12</v>
      </c>
    </row>
    <row r="94" spans="1:24">
      <c r="A94" s="26" t="s">
        <v>1920</v>
      </c>
      <c r="B94" s="26">
        <v>10</v>
      </c>
      <c r="C94" s="32" t="s">
        <v>1967</v>
      </c>
      <c r="D94" s="26">
        <v>3</v>
      </c>
      <c r="E94" s="26" t="s">
        <v>1933</v>
      </c>
      <c r="F94" s="26">
        <v>4</v>
      </c>
      <c r="G94" s="26" t="s">
        <v>1940</v>
      </c>
      <c r="H94" s="26">
        <v>1</v>
      </c>
      <c r="I94" s="26"/>
      <c r="J94" s="26"/>
      <c r="K94" s="143">
        <f t="shared" si="15"/>
        <v>14.000000000000002</v>
      </c>
      <c r="L94" s="44">
        <f t="shared" si="37"/>
        <v>42.000000000000007</v>
      </c>
      <c r="M94" s="143">
        <f t="shared" si="17"/>
        <v>1.7</v>
      </c>
      <c r="N94" s="44">
        <f t="shared" si="38"/>
        <v>6.8</v>
      </c>
      <c r="O94" s="44">
        <f t="shared" si="41"/>
        <v>0.94117647058823539</v>
      </c>
      <c r="P94" s="44">
        <f t="shared" si="39"/>
        <v>0.94117647058823539</v>
      </c>
      <c r="Q94" s="143" t="str">
        <f t="shared" si="21"/>
        <v/>
      </c>
      <c r="R94" s="135" t="str">
        <f t="shared" si="31"/>
        <v/>
      </c>
      <c r="S94" s="241">
        <f t="shared" si="35"/>
        <v>12</v>
      </c>
      <c r="T94" s="183">
        <f t="shared" si="33"/>
        <v>72.941176470588232</v>
      </c>
      <c r="U94" s="183">
        <f t="shared" si="36"/>
        <v>76.588235294117652</v>
      </c>
      <c r="V94" s="144">
        <f t="shared" si="25"/>
        <v>7.658823529411765</v>
      </c>
      <c r="W94" s="42">
        <f t="shared" si="42"/>
        <v>0.79999999999999993</v>
      </c>
      <c r="X94" s="62">
        <f t="shared" si="40"/>
        <v>8.9</v>
      </c>
    </row>
    <row r="95" spans="1:24" ht="15">
      <c r="A95" s="26" t="s">
        <v>1921</v>
      </c>
      <c r="B95" s="26">
        <v>10</v>
      </c>
      <c r="C95" s="26" t="s">
        <v>1961</v>
      </c>
      <c r="D95" s="26">
        <v>4</v>
      </c>
      <c r="E95" s="30" t="s">
        <v>319</v>
      </c>
      <c r="F95" s="26">
        <v>3</v>
      </c>
      <c r="G95" s="26" t="s">
        <v>1933</v>
      </c>
      <c r="H95" s="26">
        <v>5</v>
      </c>
      <c r="I95" s="26"/>
      <c r="J95" s="26"/>
      <c r="K95" s="143">
        <f t="shared" si="15"/>
        <v>1.6470588235294117</v>
      </c>
      <c r="L95" s="44">
        <f t="shared" si="37"/>
        <v>6.5882352941176467</v>
      </c>
      <c r="M95" s="143">
        <f t="shared" si="17"/>
        <v>3.5714285714285716</v>
      </c>
      <c r="N95" s="44">
        <f t="shared" si="38"/>
        <v>10.714285714285715</v>
      </c>
      <c r="O95" s="44">
        <f t="shared" si="41"/>
        <v>1.7</v>
      </c>
      <c r="P95" s="44">
        <f t="shared" si="39"/>
        <v>8.5</v>
      </c>
      <c r="Q95" s="143" t="str">
        <f t="shared" si="21"/>
        <v/>
      </c>
      <c r="R95" s="135" t="str">
        <f t="shared" si="31"/>
        <v/>
      </c>
      <c r="S95" s="241">
        <f t="shared" si="35"/>
        <v>12</v>
      </c>
      <c r="T95" s="183">
        <f t="shared" si="33"/>
        <v>34.735294117647058</v>
      </c>
      <c r="U95" s="183">
        <f t="shared" si="36"/>
        <v>36.472058823529416</v>
      </c>
      <c r="V95" s="144">
        <f t="shared" si="25"/>
        <v>3.6472058823529414</v>
      </c>
      <c r="W95" s="42">
        <f t="shared" si="42"/>
        <v>1.2</v>
      </c>
      <c r="X95" s="62">
        <f t="shared" si="40"/>
        <v>4.3</v>
      </c>
    </row>
    <row r="96" spans="1:24">
      <c r="A96" s="26" t="s">
        <v>1922</v>
      </c>
      <c r="B96" s="26">
        <v>10</v>
      </c>
      <c r="C96" s="26" t="s">
        <v>237</v>
      </c>
      <c r="D96" s="26">
        <v>5</v>
      </c>
      <c r="E96" s="26" t="s">
        <v>1968</v>
      </c>
      <c r="F96" s="26">
        <v>1</v>
      </c>
      <c r="G96" s="26" t="s">
        <v>1937</v>
      </c>
      <c r="H96" s="26">
        <v>1</v>
      </c>
      <c r="I96" s="26"/>
      <c r="J96" s="26"/>
      <c r="K96" s="143">
        <f t="shared" si="15"/>
        <v>19.857142857142858</v>
      </c>
      <c r="L96" s="44">
        <f t="shared" si="37"/>
        <v>99.285714285714292</v>
      </c>
      <c r="M96" s="143">
        <f t="shared" si="17"/>
        <v>2.1176470588235294</v>
      </c>
      <c r="N96" s="44">
        <f t="shared" si="38"/>
        <v>2.1176470588235294</v>
      </c>
      <c r="O96" s="44">
        <f t="shared" si="41"/>
        <v>2.1176470588235294</v>
      </c>
      <c r="P96" s="44">
        <f t="shared" si="39"/>
        <v>2.1176470588235294</v>
      </c>
      <c r="Q96" s="143" t="str">
        <f t="shared" si="21"/>
        <v/>
      </c>
      <c r="R96" s="135" t="str">
        <f t="shared" si="31"/>
        <v/>
      </c>
      <c r="S96" s="242">
        <f t="shared" ref="S96:S132" si="43">B96*0.2</f>
        <v>2</v>
      </c>
      <c r="T96" s="183">
        <f t="shared" si="33"/>
        <v>119.18907563025212</v>
      </c>
      <c r="U96" s="183">
        <f t="shared" si="36"/>
        <v>125.14852941176473</v>
      </c>
      <c r="V96" s="144">
        <f t="shared" si="25"/>
        <v>12.514852941176473</v>
      </c>
      <c r="W96" s="42">
        <f t="shared" si="42"/>
        <v>0.7</v>
      </c>
      <c r="X96" s="62">
        <f t="shared" si="40"/>
        <v>14.6</v>
      </c>
    </row>
    <row r="97" spans="1:24">
      <c r="A97" s="26" t="s">
        <v>1923</v>
      </c>
      <c r="B97" s="26">
        <v>10</v>
      </c>
      <c r="C97" s="26" t="s">
        <v>1969</v>
      </c>
      <c r="D97" s="26">
        <v>4</v>
      </c>
      <c r="E97" s="26" t="s">
        <v>1970</v>
      </c>
      <c r="F97" s="26">
        <v>2</v>
      </c>
      <c r="G97" s="26" t="s">
        <v>1952</v>
      </c>
      <c r="H97" s="26">
        <v>4</v>
      </c>
      <c r="I97" s="26" t="s">
        <v>1971</v>
      </c>
      <c r="J97" s="26">
        <v>1</v>
      </c>
      <c r="K97" s="143">
        <f t="shared" si="15"/>
        <v>15.714285714285715</v>
      </c>
      <c r="L97" s="44">
        <f t="shared" si="37"/>
        <v>62.857142857142861</v>
      </c>
      <c r="M97" s="143">
        <f t="shared" si="17"/>
        <v>6</v>
      </c>
      <c r="N97" s="44">
        <f t="shared" si="38"/>
        <v>12</v>
      </c>
      <c r="O97" s="44">
        <f t="shared" si="41"/>
        <v>2.27</v>
      </c>
      <c r="P97" s="44">
        <f t="shared" si="39"/>
        <v>9.08</v>
      </c>
      <c r="Q97" s="143">
        <f t="shared" si="21"/>
        <v>2.2941176470588234</v>
      </c>
      <c r="R97" s="135">
        <f t="shared" si="31"/>
        <v>2.2941176470588234</v>
      </c>
      <c r="S97" s="242">
        <f t="shared" si="43"/>
        <v>2</v>
      </c>
      <c r="T97" s="42">
        <f t="shared" ref="T97:T132" si="44">IFERROR(SUM(L97,N97,P97,R97,S97),"")</f>
        <v>88.231260504201686</v>
      </c>
      <c r="U97" s="183">
        <f t="shared" si="36"/>
        <v>92.642823529411771</v>
      </c>
      <c r="V97" s="42">
        <f t="shared" ref="V97:V131" si="45">U97/B97</f>
        <v>9.2642823529411764</v>
      </c>
      <c r="W97" s="42">
        <f t="shared" si="42"/>
        <v>1.1000000000000001</v>
      </c>
      <c r="X97" s="62">
        <f t="shared" si="40"/>
        <v>10.799999999999999</v>
      </c>
    </row>
    <row r="98" spans="1:24">
      <c r="A98" s="26" t="s">
        <v>1924</v>
      </c>
      <c r="B98" s="26">
        <v>10</v>
      </c>
      <c r="C98" s="26" t="s">
        <v>1972</v>
      </c>
      <c r="D98" s="26">
        <v>4</v>
      </c>
      <c r="E98" s="26" t="s">
        <v>1933</v>
      </c>
      <c r="F98" s="26">
        <v>5</v>
      </c>
      <c r="G98" s="26" t="s">
        <v>1973</v>
      </c>
      <c r="H98" s="26">
        <v>1.5</v>
      </c>
      <c r="I98" s="26" t="s">
        <v>1940</v>
      </c>
      <c r="J98" s="26">
        <v>1</v>
      </c>
      <c r="K98" s="143">
        <f t="shared" si="15"/>
        <v>2.882352941176471</v>
      </c>
      <c r="L98" s="44">
        <f t="shared" si="37"/>
        <v>11.529411764705884</v>
      </c>
      <c r="M98" s="143">
        <f t="shared" si="17"/>
        <v>1.7</v>
      </c>
      <c r="N98" s="44">
        <f t="shared" si="38"/>
        <v>8.5</v>
      </c>
      <c r="O98" s="44">
        <f t="shared" si="41"/>
        <v>14.000000000000002</v>
      </c>
      <c r="P98" s="44">
        <f t="shared" si="39"/>
        <v>21.000000000000004</v>
      </c>
      <c r="Q98" s="143">
        <f t="shared" si="21"/>
        <v>0.94117647058823539</v>
      </c>
      <c r="R98" s="135">
        <f t="shared" si="31"/>
        <v>0.94117647058823539</v>
      </c>
      <c r="S98" s="242">
        <f t="shared" si="43"/>
        <v>2</v>
      </c>
      <c r="T98" s="42">
        <f t="shared" si="44"/>
        <v>43.970588235294116</v>
      </c>
      <c r="U98" s="183">
        <f t="shared" si="36"/>
        <v>46.169117647058826</v>
      </c>
      <c r="V98" s="42">
        <f t="shared" si="45"/>
        <v>4.6169117647058826</v>
      </c>
      <c r="W98" s="42">
        <f t="shared" si="42"/>
        <v>1.1500000000000001</v>
      </c>
      <c r="X98" s="62">
        <f t="shared" si="40"/>
        <v>5.3999999999999995</v>
      </c>
    </row>
    <row r="99" spans="1:24" ht="28.5">
      <c r="A99" s="26" t="s">
        <v>1925</v>
      </c>
      <c r="B99" s="26">
        <v>10</v>
      </c>
      <c r="C99" s="26" t="s">
        <v>339</v>
      </c>
      <c r="D99" s="26">
        <v>10</v>
      </c>
      <c r="E99" s="26" t="s">
        <v>1940</v>
      </c>
      <c r="F99" s="26">
        <v>2</v>
      </c>
      <c r="G99" s="26" t="s">
        <v>1292</v>
      </c>
      <c r="H99" s="26">
        <v>5</v>
      </c>
      <c r="I99" s="26"/>
      <c r="J99" s="26"/>
      <c r="K99" s="143">
        <f t="shared" si="15"/>
        <v>2.1333333333333333</v>
      </c>
      <c r="L99" s="44">
        <f t="shared" si="37"/>
        <v>21.333333333333332</v>
      </c>
      <c r="M99" s="143">
        <f t="shared" si="17"/>
        <v>0.94117647058823539</v>
      </c>
      <c r="N99" s="44">
        <f t="shared" si="38"/>
        <v>1.8823529411764708</v>
      </c>
      <c r="O99" s="44">
        <f t="shared" si="41"/>
        <v>2.8571428571428572</v>
      </c>
      <c r="P99" s="44">
        <f t="shared" si="39"/>
        <v>14.285714285714286</v>
      </c>
      <c r="Q99" s="143" t="str">
        <f t="shared" si="21"/>
        <v/>
      </c>
      <c r="R99" s="135" t="str">
        <f t="shared" si="31"/>
        <v/>
      </c>
      <c r="S99" s="242">
        <f t="shared" si="43"/>
        <v>2</v>
      </c>
      <c r="T99" s="42">
        <f t="shared" si="44"/>
        <v>39.501400560224091</v>
      </c>
      <c r="U99" s="183">
        <f t="shared" si="36"/>
        <v>41.476470588235294</v>
      </c>
      <c r="V99" s="42">
        <f t="shared" si="45"/>
        <v>4.1476470588235292</v>
      </c>
      <c r="W99" s="42">
        <f t="shared" si="42"/>
        <v>1.7</v>
      </c>
      <c r="X99" s="62">
        <f t="shared" si="40"/>
        <v>4.8999999999999995</v>
      </c>
    </row>
    <row r="100" spans="1:24">
      <c r="A100" s="26" t="s">
        <v>1926</v>
      </c>
      <c r="B100" s="26">
        <v>10</v>
      </c>
      <c r="C100" s="27" t="s">
        <v>1934</v>
      </c>
      <c r="D100" s="27">
        <v>2</v>
      </c>
      <c r="E100" s="27" t="s">
        <v>1933</v>
      </c>
      <c r="F100" s="27">
        <v>5</v>
      </c>
      <c r="G100" s="27" t="s">
        <v>1964</v>
      </c>
      <c r="H100" s="27">
        <v>3</v>
      </c>
      <c r="I100" s="27" t="s">
        <v>1937</v>
      </c>
      <c r="J100" s="27">
        <v>2</v>
      </c>
      <c r="K100" s="143">
        <f t="shared" si="15"/>
        <v>13</v>
      </c>
      <c r="L100" s="44">
        <f t="shared" si="37"/>
        <v>26</v>
      </c>
      <c r="M100" s="143">
        <f t="shared" si="17"/>
        <v>1.7</v>
      </c>
      <c r="N100" s="44">
        <f t="shared" si="38"/>
        <v>8.5</v>
      </c>
      <c r="O100" s="44">
        <f t="shared" si="41"/>
        <v>2.5882352941176472</v>
      </c>
      <c r="P100" s="44">
        <f t="shared" si="39"/>
        <v>7.764705882352942</v>
      </c>
      <c r="Q100" s="143">
        <f t="shared" si="21"/>
        <v>2.1176470588235294</v>
      </c>
      <c r="R100" s="135">
        <f t="shared" si="31"/>
        <v>4.2352941176470589</v>
      </c>
      <c r="S100" s="242">
        <f t="shared" si="43"/>
        <v>2</v>
      </c>
      <c r="T100" s="42">
        <f t="shared" si="44"/>
        <v>48.5</v>
      </c>
      <c r="U100" s="42">
        <f t="shared" ref="U100:U131" si="46">T100*(1+物料比)</f>
        <v>50.925000000000004</v>
      </c>
      <c r="V100" s="36">
        <f t="shared" si="45"/>
        <v>5.0925000000000002</v>
      </c>
      <c r="W100" s="36">
        <f t="shared" si="42"/>
        <v>1.2</v>
      </c>
      <c r="X100" s="62">
        <f t="shared" si="40"/>
        <v>6</v>
      </c>
    </row>
    <row r="101" spans="1:24">
      <c r="A101" s="26" t="s">
        <v>1927</v>
      </c>
      <c r="B101" s="26">
        <v>10</v>
      </c>
      <c r="C101" s="26" t="s">
        <v>1967</v>
      </c>
      <c r="D101" s="26">
        <v>3</v>
      </c>
      <c r="E101" s="26" t="s">
        <v>1933</v>
      </c>
      <c r="F101" s="26">
        <v>5</v>
      </c>
      <c r="G101" s="26" t="s">
        <v>2537</v>
      </c>
      <c r="H101" s="26">
        <v>3</v>
      </c>
      <c r="I101" s="26" t="s">
        <v>1945</v>
      </c>
      <c r="J101" s="26">
        <v>1</v>
      </c>
      <c r="K101" s="143">
        <f t="shared" si="15"/>
        <v>14.000000000000002</v>
      </c>
      <c r="L101" s="44">
        <f t="shared" si="37"/>
        <v>42.000000000000007</v>
      </c>
      <c r="M101" s="143">
        <f t="shared" si="17"/>
        <v>1.7</v>
      </c>
      <c r="N101" s="44">
        <f t="shared" si="38"/>
        <v>8.5</v>
      </c>
      <c r="O101" s="44">
        <f t="shared" si="41"/>
        <v>1.6235294117647059</v>
      </c>
      <c r="P101" s="44">
        <f t="shared" si="39"/>
        <v>4.8705882352941181</v>
      </c>
      <c r="Q101" s="143">
        <f t="shared" si="21"/>
        <v>2.1176470588235294</v>
      </c>
      <c r="R101" s="135">
        <f t="shared" si="31"/>
        <v>2.1176470588235294</v>
      </c>
      <c r="S101" s="242">
        <f t="shared" si="43"/>
        <v>2</v>
      </c>
      <c r="T101" s="42">
        <f t="shared" si="44"/>
        <v>59.488235294117651</v>
      </c>
      <c r="U101" s="42">
        <f t="shared" si="46"/>
        <v>62.462647058823535</v>
      </c>
      <c r="V101" s="42">
        <f t="shared" si="45"/>
        <v>6.2462647058823535</v>
      </c>
      <c r="W101" s="42">
        <f t="shared" si="42"/>
        <v>1.2000000000000002</v>
      </c>
      <c r="X101" s="62">
        <f t="shared" si="40"/>
        <v>7.3</v>
      </c>
    </row>
    <row r="102" spans="1:24">
      <c r="A102" s="26" t="s">
        <v>1928</v>
      </c>
      <c r="B102" s="26">
        <v>10</v>
      </c>
      <c r="C102" s="26" t="s">
        <v>1957</v>
      </c>
      <c r="D102" s="26">
        <v>1.5</v>
      </c>
      <c r="E102" s="26" t="s">
        <v>1933</v>
      </c>
      <c r="F102" s="26">
        <v>5</v>
      </c>
      <c r="G102" s="26" t="s">
        <v>1974</v>
      </c>
      <c r="H102" s="26">
        <v>2</v>
      </c>
      <c r="I102" s="26" t="s">
        <v>1936</v>
      </c>
      <c r="J102" s="26">
        <v>2</v>
      </c>
      <c r="K102" s="143">
        <f t="shared" si="15"/>
        <v>13.857142857142858</v>
      </c>
      <c r="L102" s="44">
        <f t="shared" si="37"/>
        <v>20.785714285714285</v>
      </c>
      <c r="M102" s="143">
        <f t="shared" si="17"/>
        <v>1.7</v>
      </c>
      <c r="N102" s="44">
        <f t="shared" si="38"/>
        <v>8.5</v>
      </c>
      <c r="O102" s="44">
        <f t="shared" si="41"/>
        <v>1.1764705882352942</v>
      </c>
      <c r="P102" s="44">
        <f t="shared" si="39"/>
        <v>2.3529411764705883</v>
      </c>
      <c r="Q102" s="143">
        <f t="shared" si="21"/>
        <v>2.1176470588235294</v>
      </c>
      <c r="R102" s="135">
        <f t="shared" si="31"/>
        <v>4.2352941176470589</v>
      </c>
      <c r="S102" s="242">
        <f t="shared" si="43"/>
        <v>2</v>
      </c>
      <c r="T102" s="42">
        <f t="shared" si="44"/>
        <v>37.87394957983193</v>
      </c>
      <c r="U102" s="42">
        <f t="shared" si="46"/>
        <v>39.767647058823528</v>
      </c>
      <c r="V102" s="42">
        <f t="shared" si="45"/>
        <v>3.9767647058823528</v>
      </c>
      <c r="W102" s="42">
        <f t="shared" si="42"/>
        <v>1.05</v>
      </c>
      <c r="X102" s="62">
        <f t="shared" si="40"/>
        <v>4.6999999999999993</v>
      </c>
    </row>
    <row r="103" spans="1:24" ht="15">
      <c r="A103" s="26" t="s">
        <v>1929</v>
      </c>
      <c r="B103" s="26">
        <v>10</v>
      </c>
      <c r="C103" s="32" t="s">
        <v>1275</v>
      </c>
      <c r="D103" s="26">
        <v>1</v>
      </c>
      <c r="E103" s="26" t="s">
        <v>1274</v>
      </c>
      <c r="F103" s="26">
        <v>1</v>
      </c>
      <c r="G103" s="30" t="s">
        <v>1975</v>
      </c>
      <c r="H103" s="26">
        <v>3</v>
      </c>
      <c r="I103" s="26" t="s">
        <v>1944</v>
      </c>
      <c r="J103" s="26">
        <v>4</v>
      </c>
      <c r="K103" s="143">
        <f t="shared" si="15"/>
        <v>7.6470588235294121</v>
      </c>
      <c r="L103" s="44">
        <f t="shared" si="37"/>
        <v>7.6470588235294121</v>
      </c>
      <c r="M103" s="143">
        <f t="shared" si="17"/>
        <v>7.6470588235294121</v>
      </c>
      <c r="N103" s="44">
        <f t="shared" si="38"/>
        <v>7.6470588235294121</v>
      </c>
      <c r="O103" s="44">
        <f t="shared" si="41"/>
        <v>3.5714285714285716</v>
      </c>
      <c r="P103" s="44">
        <f t="shared" si="39"/>
        <v>10.714285714285715</v>
      </c>
      <c r="Q103" s="143">
        <f t="shared" si="21"/>
        <v>2.27</v>
      </c>
      <c r="R103" s="135">
        <f t="shared" si="31"/>
        <v>9.08</v>
      </c>
      <c r="S103" s="242">
        <f t="shared" si="43"/>
        <v>2</v>
      </c>
      <c r="T103" s="42">
        <f t="shared" si="44"/>
        <v>37.08840336134454</v>
      </c>
      <c r="U103" s="42">
        <f t="shared" si="46"/>
        <v>38.942823529411768</v>
      </c>
      <c r="V103" s="42">
        <f t="shared" si="45"/>
        <v>3.8942823529411768</v>
      </c>
      <c r="W103" s="42">
        <f t="shared" si="42"/>
        <v>0.9</v>
      </c>
      <c r="X103" s="62">
        <f t="shared" si="40"/>
        <v>4.5999999999999996</v>
      </c>
    </row>
    <row r="104" spans="1:24">
      <c r="A104" s="26" t="s">
        <v>1995</v>
      </c>
      <c r="B104" s="26">
        <v>20</v>
      </c>
      <c r="C104" s="26" t="s">
        <v>206</v>
      </c>
      <c r="D104" s="26">
        <v>6</v>
      </c>
      <c r="E104" s="26" t="s">
        <v>1274</v>
      </c>
      <c r="F104" s="26">
        <v>1</v>
      </c>
      <c r="G104" s="26" t="s">
        <v>2538</v>
      </c>
      <c r="H104" s="26">
        <v>5</v>
      </c>
      <c r="I104" s="26" t="s">
        <v>2010</v>
      </c>
      <c r="J104" s="26">
        <v>3</v>
      </c>
      <c r="K104" s="143">
        <f t="shared" si="15"/>
        <v>14.428571428571429</v>
      </c>
      <c r="L104" s="44">
        <f t="shared" si="37"/>
        <v>86.571428571428569</v>
      </c>
      <c r="M104" s="143">
        <f t="shared" si="17"/>
        <v>7.6470588235294121</v>
      </c>
      <c r="N104" s="44">
        <f t="shared" si="38"/>
        <v>7.6470588235294121</v>
      </c>
      <c r="O104" s="44" t="e">
        <f t="shared" si="41"/>
        <v>#N/A</v>
      </c>
      <c r="P104" s="44" t="str">
        <f t="shared" si="39"/>
        <v/>
      </c>
      <c r="Q104" s="143">
        <f t="shared" si="21"/>
        <v>6</v>
      </c>
      <c r="R104" s="135">
        <f t="shared" si="31"/>
        <v>18</v>
      </c>
      <c r="S104" s="242">
        <f>B104*1.5</f>
        <v>30</v>
      </c>
      <c r="T104" s="42">
        <f t="shared" si="44"/>
        <v>142.21848739495798</v>
      </c>
      <c r="U104" s="42">
        <f t="shared" si="46"/>
        <v>149.32941176470587</v>
      </c>
      <c r="V104" s="42">
        <f t="shared" si="45"/>
        <v>7.4664705882352935</v>
      </c>
      <c r="W104" s="36">
        <f t="shared" si="42"/>
        <v>0.75</v>
      </c>
      <c r="X104" s="62">
        <f t="shared" si="40"/>
        <v>8.6999999999999993</v>
      </c>
    </row>
    <row r="105" spans="1:24">
      <c r="A105" s="26" t="s">
        <v>1996</v>
      </c>
      <c r="B105" s="26">
        <v>20</v>
      </c>
      <c r="C105" s="26" t="s">
        <v>2011</v>
      </c>
      <c r="D105" s="26">
        <v>6</v>
      </c>
      <c r="E105" s="26" t="s">
        <v>2537</v>
      </c>
      <c r="F105" s="26">
        <v>6</v>
      </c>
      <c r="G105" s="26" t="s">
        <v>2012</v>
      </c>
      <c r="H105" s="26">
        <v>3</v>
      </c>
      <c r="I105" s="26" t="s">
        <v>2013</v>
      </c>
      <c r="J105" s="26">
        <v>6</v>
      </c>
      <c r="K105" s="143">
        <f t="shared" si="15"/>
        <v>24.142857142857142</v>
      </c>
      <c r="L105" s="44">
        <f t="shared" si="37"/>
        <v>144.85714285714286</v>
      </c>
      <c r="M105" s="143">
        <f t="shared" si="17"/>
        <v>1.6235294117647059</v>
      </c>
      <c r="N105" s="44">
        <f t="shared" si="38"/>
        <v>9.7411764705882362</v>
      </c>
      <c r="O105" s="44">
        <f t="shared" si="41"/>
        <v>0.94117647058823539</v>
      </c>
      <c r="P105" s="44">
        <f t="shared" si="39"/>
        <v>2.8235294117647061</v>
      </c>
      <c r="Q105" s="143">
        <f t="shared" si="21"/>
        <v>2.27</v>
      </c>
      <c r="R105" s="135">
        <f t="shared" si="31"/>
        <v>13.620000000000001</v>
      </c>
      <c r="S105" s="242">
        <f t="shared" si="43"/>
        <v>4</v>
      </c>
      <c r="T105" s="42">
        <f t="shared" si="44"/>
        <v>175.0418487394958</v>
      </c>
      <c r="U105" s="42">
        <f t="shared" si="46"/>
        <v>183.79394117647061</v>
      </c>
      <c r="V105" s="42">
        <f t="shared" si="45"/>
        <v>9.1896970588235298</v>
      </c>
      <c r="W105" s="42">
        <f t="shared" si="42"/>
        <v>1.05</v>
      </c>
      <c r="X105" s="62">
        <f t="shared" si="40"/>
        <v>10.7</v>
      </c>
    </row>
    <row r="106" spans="1:24">
      <c r="A106" s="26" t="s">
        <v>2014</v>
      </c>
      <c r="B106" s="26">
        <v>10</v>
      </c>
      <c r="C106" s="26" t="s">
        <v>2015</v>
      </c>
      <c r="D106" s="26">
        <v>4</v>
      </c>
      <c r="E106" s="26" t="s">
        <v>2016</v>
      </c>
      <c r="F106" s="26">
        <v>3</v>
      </c>
      <c r="G106" s="26" t="s">
        <v>2017</v>
      </c>
      <c r="H106" s="26">
        <v>5</v>
      </c>
      <c r="I106" s="26"/>
      <c r="J106" s="26"/>
      <c r="K106" s="143">
        <f t="shared" si="15"/>
        <v>1.6470588235294117</v>
      </c>
      <c r="L106" s="44">
        <f t="shared" si="37"/>
        <v>6.5882352941176467</v>
      </c>
      <c r="M106" s="143">
        <f t="shared" si="17"/>
        <v>3.5714285714285716</v>
      </c>
      <c r="N106" s="44">
        <f t="shared" si="38"/>
        <v>10.714285714285715</v>
      </c>
      <c r="O106" s="44">
        <f t="shared" si="41"/>
        <v>1.7</v>
      </c>
      <c r="P106" s="44">
        <f t="shared" si="39"/>
        <v>8.5</v>
      </c>
      <c r="Q106" s="143" t="str">
        <f t="shared" si="21"/>
        <v/>
      </c>
      <c r="R106" s="135" t="str">
        <f t="shared" si="31"/>
        <v/>
      </c>
      <c r="S106" s="242">
        <f>B106*0.3</f>
        <v>3</v>
      </c>
      <c r="T106" s="42">
        <f t="shared" si="44"/>
        <v>28.80252100840336</v>
      </c>
      <c r="U106" s="42">
        <f t="shared" si="46"/>
        <v>30.242647058823529</v>
      </c>
      <c r="V106" s="42">
        <f t="shared" si="45"/>
        <v>3.0242647058823531</v>
      </c>
      <c r="W106" s="42">
        <f t="shared" si="42"/>
        <v>1.2</v>
      </c>
      <c r="X106" s="62">
        <f t="shared" si="40"/>
        <v>3.6</v>
      </c>
    </row>
    <row r="107" spans="1:24">
      <c r="A107" s="26" t="s">
        <v>2036</v>
      </c>
      <c r="B107" s="26">
        <v>20</v>
      </c>
      <c r="C107" s="26" t="s">
        <v>208</v>
      </c>
      <c r="D107" s="26">
        <v>5</v>
      </c>
      <c r="E107" s="26" t="s">
        <v>2042</v>
      </c>
      <c r="F107" s="26">
        <v>5</v>
      </c>
      <c r="G107" s="26" t="s">
        <v>2043</v>
      </c>
      <c r="H107" s="26">
        <v>2</v>
      </c>
      <c r="I107" s="26" t="s">
        <v>2044</v>
      </c>
      <c r="J107" s="26">
        <v>8</v>
      </c>
      <c r="K107" s="143">
        <f t="shared" si="15"/>
        <v>14.428571428571429</v>
      </c>
      <c r="L107" s="44">
        <f t="shared" si="37"/>
        <v>72.142857142857139</v>
      </c>
      <c r="M107" s="143">
        <f t="shared" si="17"/>
        <v>1.6470588235294117</v>
      </c>
      <c r="N107" s="44">
        <f t="shared" si="38"/>
        <v>8.235294117647058</v>
      </c>
      <c r="O107" s="44">
        <f t="shared" si="41"/>
        <v>0.94117647058823539</v>
      </c>
      <c r="P107" s="44">
        <f t="shared" si="39"/>
        <v>1.8823529411764708</v>
      </c>
      <c r="Q107" s="143">
        <f t="shared" si="21"/>
        <v>1.7</v>
      </c>
      <c r="R107" s="135">
        <f t="shared" si="31"/>
        <v>13.6</v>
      </c>
      <c r="S107" s="242">
        <f t="shared" si="43"/>
        <v>4</v>
      </c>
      <c r="T107" s="42">
        <f t="shared" si="44"/>
        <v>99.860504201680655</v>
      </c>
      <c r="U107" s="42">
        <f t="shared" si="46"/>
        <v>104.8535294117647</v>
      </c>
      <c r="V107" s="42">
        <f t="shared" si="45"/>
        <v>5.2426764705882345</v>
      </c>
      <c r="W107" s="42">
        <f t="shared" si="42"/>
        <v>1</v>
      </c>
      <c r="X107" s="62">
        <f t="shared" si="40"/>
        <v>6.1</v>
      </c>
    </row>
    <row r="108" spans="1:24">
      <c r="A108" s="26" t="s">
        <v>2046</v>
      </c>
      <c r="B108" s="26">
        <v>20</v>
      </c>
      <c r="C108" s="31" t="s">
        <v>2045</v>
      </c>
      <c r="D108" s="26">
        <v>4</v>
      </c>
      <c r="E108" s="26" t="s">
        <v>2047</v>
      </c>
      <c r="F108" s="26">
        <v>4</v>
      </c>
      <c r="G108" s="26" t="s">
        <v>2536</v>
      </c>
      <c r="H108" s="26">
        <v>4</v>
      </c>
      <c r="I108" s="26" t="s">
        <v>2044</v>
      </c>
      <c r="J108" s="26">
        <v>8</v>
      </c>
      <c r="K108" s="143">
        <f t="shared" si="15"/>
        <v>2.882352941176471</v>
      </c>
      <c r="L108" s="44">
        <f t="shared" si="37"/>
        <v>11.529411764705884</v>
      </c>
      <c r="M108" s="143">
        <f t="shared" si="17"/>
        <v>14.000000000000002</v>
      </c>
      <c r="N108" s="44">
        <f t="shared" si="38"/>
        <v>56.000000000000007</v>
      </c>
      <c r="O108" s="44" t="e">
        <f t="shared" si="41"/>
        <v>#N/A</v>
      </c>
      <c r="P108" s="44" t="str">
        <f t="shared" si="39"/>
        <v/>
      </c>
      <c r="Q108" s="143">
        <f t="shared" si="21"/>
        <v>1.7</v>
      </c>
      <c r="R108" s="135">
        <f t="shared" si="31"/>
        <v>13.6</v>
      </c>
      <c r="S108" s="242">
        <f t="shared" si="43"/>
        <v>4</v>
      </c>
      <c r="T108" s="42">
        <f t="shared" si="44"/>
        <v>85.129411764705878</v>
      </c>
      <c r="U108" s="42">
        <f t="shared" si="46"/>
        <v>89.385882352941181</v>
      </c>
      <c r="V108" s="42">
        <f t="shared" si="45"/>
        <v>4.4692941176470589</v>
      </c>
      <c r="W108" s="42">
        <f t="shared" si="42"/>
        <v>1</v>
      </c>
      <c r="X108" s="62">
        <f t="shared" si="40"/>
        <v>5.1999999999999993</v>
      </c>
    </row>
    <row r="109" spans="1:24">
      <c r="A109" s="26" t="s">
        <v>2037</v>
      </c>
      <c r="B109" s="26">
        <v>15</v>
      </c>
      <c r="C109" s="33" t="s">
        <v>2048</v>
      </c>
      <c r="D109" s="26">
        <v>6</v>
      </c>
      <c r="E109" s="26" t="s">
        <v>2049</v>
      </c>
      <c r="F109" s="26">
        <v>3</v>
      </c>
      <c r="G109" s="26" t="s">
        <v>167</v>
      </c>
      <c r="H109" s="26">
        <v>2</v>
      </c>
      <c r="I109" s="26" t="s">
        <v>1299</v>
      </c>
      <c r="J109" s="26">
        <v>3</v>
      </c>
      <c r="K109" s="143">
        <f t="shared" si="15"/>
        <v>19.428571428571431</v>
      </c>
      <c r="L109" s="44">
        <f t="shared" si="37"/>
        <v>116.57142857142858</v>
      </c>
      <c r="M109" s="143">
        <f t="shared" si="17"/>
        <v>6</v>
      </c>
      <c r="N109" s="44">
        <f t="shared" si="38"/>
        <v>18</v>
      </c>
      <c r="O109" s="44">
        <f t="shared" si="41"/>
        <v>4.2352941176470589</v>
      </c>
      <c r="P109" s="44">
        <f t="shared" si="39"/>
        <v>8.4705882352941178</v>
      </c>
      <c r="Q109" s="143">
        <f t="shared" si="21"/>
        <v>6.4285714285714288</v>
      </c>
      <c r="R109" s="135">
        <f t="shared" si="31"/>
        <v>19.285714285714285</v>
      </c>
      <c r="S109" s="242">
        <f t="shared" si="43"/>
        <v>3</v>
      </c>
      <c r="T109" s="42">
        <f t="shared" si="44"/>
        <v>165.32773109243698</v>
      </c>
      <c r="U109" s="42">
        <f t="shared" si="46"/>
        <v>173.59411764705882</v>
      </c>
      <c r="V109" s="42">
        <f t="shared" si="45"/>
        <v>11.572941176470588</v>
      </c>
      <c r="W109" s="42">
        <f t="shared" si="42"/>
        <v>0.93333333333333335</v>
      </c>
      <c r="X109" s="62">
        <f t="shared" si="40"/>
        <v>13.5</v>
      </c>
    </row>
    <row r="110" spans="1:24">
      <c r="A110" s="26" t="s">
        <v>2038</v>
      </c>
      <c r="B110" s="26">
        <v>20</v>
      </c>
      <c r="C110" s="26" t="s">
        <v>2050</v>
      </c>
      <c r="D110" s="26">
        <v>12</v>
      </c>
      <c r="E110" s="26" t="s">
        <v>1275</v>
      </c>
      <c r="F110" s="26">
        <v>1</v>
      </c>
      <c r="G110" s="26" t="s">
        <v>1274</v>
      </c>
      <c r="H110" s="26">
        <v>1</v>
      </c>
      <c r="I110" s="26" t="s">
        <v>2051</v>
      </c>
      <c r="J110" s="26">
        <v>6</v>
      </c>
      <c r="K110" s="143">
        <f t="shared" si="15"/>
        <v>9.4285714285714288</v>
      </c>
      <c r="L110" s="44">
        <f t="shared" si="37"/>
        <v>113.14285714285714</v>
      </c>
      <c r="M110" s="44">
        <f t="shared" ref="M110:M131" si="47">IF(E110="","",VLOOKUP(E110,成本单价,8,0))</f>
        <v>7.6470588235294121</v>
      </c>
      <c r="N110" s="44">
        <f t="shared" si="38"/>
        <v>7.6470588235294121</v>
      </c>
      <c r="O110" s="44">
        <f t="shared" si="41"/>
        <v>7.6470588235294121</v>
      </c>
      <c r="P110" s="44">
        <f t="shared" si="39"/>
        <v>7.6470588235294121</v>
      </c>
      <c r="Q110" s="143">
        <f t="shared" si="21"/>
        <v>2.27</v>
      </c>
      <c r="R110" s="135">
        <f t="shared" si="31"/>
        <v>13.620000000000001</v>
      </c>
      <c r="S110" s="242">
        <f t="shared" si="43"/>
        <v>4</v>
      </c>
      <c r="T110" s="42">
        <f t="shared" si="44"/>
        <v>146.05697478991596</v>
      </c>
      <c r="U110" s="42">
        <f t="shared" si="46"/>
        <v>153.35982352941176</v>
      </c>
      <c r="V110" s="42">
        <f t="shared" si="45"/>
        <v>7.6679911764705881</v>
      </c>
      <c r="W110" s="42">
        <f t="shared" si="42"/>
        <v>1</v>
      </c>
      <c r="X110" s="62">
        <f t="shared" si="40"/>
        <v>8.9</v>
      </c>
    </row>
    <row r="111" spans="1:24">
      <c r="A111" s="26" t="s">
        <v>2039</v>
      </c>
      <c r="B111" s="26">
        <v>20</v>
      </c>
      <c r="C111" s="26" t="s">
        <v>319</v>
      </c>
      <c r="D111" s="26">
        <v>2</v>
      </c>
      <c r="E111" s="26" t="s">
        <v>297</v>
      </c>
      <c r="F111" s="26">
        <v>0.5</v>
      </c>
      <c r="G111" s="33" t="s">
        <v>2051</v>
      </c>
      <c r="H111" s="26">
        <v>10</v>
      </c>
      <c r="I111" s="26"/>
      <c r="J111" s="26"/>
      <c r="K111" s="143">
        <f t="shared" si="15"/>
        <v>3.5714285714285716</v>
      </c>
      <c r="L111" s="44">
        <f t="shared" si="37"/>
        <v>7.1428571428571432</v>
      </c>
      <c r="M111" s="44">
        <f t="shared" si="47"/>
        <v>31.571428571428577</v>
      </c>
      <c r="N111" s="44">
        <f t="shared" si="38"/>
        <v>15.785714285714288</v>
      </c>
      <c r="O111" s="44">
        <f t="shared" si="41"/>
        <v>2.27</v>
      </c>
      <c r="P111" s="44">
        <f t="shared" si="39"/>
        <v>22.7</v>
      </c>
      <c r="Q111" s="143" t="str">
        <f t="shared" si="21"/>
        <v/>
      </c>
      <c r="R111" s="135" t="str">
        <f t="shared" si="31"/>
        <v/>
      </c>
      <c r="S111" s="242">
        <f>B111*0.4</f>
        <v>8</v>
      </c>
      <c r="T111" s="42">
        <f t="shared" si="44"/>
        <v>53.628571428571433</v>
      </c>
      <c r="U111" s="42">
        <f t="shared" si="46"/>
        <v>56.310000000000009</v>
      </c>
      <c r="V111" s="42">
        <f t="shared" si="45"/>
        <v>2.8155000000000006</v>
      </c>
      <c r="W111" s="42">
        <f t="shared" si="42"/>
        <v>0.625</v>
      </c>
      <c r="X111" s="62">
        <f t="shared" si="40"/>
        <v>3.3000000000000003</v>
      </c>
    </row>
    <row r="112" spans="1:24">
      <c r="A112" s="26" t="s">
        <v>2069</v>
      </c>
      <c r="B112" s="26">
        <v>20</v>
      </c>
      <c r="C112" s="26" t="s">
        <v>2073</v>
      </c>
      <c r="D112" s="26">
        <v>5</v>
      </c>
      <c r="E112" s="26" t="s">
        <v>2074</v>
      </c>
      <c r="F112" s="26">
        <v>5</v>
      </c>
      <c r="G112" s="26" t="s">
        <v>2075</v>
      </c>
      <c r="H112" s="26">
        <v>10</v>
      </c>
      <c r="I112" s="26" t="s">
        <v>2076</v>
      </c>
      <c r="J112" s="26">
        <v>0.5</v>
      </c>
      <c r="K112" s="143">
        <f t="shared" si="15"/>
        <v>13.857142857142858</v>
      </c>
      <c r="L112" s="44">
        <f t="shared" si="37"/>
        <v>69.285714285714292</v>
      </c>
      <c r="M112" s="44">
        <f t="shared" si="47"/>
        <v>2.5882352941176472</v>
      </c>
      <c r="N112" s="44">
        <f t="shared" si="38"/>
        <v>12.941176470588236</v>
      </c>
      <c r="O112" s="44">
        <f t="shared" si="41"/>
        <v>1.7</v>
      </c>
      <c r="P112" s="44">
        <f t="shared" si="39"/>
        <v>17</v>
      </c>
      <c r="Q112" s="143">
        <f t="shared" si="21"/>
        <v>2.2352941176470589</v>
      </c>
      <c r="R112" s="135">
        <f t="shared" si="31"/>
        <v>1.1176470588235294</v>
      </c>
      <c r="S112" s="242">
        <f t="shared" si="43"/>
        <v>4</v>
      </c>
      <c r="T112" s="42">
        <f t="shared" si="44"/>
        <v>104.34453781512606</v>
      </c>
      <c r="U112" s="42">
        <f t="shared" si="46"/>
        <v>109.56176470588237</v>
      </c>
      <c r="V112" s="42">
        <f t="shared" si="45"/>
        <v>5.478088235294118</v>
      </c>
      <c r="W112" s="42">
        <f t="shared" si="42"/>
        <v>1.0249999999999999</v>
      </c>
      <c r="X112" s="62">
        <f t="shared" si="40"/>
        <v>6.3999999999999995</v>
      </c>
    </row>
    <row r="113" spans="1:24">
      <c r="A113" s="26" t="s">
        <v>2067</v>
      </c>
      <c r="B113" s="27">
        <v>20</v>
      </c>
      <c r="C113" s="27" t="s">
        <v>2077</v>
      </c>
      <c r="D113" s="27">
        <v>4</v>
      </c>
      <c r="E113" s="27" t="s">
        <v>2078</v>
      </c>
      <c r="F113" s="27">
        <v>5</v>
      </c>
      <c r="G113" s="27" t="s">
        <v>2079</v>
      </c>
      <c r="H113" s="27">
        <v>3</v>
      </c>
      <c r="I113" s="27" t="s">
        <v>2075</v>
      </c>
      <c r="J113" s="27">
        <v>10</v>
      </c>
      <c r="K113" s="143">
        <f t="shared" si="15"/>
        <v>1.2941176470588236</v>
      </c>
      <c r="L113" s="44">
        <f t="shared" si="37"/>
        <v>5.1764705882352944</v>
      </c>
      <c r="M113" s="44">
        <f t="shared" si="47"/>
        <v>3.5714285714285716</v>
      </c>
      <c r="N113" s="44">
        <f t="shared" si="38"/>
        <v>17.857142857142858</v>
      </c>
      <c r="O113" s="44">
        <f t="shared" si="41"/>
        <v>1.6470588235294117</v>
      </c>
      <c r="P113" s="44">
        <f t="shared" si="39"/>
        <v>4.9411764705882355</v>
      </c>
      <c r="Q113" s="143">
        <f t="shared" si="21"/>
        <v>1.7</v>
      </c>
      <c r="R113" s="44">
        <f t="shared" ref="R113:R132" si="48">IFERROR(J113*Q113,"")</f>
        <v>17</v>
      </c>
      <c r="S113" s="242">
        <f>B113*1.2</f>
        <v>24</v>
      </c>
      <c r="T113" s="42">
        <f t="shared" si="44"/>
        <v>68.974789915966383</v>
      </c>
      <c r="U113" s="42">
        <f t="shared" si="46"/>
        <v>72.423529411764704</v>
      </c>
      <c r="V113" s="36">
        <f t="shared" si="45"/>
        <v>3.6211764705882352</v>
      </c>
      <c r="W113" s="36">
        <f t="shared" si="42"/>
        <v>1.1000000000000001</v>
      </c>
      <c r="X113" s="62">
        <f t="shared" si="40"/>
        <v>4.3</v>
      </c>
    </row>
    <row r="114" spans="1:24">
      <c r="A114" s="26" t="s">
        <v>2068</v>
      </c>
      <c r="B114" s="26">
        <v>20</v>
      </c>
      <c r="C114" s="26" t="s">
        <v>2080</v>
      </c>
      <c r="D114" s="26">
        <v>6</v>
      </c>
      <c r="E114" s="9" t="s">
        <v>2081</v>
      </c>
      <c r="F114" s="26">
        <v>3</v>
      </c>
      <c r="G114" s="46" t="s">
        <v>338</v>
      </c>
      <c r="H114" s="26">
        <v>3</v>
      </c>
      <c r="I114" s="26" t="s">
        <v>340</v>
      </c>
      <c r="J114" s="26">
        <v>3</v>
      </c>
      <c r="K114" s="143">
        <f t="shared" si="15"/>
        <v>13</v>
      </c>
      <c r="L114" s="44">
        <f t="shared" si="37"/>
        <v>78</v>
      </c>
      <c r="M114" s="44">
        <f t="shared" si="47"/>
        <v>0.94117647058823539</v>
      </c>
      <c r="N114" s="44">
        <f t="shared" si="38"/>
        <v>2.8235294117647061</v>
      </c>
      <c r="O114" s="44" t="e">
        <f t="shared" si="41"/>
        <v>#N/A</v>
      </c>
      <c r="P114" s="44" t="str">
        <f t="shared" si="39"/>
        <v/>
      </c>
      <c r="Q114" s="143">
        <f t="shared" si="21"/>
        <v>3.3333333333333335</v>
      </c>
      <c r="R114" s="44">
        <f t="shared" si="48"/>
        <v>10</v>
      </c>
      <c r="S114" s="242">
        <f t="shared" si="43"/>
        <v>4</v>
      </c>
      <c r="T114" s="42">
        <f t="shared" si="44"/>
        <v>94.82352941176471</v>
      </c>
      <c r="U114" s="42">
        <f t="shared" si="46"/>
        <v>99.564705882352953</v>
      </c>
      <c r="V114" s="42">
        <f t="shared" si="45"/>
        <v>4.9782352941176473</v>
      </c>
      <c r="W114" s="42">
        <f t="shared" si="42"/>
        <v>0.75</v>
      </c>
      <c r="X114" s="62">
        <f t="shared" si="40"/>
        <v>5.8</v>
      </c>
    </row>
    <row r="115" spans="1:24">
      <c r="A115" s="26" t="s">
        <v>2059</v>
      </c>
      <c r="B115" s="26">
        <v>20</v>
      </c>
      <c r="C115" s="32" t="s">
        <v>120</v>
      </c>
      <c r="D115" s="26">
        <v>0.8</v>
      </c>
      <c r="E115" s="26" t="s">
        <v>2082</v>
      </c>
      <c r="F115" s="26">
        <v>4</v>
      </c>
      <c r="G115" s="26" t="s">
        <v>2075</v>
      </c>
      <c r="H115" s="26">
        <v>10</v>
      </c>
      <c r="I115" s="26" t="s">
        <v>2083</v>
      </c>
      <c r="J115" s="26">
        <v>2</v>
      </c>
      <c r="K115" s="143">
        <f t="shared" si="15"/>
        <v>25.714285714285715</v>
      </c>
      <c r="L115" s="44">
        <f t="shared" si="37"/>
        <v>20.571428571428573</v>
      </c>
      <c r="M115" s="44">
        <f t="shared" si="47"/>
        <v>13.857142857142858</v>
      </c>
      <c r="N115" s="44">
        <f t="shared" si="38"/>
        <v>55.428571428571431</v>
      </c>
      <c r="O115" s="44">
        <f t="shared" si="41"/>
        <v>1.7</v>
      </c>
      <c r="P115" s="44">
        <f t="shared" si="39"/>
        <v>17</v>
      </c>
      <c r="Q115" s="143">
        <f t="shared" si="21"/>
        <v>0.94117647058823539</v>
      </c>
      <c r="R115" s="44">
        <f t="shared" si="48"/>
        <v>1.8823529411764708</v>
      </c>
      <c r="S115" s="242">
        <f t="shared" si="43"/>
        <v>4</v>
      </c>
      <c r="T115" s="42">
        <f t="shared" si="44"/>
        <v>98.882352941176464</v>
      </c>
      <c r="U115" s="42">
        <f t="shared" si="46"/>
        <v>103.8264705882353</v>
      </c>
      <c r="V115" s="42">
        <f t="shared" si="45"/>
        <v>5.1913235294117648</v>
      </c>
      <c r="W115" s="42">
        <f t="shared" si="42"/>
        <v>0.84</v>
      </c>
      <c r="X115" s="62">
        <f t="shared" si="40"/>
        <v>6.1</v>
      </c>
    </row>
    <row r="116" spans="1:24">
      <c r="A116" s="26" t="s">
        <v>2060</v>
      </c>
      <c r="B116" s="26">
        <v>20</v>
      </c>
      <c r="C116" s="9" t="s">
        <v>230</v>
      </c>
      <c r="D116" s="26">
        <v>6</v>
      </c>
      <c r="E116" s="26" t="s">
        <v>426</v>
      </c>
      <c r="F116" s="26">
        <v>4</v>
      </c>
      <c r="G116" s="26" t="s">
        <v>2084</v>
      </c>
      <c r="H116" s="26">
        <v>2</v>
      </c>
      <c r="I116" s="26" t="s">
        <v>2085</v>
      </c>
      <c r="J116" s="26">
        <v>3</v>
      </c>
      <c r="K116" s="143">
        <f t="shared" si="15"/>
        <v>12.285714285714286</v>
      </c>
      <c r="L116" s="44">
        <f t="shared" si="37"/>
        <v>73.714285714285722</v>
      </c>
      <c r="M116" s="44">
        <f t="shared" si="47"/>
        <v>5.7142857142857144</v>
      </c>
      <c r="N116" s="44">
        <f t="shared" si="38"/>
        <v>22.857142857142858</v>
      </c>
      <c r="O116" s="44">
        <f t="shared" si="41"/>
        <v>1</v>
      </c>
      <c r="P116" s="44">
        <f t="shared" si="39"/>
        <v>2</v>
      </c>
      <c r="Q116" s="143">
        <f t="shared" si="21"/>
        <v>0.94117647058823539</v>
      </c>
      <c r="R116" s="44">
        <f t="shared" si="48"/>
        <v>2.8235294117647061</v>
      </c>
      <c r="S116" s="242">
        <f>B116*0.9</f>
        <v>18</v>
      </c>
      <c r="T116" s="42">
        <f t="shared" si="44"/>
        <v>119.39495798319329</v>
      </c>
      <c r="U116" s="42">
        <f t="shared" si="46"/>
        <v>125.36470588235296</v>
      </c>
      <c r="V116" s="42">
        <f t="shared" si="45"/>
        <v>6.2682352941176482</v>
      </c>
      <c r="W116" s="36">
        <f t="shared" si="42"/>
        <v>0.75</v>
      </c>
      <c r="X116" s="62">
        <f t="shared" si="40"/>
        <v>7.3</v>
      </c>
    </row>
    <row r="117" spans="1:24">
      <c r="A117" s="26" t="s">
        <v>2061</v>
      </c>
      <c r="B117" s="26">
        <v>20</v>
      </c>
      <c r="C117" s="26" t="s">
        <v>206</v>
      </c>
      <c r="D117" s="26">
        <v>7</v>
      </c>
      <c r="E117" s="26" t="s">
        <v>2536</v>
      </c>
      <c r="F117" s="26">
        <v>8</v>
      </c>
      <c r="G117" s="26" t="s">
        <v>2086</v>
      </c>
      <c r="H117" s="26">
        <v>1</v>
      </c>
      <c r="I117" s="26" t="s">
        <v>2087</v>
      </c>
      <c r="J117" s="26">
        <v>8</v>
      </c>
      <c r="K117" s="143">
        <f t="shared" si="15"/>
        <v>14.428571428571429</v>
      </c>
      <c r="L117" s="44">
        <f t="shared" si="37"/>
        <v>101</v>
      </c>
      <c r="M117" s="44" t="e">
        <f t="shared" si="47"/>
        <v>#N/A</v>
      </c>
      <c r="N117" s="44" t="str">
        <f t="shared" si="38"/>
        <v/>
      </c>
      <c r="O117" s="44">
        <f t="shared" si="41"/>
        <v>8.3529411764705888</v>
      </c>
      <c r="P117" s="44">
        <f t="shared" si="39"/>
        <v>8.3529411764705888</v>
      </c>
      <c r="Q117" s="143">
        <f t="shared" si="21"/>
        <v>2.27</v>
      </c>
      <c r="R117" s="44">
        <f t="shared" si="48"/>
        <v>18.16</v>
      </c>
      <c r="S117" s="242">
        <f>B117*0.8</f>
        <v>16</v>
      </c>
      <c r="T117" s="42">
        <f t="shared" si="44"/>
        <v>143.51294117647058</v>
      </c>
      <c r="U117" s="42">
        <f t="shared" si="46"/>
        <v>150.68858823529411</v>
      </c>
      <c r="V117" s="42">
        <f t="shared" si="45"/>
        <v>7.5344294117647053</v>
      </c>
      <c r="W117" s="42">
        <f t="shared" si="42"/>
        <v>1.2000000000000002</v>
      </c>
      <c r="X117" s="62">
        <f t="shared" si="40"/>
        <v>8.7999999999999989</v>
      </c>
    </row>
    <row r="118" spans="1:24">
      <c r="A118" s="26" t="s">
        <v>2062</v>
      </c>
      <c r="B118" s="26">
        <v>20</v>
      </c>
      <c r="C118" s="26" t="s">
        <v>2536</v>
      </c>
      <c r="D118" s="26">
        <v>8</v>
      </c>
      <c r="E118" s="26" t="s">
        <v>2088</v>
      </c>
      <c r="F118" s="26">
        <v>5</v>
      </c>
      <c r="G118" s="26" t="s">
        <v>2089</v>
      </c>
      <c r="H118" s="26">
        <v>5</v>
      </c>
      <c r="I118" s="26" t="s">
        <v>2090</v>
      </c>
      <c r="J118" s="26">
        <v>10</v>
      </c>
      <c r="K118" s="143" t="e">
        <f t="shared" si="15"/>
        <v>#N/A</v>
      </c>
      <c r="L118" s="44" t="str">
        <f t="shared" si="37"/>
        <v/>
      </c>
      <c r="M118" s="44">
        <f t="shared" si="47"/>
        <v>1.6470588235294117</v>
      </c>
      <c r="N118" s="44">
        <f t="shared" si="38"/>
        <v>8.235294117647058</v>
      </c>
      <c r="O118" s="44">
        <f t="shared" si="41"/>
        <v>2.1176470588235294</v>
      </c>
      <c r="P118" s="44">
        <f t="shared" si="39"/>
        <v>10.588235294117647</v>
      </c>
      <c r="Q118" s="143">
        <f t="shared" si="21"/>
        <v>1.7</v>
      </c>
      <c r="R118" s="44">
        <f t="shared" si="48"/>
        <v>17</v>
      </c>
      <c r="S118" s="242">
        <f>B118*1.3</f>
        <v>26</v>
      </c>
      <c r="T118" s="42">
        <f t="shared" si="44"/>
        <v>61.823529411764703</v>
      </c>
      <c r="U118" s="42">
        <f t="shared" si="46"/>
        <v>64.914705882352948</v>
      </c>
      <c r="V118" s="42">
        <f t="shared" si="45"/>
        <v>3.2457352941176474</v>
      </c>
      <c r="W118" s="42">
        <f t="shared" si="42"/>
        <v>1.4</v>
      </c>
      <c r="X118" s="62">
        <f t="shared" si="40"/>
        <v>3.8000000000000003</v>
      </c>
    </row>
    <row r="119" spans="1:24">
      <c r="A119" s="26" t="s">
        <v>2071</v>
      </c>
      <c r="B119" s="26">
        <v>20</v>
      </c>
      <c r="C119" s="31" t="s">
        <v>2173</v>
      </c>
      <c r="D119" s="26">
        <v>14</v>
      </c>
      <c r="E119" s="26" t="s">
        <v>2091</v>
      </c>
      <c r="F119" s="26">
        <v>2</v>
      </c>
      <c r="G119" s="26" t="s">
        <v>2092</v>
      </c>
      <c r="H119" s="26">
        <v>4</v>
      </c>
      <c r="I119" s="26" t="s">
        <v>2093</v>
      </c>
      <c r="J119" s="26">
        <v>2</v>
      </c>
      <c r="K119" s="143">
        <f t="shared" si="15"/>
        <v>2.8000000000000003</v>
      </c>
      <c r="L119" s="44">
        <f t="shared" si="37"/>
        <v>39.200000000000003</v>
      </c>
      <c r="M119" s="44">
        <f t="shared" si="47"/>
        <v>2.1176470588235294</v>
      </c>
      <c r="N119" s="44">
        <f t="shared" si="38"/>
        <v>4.2352941176470589</v>
      </c>
      <c r="O119" s="44">
        <f t="shared" si="41"/>
        <v>2.5882352941176472</v>
      </c>
      <c r="P119" s="44">
        <f t="shared" si="39"/>
        <v>10.352941176470589</v>
      </c>
      <c r="Q119" s="143">
        <f t="shared" si="21"/>
        <v>13.857142857142858</v>
      </c>
      <c r="R119" s="44">
        <f t="shared" si="48"/>
        <v>27.714285714285715</v>
      </c>
      <c r="S119" s="242">
        <f>B119*0.8</f>
        <v>16</v>
      </c>
      <c r="T119" s="42">
        <f t="shared" si="44"/>
        <v>97.502521008403363</v>
      </c>
      <c r="U119" s="42">
        <f t="shared" si="46"/>
        <v>102.37764705882354</v>
      </c>
      <c r="V119" s="42">
        <f t="shared" si="45"/>
        <v>5.1188823529411769</v>
      </c>
      <c r="W119" s="42">
        <f t="shared" si="42"/>
        <v>1.1000000000000001</v>
      </c>
      <c r="X119" s="62">
        <f t="shared" si="40"/>
        <v>6</v>
      </c>
    </row>
    <row r="120" spans="1:24">
      <c r="A120" s="26" t="s">
        <v>2072</v>
      </c>
      <c r="B120" s="26">
        <v>20</v>
      </c>
      <c r="C120" s="26" t="s">
        <v>2094</v>
      </c>
      <c r="D120" s="26">
        <v>8</v>
      </c>
      <c r="E120" s="31" t="s">
        <v>2089</v>
      </c>
      <c r="F120" s="26">
        <v>4</v>
      </c>
      <c r="G120" s="26" t="s">
        <v>2087</v>
      </c>
      <c r="H120" s="26">
        <v>8</v>
      </c>
      <c r="I120" s="26"/>
      <c r="J120" s="26"/>
      <c r="K120" s="143">
        <f t="shared" si="15"/>
        <v>13</v>
      </c>
      <c r="L120" s="44">
        <f t="shared" si="37"/>
        <v>104</v>
      </c>
      <c r="M120" s="44">
        <f t="shared" si="47"/>
        <v>2.1176470588235294</v>
      </c>
      <c r="N120" s="44">
        <f t="shared" si="38"/>
        <v>8.4705882352941178</v>
      </c>
      <c r="O120" s="44">
        <f t="shared" si="41"/>
        <v>2.27</v>
      </c>
      <c r="P120" s="44">
        <f t="shared" si="39"/>
        <v>18.16</v>
      </c>
      <c r="Q120" s="143" t="str">
        <f t="shared" si="21"/>
        <v/>
      </c>
      <c r="R120" s="44" t="str">
        <f t="shared" si="48"/>
        <v/>
      </c>
      <c r="S120" s="242">
        <f>B120*0.7</f>
        <v>14</v>
      </c>
      <c r="T120" s="42">
        <f t="shared" si="44"/>
        <v>144.63058823529411</v>
      </c>
      <c r="U120" s="42">
        <f t="shared" si="46"/>
        <v>151.86211764705882</v>
      </c>
      <c r="V120" s="42">
        <f t="shared" si="45"/>
        <v>7.5931058823529414</v>
      </c>
      <c r="W120" s="42">
        <f t="shared" si="42"/>
        <v>1</v>
      </c>
      <c r="X120" s="62">
        <f t="shared" si="40"/>
        <v>8.9</v>
      </c>
    </row>
    <row r="121" spans="1:24">
      <c r="A121" s="26" t="s">
        <v>2230</v>
      </c>
      <c r="B121" s="26">
        <v>10</v>
      </c>
      <c r="C121" s="26" t="s">
        <v>319</v>
      </c>
      <c r="D121" s="26">
        <v>4</v>
      </c>
      <c r="E121" s="26" t="s">
        <v>2337</v>
      </c>
      <c r="F121" s="26">
        <v>4</v>
      </c>
      <c r="G121" s="26"/>
      <c r="H121" s="26"/>
      <c r="I121" s="26"/>
      <c r="J121" s="26"/>
      <c r="K121" s="143">
        <f t="shared" si="15"/>
        <v>3.5714285714285716</v>
      </c>
      <c r="L121" s="44">
        <f t="shared" si="37"/>
        <v>14.285714285714286</v>
      </c>
      <c r="M121" s="44">
        <f t="shared" si="47"/>
        <v>2.27</v>
      </c>
      <c r="N121" s="44">
        <f t="shared" si="38"/>
        <v>9.08</v>
      </c>
      <c r="O121" s="44" t="str">
        <f t="shared" si="41"/>
        <v/>
      </c>
      <c r="P121" s="44" t="str">
        <f t="shared" si="39"/>
        <v/>
      </c>
      <c r="Q121" s="143" t="str">
        <f t="shared" si="21"/>
        <v/>
      </c>
      <c r="R121" s="44" t="str">
        <f t="shared" si="48"/>
        <v/>
      </c>
      <c r="S121" s="242">
        <f>B121*0.3</f>
        <v>3</v>
      </c>
      <c r="T121" s="42">
        <f t="shared" si="44"/>
        <v>26.365714285714287</v>
      </c>
      <c r="U121" s="42">
        <f t="shared" si="46"/>
        <v>27.684000000000001</v>
      </c>
      <c r="V121" s="42">
        <f t="shared" si="45"/>
        <v>2.7684000000000002</v>
      </c>
      <c r="W121" s="42">
        <f t="shared" si="42"/>
        <v>0.8</v>
      </c>
      <c r="X121" s="62">
        <f t="shared" si="40"/>
        <v>3.3000000000000003</v>
      </c>
    </row>
    <row r="122" spans="1:24">
      <c r="A122" s="26" t="s">
        <v>2231</v>
      </c>
      <c r="B122" s="27">
        <v>1</v>
      </c>
      <c r="C122" s="27" t="s">
        <v>2338</v>
      </c>
      <c r="D122" s="27">
        <v>0.2</v>
      </c>
      <c r="E122" s="27" t="s">
        <v>426</v>
      </c>
      <c r="F122" s="27">
        <v>0.5</v>
      </c>
      <c r="G122" s="27" t="s">
        <v>2339</v>
      </c>
      <c r="H122" s="27">
        <v>0.1</v>
      </c>
      <c r="I122" s="27"/>
      <c r="J122" s="27"/>
      <c r="K122" s="143">
        <f t="shared" si="15"/>
        <v>13.857142857142858</v>
      </c>
      <c r="L122" s="44">
        <f t="shared" si="37"/>
        <v>2.7714285714285718</v>
      </c>
      <c r="M122" s="44">
        <f t="shared" si="47"/>
        <v>5.7142857142857144</v>
      </c>
      <c r="N122" s="44">
        <f t="shared" si="38"/>
        <v>2.8571428571428572</v>
      </c>
      <c r="O122" s="44">
        <f t="shared" si="41"/>
        <v>0.94117647058823539</v>
      </c>
      <c r="P122" s="44">
        <f t="shared" si="39"/>
        <v>9.4117647058823542E-2</v>
      </c>
      <c r="Q122" s="143" t="str">
        <f t="shared" si="21"/>
        <v/>
      </c>
      <c r="R122" s="44" t="str">
        <f t="shared" si="48"/>
        <v/>
      </c>
      <c r="S122" s="242">
        <f t="shared" si="43"/>
        <v>0.2</v>
      </c>
      <c r="T122" s="42">
        <f t="shared" si="44"/>
        <v>5.9226890756302524</v>
      </c>
      <c r="U122" s="42">
        <f t="shared" si="46"/>
        <v>6.2188235294117655</v>
      </c>
      <c r="V122" s="36">
        <f t="shared" si="45"/>
        <v>6.2188235294117655</v>
      </c>
      <c r="W122" s="36">
        <f t="shared" si="42"/>
        <v>0.79999999999999993</v>
      </c>
      <c r="X122" s="62">
        <f t="shared" si="40"/>
        <v>7.3</v>
      </c>
    </row>
    <row r="123" spans="1:24">
      <c r="A123" s="26" t="s">
        <v>2378</v>
      </c>
      <c r="B123" s="27">
        <v>1</v>
      </c>
      <c r="C123" s="27" t="s">
        <v>2379</v>
      </c>
      <c r="D123" s="27">
        <v>0.2</v>
      </c>
      <c r="E123" s="27" t="s">
        <v>2380</v>
      </c>
      <c r="F123" s="27">
        <v>0.5</v>
      </c>
      <c r="G123" s="27" t="s">
        <v>2381</v>
      </c>
      <c r="H123" s="27">
        <v>0.3</v>
      </c>
      <c r="I123" s="27" t="s">
        <v>2382</v>
      </c>
      <c r="J123" s="27">
        <v>0.3</v>
      </c>
      <c r="K123" s="143">
        <f t="shared" si="15"/>
        <v>14.000000000000002</v>
      </c>
      <c r="L123" s="44">
        <f t="shared" si="37"/>
        <v>2.8000000000000007</v>
      </c>
      <c r="M123" s="44">
        <f t="shared" si="47"/>
        <v>1.7</v>
      </c>
      <c r="N123" s="44">
        <f t="shared" si="38"/>
        <v>0.85</v>
      </c>
      <c r="O123" s="44">
        <f t="shared" si="41"/>
        <v>2.1176470588235294</v>
      </c>
      <c r="P123" s="44">
        <f t="shared" si="39"/>
        <v>0.63529411764705879</v>
      </c>
      <c r="Q123" s="143">
        <f t="shared" si="21"/>
        <v>1.6235294117647059</v>
      </c>
      <c r="R123" s="44">
        <f t="shared" si="48"/>
        <v>0.48705882352941177</v>
      </c>
      <c r="S123" s="242">
        <f t="shared" si="43"/>
        <v>0.2</v>
      </c>
      <c r="T123" s="42">
        <f t="shared" si="44"/>
        <v>4.9723529411764718</v>
      </c>
      <c r="U123" s="42">
        <f t="shared" si="46"/>
        <v>5.2209705882352955</v>
      </c>
      <c r="V123" s="36">
        <f t="shared" si="45"/>
        <v>5.2209705882352955</v>
      </c>
      <c r="W123" s="36">
        <f t="shared" si="42"/>
        <v>1.3</v>
      </c>
      <c r="X123" s="62">
        <f t="shared" si="40"/>
        <v>6.1</v>
      </c>
    </row>
    <row r="124" spans="1:24">
      <c r="A124" s="26" t="s">
        <v>2687</v>
      </c>
      <c r="B124" s="27">
        <v>1</v>
      </c>
      <c r="C124" s="27" t="s">
        <v>2688</v>
      </c>
      <c r="D124" s="27">
        <v>0.5</v>
      </c>
      <c r="E124" s="27" t="s">
        <v>2689</v>
      </c>
      <c r="F124" s="27">
        <v>0.3</v>
      </c>
      <c r="G124" s="27" t="s">
        <v>2690</v>
      </c>
      <c r="H124" s="27">
        <v>0.2</v>
      </c>
      <c r="I124" s="27"/>
      <c r="J124" s="27"/>
      <c r="K124" s="143">
        <f t="shared" si="15"/>
        <v>1.7</v>
      </c>
      <c r="L124" s="44">
        <f t="shared" si="37"/>
        <v>0.85</v>
      </c>
      <c r="M124" s="44">
        <f t="shared" si="47"/>
        <v>0.94117647058823539</v>
      </c>
      <c r="N124" s="44">
        <f t="shared" si="38"/>
        <v>0.28235294117647058</v>
      </c>
      <c r="O124" s="44">
        <f t="shared" si="41"/>
        <v>13</v>
      </c>
      <c r="P124" s="44">
        <f t="shared" si="39"/>
        <v>2.6</v>
      </c>
      <c r="Q124" s="143" t="str">
        <f t="shared" si="21"/>
        <v/>
      </c>
      <c r="R124" s="44" t="str">
        <f t="shared" si="48"/>
        <v/>
      </c>
      <c r="S124" s="242">
        <f>B124*0.8</f>
        <v>0.8</v>
      </c>
      <c r="T124" s="42">
        <f t="shared" si="44"/>
        <v>4.5323529411764705</v>
      </c>
      <c r="U124" s="42">
        <f t="shared" si="46"/>
        <v>4.758970588235294</v>
      </c>
      <c r="V124" s="36">
        <f t="shared" si="45"/>
        <v>4.758970588235294</v>
      </c>
      <c r="W124" s="36">
        <f t="shared" si="42"/>
        <v>1</v>
      </c>
      <c r="X124" s="62">
        <f t="shared" si="40"/>
        <v>5.6</v>
      </c>
    </row>
    <row r="125" spans="1:24">
      <c r="A125" s="26" t="s">
        <v>2692</v>
      </c>
      <c r="B125" s="27">
        <v>1</v>
      </c>
      <c r="C125" s="27" t="s">
        <v>2688</v>
      </c>
      <c r="D125" s="27">
        <v>0.5</v>
      </c>
      <c r="E125" s="27"/>
      <c r="F125" s="27"/>
      <c r="G125" s="27"/>
      <c r="H125" s="27"/>
      <c r="I125" s="27"/>
      <c r="J125" s="27"/>
      <c r="K125" s="143">
        <f t="shared" si="15"/>
        <v>1.7</v>
      </c>
      <c r="L125" s="44">
        <f t="shared" si="37"/>
        <v>0.85</v>
      </c>
      <c r="M125" s="44" t="str">
        <f t="shared" si="47"/>
        <v/>
      </c>
      <c r="N125" s="44" t="str">
        <f t="shared" si="38"/>
        <v/>
      </c>
      <c r="O125" s="44" t="str">
        <f t="shared" si="41"/>
        <v/>
      </c>
      <c r="P125" s="44" t="str">
        <f t="shared" si="39"/>
        <v/>
      </c>
      <c r="Q125" s="143" t="str">
        <f t="shared" si="21"/>
        <v/>
      </c>
      <c r="R125" s="44" t="str">
        <f t="shared" si="48"/>
        <v/>
      </c>
      <c r="S125" s="242">
        <f>B125*2.8</f>
        <v>2.8</v>
      </c>
      <c r="T125" s="42">
        <f t="shared" si="44"/>
        <v>3.65</v>
      </c>
      <c r="U125" s="42">
        <f t="shared" si="46"/>
        <v>3.8325</v>
      </c>
      <c r="V125" s="36">
        <f t="shared" si="45"/>
        <v>3.8325</v>
      </c>
      <c r="W125" s="36">
        <f t="shared" si="42"/>
        <v>0.5</v>
      </c>
      <c r="X125" s="62">
        <f t="shared" si="40"/>
        <v>4.5</v>
      </c>
    </row>
    <row r="126" spans="1:24">
      <c r="A126" s="26" t="s">
        <v>2700</v>
      </c>
      <c r="B126" s="27">
        <v>1</v>
      </c>
      <c r="C126" s="27" t="s">
        <v>2702</v>
      </c>
      <c r="D126" s="27">
        <v>0.5</v>
      </c>
      <c r="E126" s="27" t="s">
        <v>2703</v>
      </c>
      <c r="F126" s="27">
        <v>0.2</v>
      </c>
      <c r="G126" s="27" t="s">
        <v>2704</v>
      </c>
      <c r="H126" s="27">
        <v>0.2</v>
      </c>
      <c r="I126" s="27"/>
      <c r="J126" s="27"/>
      <c r="K126" s="143">
        <f t="shared" si="15"/>
        <v>2.27</v>
      </c>
      <c r="L126" s="44">
        <f t="shared" si="37"/>
        <v>1.135</v>
      </c>
      <c r="M126" s="44">
        <f t="shared" si="47"/>
        <v>2.5882352941176472</v>
      </c>
      <c r="N126" s="44">
        <f t="shared" si="38"/>
        <v>0.51764705882352946</v>
      </c>
      <c r="O126" s="44" t="e">
        <f t="shared" si="41"/>
        <v>#N/A</v>
      </c>
      <c r="P126" s="44" t="str">
        <f t="shared" si="39"/>
        <v/>
      </c>
      <c r="Q126" s="143" t="str">
        <f t="shared" si="21"/>
        <v/>
      </c>
      <c r="R126" s="44" t="str">
        <f t="shared" si="48"/>
        <v/>
      </c>
      <c r="S126" s="242">
        <f>B126*1.2</f>
        <v>1.2</v>
      </c>
      <c r="T126" s="42">
        <f t="shared" si="44"/>
        <v>2.8526470588235293</v>
      </c>
      <c r="U126" s="42">
        <f t="shared" si="46"/>
        <v>2.9952794117647059</v>
      </c>
      <c r="V126" s="36">
        <f t="shared" si="45"/>
        <v>2.9952794117647059</v>
      </c>
      <c r="W126" s="36">
        <f t="shared" si="42"/>
        <v>0.89999999999999991</v>
      </c>
      <c r="X126" s="62">
        <f t="shared" si="40"/>
        <v>3.5</v>
      </c>
    </row>
    <row r="127" spans="1:24">
      <c r="A127" s="26" t="s">
        <v>2706</v>
      </c>
      <c r="B127" s="27">
        <v>1</v>
      </c>
      <c r="C127" s="27" t="s">
        <v>2708</v>
      </c>
      <c r="D127" s="27">
        <v>0.3</v>
      </c>
      <c r="E127" s="27" t="s">
        <v>2709</v>
      </c>
      <c r="F127" s="27">
        <v>0.4</v>
      </c>
      <c r="G127" s="27" t="s">
        <v>2688</v>
      </c>
      <c r="H127" s="27">
        <v>0.5</v>
      </c>
      <c r="I127" s="27" t="s">
        <v>2689</v>
      </c>
      <c r="J127" s="27">
        <v>0.3</v>
      </c>
      <c r="K127" s="143">
        <f t="shared" si="15"/>
        <v>4.2352941176470589</v>
      </c>
      <c r="L127" s="44">
        <f t="shared" si="37"/>
        <v>1.2705882352941176</v>
      </c>
      <c r="M127" s="44">
        <f t="shared" si="47"/>
        <v>1.2941176470588236</v>
      </c>
      <c r="N127" s="44">
        <f t="shared" si="38"/>
        <v>0.51764705882352946</v>
      </c>
      <c r="O127" s="44">
        <f t="shared" si="41"/>
        <v>1.7</v>
      </c>
      <c r="P127" s="44">
        <f t="shared" si="39"/>
        <v>0.85</v>
      </c>
      <c r="Q127" s="143">
        <f t="shared" si="21"/>
        <v>0.94117647058823539</v>
      </c>
      <c r="R127" s="44">
        <f t="shared" si="48"/>
        <v>0.28235294117647058</v>
      </c>
      <c r="S127" s="242">
        <f>B127*0.6</f>
        <v>0.6</v>
      </c>
      <c r="T127" s="42">
        <f t="shared" si="44"/>
        <v>3.5205882352941176</v>
      </c>
      <c r="U127" s="42">
        <f t="shared" si="46"/>
        <v>3.6966176470588237</v>
      </c>
      <c r="V127" s="36">
        <f t="shared" si="45"/>
        <v>3.6966176470588237</v>
      </c>
      <c r="W127" s="36">
        <f t="shared" si="42"/>
        <v>1.5</v>
      </c>
      <c r="X127" s="62">
        <f t="shared" si="40"/>
        <v>4.3</v>
      </c>
    </row>
    <row r="128" spans="1:24">
      <c r="A128" s="26" t="s">
        <v>2710</v>
      </c>
      <c r="B128" s="27">
        <v>1</v>
      </c>
      <c r="C128" s="27" t="s">
        <v>2712</v>
      </c>
      <c r="D128" s="27">
        <v>0.2</v>
      </c>
      <c r="E128" s="27" t="s">
        <v>2713</v>
      </c>
      <c r="F128" s="27">
        <v>0.2</v>
      </c>
      <c r="G128" s="27" t="s">
        <v>2689</v>
      </c>
      <c r="H128" s="27">
        <v>0.3</v>
      </c>
      <c r="I128" s="27" t="s">
        <v>1299</v>
      </c>
      <c r="J128" s="27">
        <v>0.5</v>
      </c>
      <c r="K128" s="143">
        <f t="shared" si="15"/>
        <v>19.428571428571431</v>
      </c>
      <c r="L128" s="44">
        <f t="shared" si="37"/>
        <v>3.8857142857142861</v>
      </c>
      <c r="M128" s="44">
        <f t="shared" si="47"/>
        <v>0.70588235294117652</v>
      </c>
      <c r="N128" s="44">
        <f t="shared" si="38"/>
        <v>0.14117647058823532</v>
      </c>
      <c r="O128" s="44">
        <f t="shared" si="41"/>
        <v>0.94117647058823539</v>
      </c>
      <c r="P128" s="44">
        <f t="shared" si="39"/>
        <v>0.28235294117647058</v>
      </c>
      <c r="Q128" s="143">
        <f t="shared" si="21"/>
        <v>6.4285714285714288</v>
      </c>
      <c r="R128" s="44">
        <f t="shared" si="48"/>
        <v>3.2142857142857144</v>
      </c>
      <c r="S128" s="242">
        <f t="shared" si="43"/>
        <v>0.2</v>
      </c>
      <c r="T128" s="42">
        <f t="shared" si="44"/>
        <v>7.7235294117647069</v>
      </c>
      <c r="U128" s="42">
        <f t="shared" si="46"/>
        <v>8.1097058823529427</v>
      </c>
      <c r="V128" s="36">
        <f t="shared" si="45"/>
        <v>8.1097058823529427</v>
      </c>
      <c r="W128" s="36">
        <f t="shared" si="42"/>
        <v>1.2</v>
      </c>
      <c r="X128" s="62">
        <f t="shared" si="40"/>
        <v>9.5</v>
      </c>
    </row>
    <row r="129" spans="1:24">
      <c r="A129" s="26" t="s">
        <v>2714</v>
      </c>
      <c r="B129" s="27">
        <v>1</v>
      </c>
      <c r="C129" s="27" t="s">
        <v>2718</v>
      </c>
      <c r="D129" s="27">
        <v>1</v>
      </c>
      <c r="E129" s="27" t="s">
        <v>1452</v>
      </c>
      <c r="F129" s="27">
        <v>0.1</v>
      </c>
      <c r="G129" s="27" t="s">
        <v>2688</v>
      </c>
      <c r="H129" s="27">
        <v>0.5</v>
      </c>
      <c r="I129" s="27" t="s">
        <v>2689</v>
      </c>
      <c r="J129" s="27">
        <v>0.2</v>
      </c>
      <c r="K129" s="143">
        <f t="shared" si="15"/>
        <v>1.4285714285714286</v>
      </c>
      <c r="L129" s="44">
        <f t="shared" si="37"/>
        <v>1.4285714285714286</v>
      </c>
      <c r="M129" s="44">
        <f t="shared" si="47"/>
        <v>13.857142857142858</v>
      </c>
      <c r="N129" s="44">
        <f t="shared" si="38"/>
        <v>1.3857142857142859</v>
      </c>
      <c r="O129" s="44">
        <f t="shared" si="41"/>
        <v>1.7</v>
      </c>
      <c r="P129" s="44">
        <f t="shared" si="39"/>
        <v>0.85</v>
      </c>
      <c r="Q129" s="143">
        <f t="shared" si="21"/>
        <v>0.94117647058823539</v>
      </c>
      <c r="R129" s="44">
        <f t="shared" si="48"/>
        <v>0.18823529411764708</v>
      </c>
      <c r="S129" s="242">
        <f t="shared" si="43"/>
        <v>0.2</v>
      </c>
      <c r="T129" s="42">
        <f t="shared" si="44"/>
        <v>4.052521008403362</v>
      </c>
      <c r="U129" s="42">
        <f t="shared" si="46"/>
        <v>4.2551470588235301</v>
      </c>
      <c r="V129" s="36">
        <f t="shared" si="45"/>
        <v>4.2551470588235301</v>
      </c>
      <c r="W129" s="36">
        <f t="shared" si="42"/>
        <v>1.8</v>
      </c>
      <c r="X129" s="62">
        <f t="shared" si="40"/>
        <v>5</v>
      </c>
    </row>
    <row r="130" spans="1:24">
      <c r="A130" s="26"/>
      <c r="B130" s="27"/>
      <c r="C130" s="27"/>
      <c r="D130" s="27"/>
      <c r="E130" s="27"/>
      <c r="F130" s="27"/>
      <c r="G130" s="27"/>
      <c r="H130" s="27"/>
      <c r="I130" s="27"/>
      <c r="J130" s="27"/>
      <c r="K130" s="143" t="str">
        <f t="shared" si="15"/>
        <v/>
      </c>
      <c r="L130" s="44" t="str">
        <f t="shared" si="37"/>
        <v/>
      </c>
      <c r="M130" s="44" t="str">
        <f t="shared" si="47"/>
        <v/>
      </c>
      <c r="N130" s="44" t="str">
        <f t="shared" si="38"/>
        <v/>
      </c>
      <c r="O130" s="44" t="str">
        <f t="shared" si="41"/>
        <v/>
      </c>
      <c r="P130" s="44" t="str">
        <f t="shared" si="39"/>
        <v/>
      </c>
      <c r="Q130" s="143" t="str">
        <f t="shared" si="21"/>
        <v/>
      </c>
      <c r="R130" s="44" t="str">
        <f t="shared" si="48"/>
        <v/>
      </c>
      <c r="S130" s="242">
        <f t="shared" si="43"/>
        <v>0</v>
      </c>
      <c r="T130" s="42">
        <f t="shared" si="44"/>
        <v>0</v>
      </c>
      <c r="U130" s="42">
        <f t="shared" si="46"/>
        <v>0</v>
      </c>
      <c r="V130" s="36" t="e">
        <f t="shared" si="45"/>
        <v>#DIV/0!</v>
      </c>
      <c r="W130" s="36" t="e">
        <f t="shared" si="42"/>
        <v>#DIV/0!</v>
      </c>
      <c r="X130" s="62" t="e">
        <f t="shared" si="40"/>
        <v>#DIV/0!</v>
      </c>
    </row>
    <row r="131" spans="1:24">
      <c r="A131" s="26"/>
      <c r="B131" s="27"/>
      <c r="C131" s="27"/>
      <c r="D131" s="27"/>
      <c r="E131" s="27"/>
      <c r="F131" s="27"/>
      <c r="G131" s="27"/>
      <c r="H131" s="27"/>
      <c r="I131" s="27"/>
      <c r="J131" s="27"/>
      <c r="K131" s="143" t="str">
        <f t="shared" ref="K131:K148" si="49">IF(C131="","",VLOOKUP(C131,成本单价,8,0))</f>
        <v/>
      </c>
      <c r="L131" s="44" t="str">
        <f t="shared" si="37"/>
        <v/>
      </c>
      <c r="M131" s="44" t="str">
        <f t="shared" si="47"/>
        <v/>
      </c>
      <c r="N131" s="44" t="str">
        <f t="shared" si="38"/>
        <v/>
      </c>
      <c r="O131" s="44" t="str">
        <f t="shared" si="41"/>
        <v/>
      </c>
      <c r="P131" s="44" t="str">
        <f t="shared" si="39"/>
        <v/>
      </c>
      <c r="Q131" s="143" t="str">
        <f t="shared" ref="Q131:Q170" si="50">IF(I131="","",VLOOKUP(I131,成本单价,8,0))</f>
        <v/>
      </c>
      <c r="R131" s="44" t="str">
        <f t="shared" si="48"/>
        <v/>
      </c>
      <c r="S131" s="242">
        <f t="shared" si="43"/>
        <v>0</v>
      </c>
      <c r="T131" s="42">
        <f t="shared" si="44"/>
        <v>0</v>
      </c>
      <c r="U131" s="42">
        <f t="shared" si="46"/>
        <v>0</v>
      </c>
      <c r="V131" s="36" t="e">
        <f t="shared" si="45"/>
        <v>#DIV/0!</v>
      </c>
      <c r="W131" s="36" t="e">
        <f t="shared" si="42"/>
        <v>#DIV/0!</v>
      </c>
      <c r="X131" s="62" t="e">
        <f t="shared" si="40"/>
        <v>#DIV/0!</v>
      </c>
    </row>
    <row r="132" spans="1:24">
      <c r="A132" s="26"/>
      <c r="B132" s="27"/>
      <c r="C132" s="27"/>
      <c r="D132" s="27"/>
      <c r="E132" s="27"/>
      <c r="F132" s="27"/>
      <c r="G132" s="27"/>
      <c r="H132" s="27"/>
      <c r="I132" s="27"/>
      <c r="J132" s="27"/>
      <c r="K132" s="143" t="str">
        <f t="shared" si="49"/>
        <v/>
      </c>
      <c r="L132" s="44" t="str">
        <f t="shared" si="37"/>
        <v/>
      </c>
      <c r="M132" s="44" t="str">
        <f t="shared" ref="M132:M195" si="51">IF(E132="","",VLOOKUP(E132,成本单价,8,0))</f>
        <v/>
      </c>
      <c r="N132" s="44" t="str">
        <f t="shared" si="38"/>
        <v/>
      </c>
      <c r="O132" s="44" t="str">
        <f t="shared" ref="O132:O195" si="52">IF(G132="","",VLOOKUP(G132,成本单价,8,0))</f>
        <v/>
      </c>
      <c r="P132" s="44" t="str">
        <f t="shared" si="39"/>
        <v/>
      </c>
      <c r="Q132" s="143" t="str">
        <f t="shared" si="50"/>
        <v/>
      </c>
      <c r="R132" s="44" t="str">
        <f t="shared" si="48"/>
        <v/>
      </c>
      <c r="S132" s="242">
        <f t="shared" si="43"/>
        <v>0</v>
      </c>
      <c r="T132" s="42">
        <f t="shared" si="44"/>
        <v>0</v>
      </c>
      <c r="U132" s="42">
        <f t="shared" ref="U132:U195" si="53">T132*(1+物料比)</f>
        <v>0</v>
      </c>
      <c r="V132" s="36" t="e">
        <f t="shared" ref="V132:V195" si="54">U132/B132</f>
        <v>#DIV/0!</v>
      </c>
      <c r="W132" s="36" t="e">
        <f t="shared" ref="W132:W195" si="55">D132/B132+F132/B132+H132/B132+J132/B132</f>
        <v>#DIV/0!</v>
      </c>
      <c r="X132" s="62" t="e">
        <f t="shared" si="40"/>
        <v>#DIV/0!</v>
      </c>
    </row>
    <row r="133" spans="1:24">
      <c r="A133" s="26"/>
      <c r="B133" s="27"/>
      <c r="C133" s="27"/>
      <c r="D133" s="27"/>
      <c r="E133" s="27"/>
      <c r="F133" s="27"/>
      <c r="G133" s="27"/>
      <c r="H133" s="27"/>
      <c r="I133" s="27"/>
      <c r="J133" s="27"/>
      <c r="K133" s="143" t="str">
        <f t="shared" si="49"/>
        <v/>
      </c>
      <c r="L133" s="44" t="str">
        <f t="shared" ref="L133:L196" si="56">IFERROR(D133*K133,"")</f>
        <v/>
      </c>
      <c r="M133" s="44" t="str">
        <f t="shared" si="51"/>
        <v/>
      </c>
      <c r="N133" s="44" t="str">
        <f t="shared" ref="N133:N196" si="57">IFERROR(F133*M133,"")</f>
        <v/>
      </c>
      <c r="O133" s="44" t="str">
        <f t="shared" si="52"/>
        <v/>
      </c>
      <c r="P133" s="44" t="str">
        <f t="shared" si="39"/>
        <v/>
      </c>
      <c r="Q133" s="143" t="str">
        <f t="shared" si="50"/>
        <v/>
      </c>
      <c r="R133" s="44" t="str">
        <f t="shared" ref="R133:R196" si="58">IFERROR(J133*Q133,"")</f>
        <v/>
      </c>
      <c r="S133" s="242">
        <f t="shared" ref="S133:S196" si="59">B133*0.2</f>
        <v>0</v>
      </c>
      <c r="T133" s="42">
        <f t="shared" ref="T133:T196" si="60">IFERROR(SUM(L133,N133,P133,R133,S133),"")</f>
        <v>0</v>
      </c>
      <c r="U133" s="42">
        <f t="shared" si="53"/>
        <v>0</v>
      </c>
      <c r="V133" s="36" t="e">
        <f t="shared" si="54"/>
        <v>#DIV/0!</v>
      </c>
      <c r="W133" s="36" t="e">
        <f t="shared" si="55"/>
        <v>#DIV/0!</v>
      </c>
      <c r="X133" s="62" t="e">
        <f t="shared" ref="X133:X196" si="61">ROUNDUP(V133*(1+小吃毛利),1)</f>
        <v>#DIV/0!</v>
      </c>
    </row>
    <row r="134" spans="1:24">
      <c r="A134" s="26"/>
      <c r="B134" s="27"/>
      <c r="C134" s="27"/>
      <c r="D134" s="27"/>
      <c r="E134" s="27"/>
      <c r="F134" s="27"/>
      <c r="G134" s="27"/>
      <c r="H134" s="27"/>
      <c r="I134" s="27"/>
      <c r="J134" s="27"/>
      <c r="K134" s="143" t="str">
        <f t="shared" si="49"/>
        <v/>
      </c>
      <c r="L134" s="44" t="str">
        <f t="shared" si="56"/>
        <v/>
      </c>
      <c r="M134" s="44" t="str">
        <f t="shared" si="51"/>
        <v/>
      </c>
      <c r="N134" s="44" t="str">
        <f t="shared" si="57"/>
        <v/>
      </c>
      <c r="O134" s="44" t="str">
        <f t="shared" si="52"/>
        <v/>
      </c>
      <c r="P134" s="44" t="str">
        <f t="shared" ref="P134:P197" si="62">IFERROR(H134*O134,"")</f>
        <v/>
      </c>
      <c r="Q134" s="143" t="str">
        <f t="shared" si="50"/>
        <v/>
      </c>
      <c r="R134" s="44" t="str">
        <f t="shared" si="58"/>
        <v/>
      </c>
      <c r="S134" s="242">
        <f t="shared" si="59"/>
        <v>0</v>
      </c>
      <c r="T134" s="42">
        <f t="shared" si="60"/>
        <v>0</v>
      </c>
      <c r="U134" s="42">
        <f t="shared" si="53"/>
        <v>0</v>
      </c>
      <c r="V134" s="36" t="e">
        <f t="shared" si="54"/>
        <v>#DIV/0!</v>
      </c>
      <c r="W134" s="36" t="e">
        <f t="shared" si="55"/>
        <v>#DIV/0!</v>
      </c>
      <c r="X134" s="62" t="e">
        <f t="shared" si="61"/>
        <v>#DIV/0!</v>
      </c>
    </row>
    <row r="135" spans="1:24">
      <c r="A135" s="26"/>
      <c r="B135" s="27"/>
      <c r="C135" s="27"/>
      <c r="D135" s="27"/>
      <c r="E135" s="27"/>
      <c r="F135" s="27"/>
      <c r="G135" s="27"/>
      <c r="H135" s="27"/>
      <c r="I135" s="27"/>
      <c r="J135" s="27"/>
      <c r="K135" s="143" t="str">
        <f t="shared" si="49"/>
        <v/>
      </c>
      <c r="L135" s="44" t="str">
        <f t="shared" si="56"/>
        <v/>
      </c>
      <c r="M135" s="44" t="str">
        <f t="shared" si="51"/>
        <v/>
      </c>
      <c r="N135" s="44" t="str">
        <f t="shared" si="57"/>
        <v/>
      </c>
      <c r="O135" s="44" t="str">
        <f t="shared" si="52"/>
        <v/>
      </c>
      <c r="P135" s="44" t="str">
        <f t="shared" si="62"/>
        <v/>
      </c>
      <c r="Q135" s="143" t="str">
        <f t="shared" si="50"/>
        <v/>
      </c>
      <c r="R135" s="44" t="str">
        <f t="shared" si="58"/>
        <v/>
      </c>
      <c r="S135" s="242">
        <f t="shared" si="59"/>
        <v>0</v>
      </c>
      <c r="T135" s="42">
        <f t="shared" si="60"/>
        <v>0</v>
      </c>
      <c r="U135" s="42">
        <f t="shared" si="53"/>
        <v>0</v>
      </c>
      <c r="V135" s="36" t="e">
        <f t="shared" si="54"/>
        <v>#DIV/0!</v>
      </c>
      <c r="W135" s="36" t="e">
        <f t="shared" si="55"/>
        <v>#DIV/0!</v>
      </c>
      <c r="X135" s="62" t="e">
        <f t="shared" si="61"/>
        <v>#DIV/0!</v>
      </c>
    </row>
    <row r="136" spans="1:24">
      <c r="A136" s="26"/>
      <c r="B136" s="27"/>
      <c r="C136" s="27"/>
      <c r="D136" s="27"/>
      <c r="E136" s="27"/>
      <c r="F136" s="27"/>
      <c r="G136" s="27"/>
      <c r="H136" s="27"/>
      <c r="I136" s="27"/>
      <c r="J136" s="27"/>
      <c r="K136" s="143" t="str">
        <f t="shared" si="49"/>
        <v/>
      </c>
      <c r="L136" s="44" t="str">
        <f t="shared" si="56"/>
        <v/>
      </c>
      <c r="M136" s="44" t="str">
        <f t="shared" si="51"/>
        <v/>
      </c>
      <c r="N136" s="44" t="str">
        <f t="shared" si="57"/>
        <v/>
      </c>
      <c r="O136" s="44" t="str">
        <f t="shared" si="52"/>
        <v/>
      </c>
      <c r="P136" s="44" t="str">
        <f t="shared" si="62"/>
        <v/>
      </c>
      <c r="Q136" s="143" t="str">
        <f t="shared" si="50"/>
        <v/>
      </c>
      <c r="R136" s="44" t="str">
        <f t="shared" si="58"/>
        <v/>
      </c>
      <c r="S136" s="242">
        <f t="shared" si="59"/>
        <v>0</v>
      </c>
      <c r="T136" s="42">
        <f t="shared" si="60"/>
        <v>0</v>
      </c>
      <c r="U136" s="42">
        <f t="shared" si="53"/>
        <v>0</v>
      </c>
      <c r="V136" s="36" t="e">
        <f t="shared" si="54"/>
        <v>#DIV/0!</v>
      </c>
      <c r="W136" s="36" t="e">
        <f t="shared" si="55"/>
        <v>#DIV/0!</v>
      </c>
      <c r="X136" s="62" t="e">
        <f t="shared" si="61"/>
        <v>#DIV/0!</v>
      </c>
    </row>
    <row r="137" spans="1:24">
      <c r="A137" s="26"/>
      <c r="B137" s="27"/>
      <c r="C137" s="27"/>
      <c r="D137" s="27"/>
      <c r="E137" s="27"/>
      <c r="F137" s="27"/>
      <c r="G137" s="27"/>
      <c r="H137" s="27"/>
      <c r="I137" s="27"/>
      <c r="J137" s="27"/>
      <c r="K137" s="143" t="str">
        <f t="shared" si="49"/>
        <v/>
      </c>
      <c r="L137" s="44" t="str">
        <f t="shared" si="56"/>
        <v/>
      </c>
      <c r="M137" s="44" t="str">
        <f t="shared" si="51"/>
        <v/>
      </c>
      <c r="N137" s="44" t="str">
        <f t="shared" si="57"/>
        <v/>
      </c>
      <c r="O137" s="44" t="str">
        <f t="shared" si="52"/>
        <v/>
      </c>
      <c r="P137" s="44" t="str">
        <f t="shared" si="62"/>
        <v/>
      </c>
      <c r="Q137" s="143" t="str">
        <f t="shared" si="50"/>
        <v/>
      </c>
      <c r="R137" s="44" t="str">
        <f t="shared" si="58"/>
        <v/>
      </c>
      <c r="S137" s="242">
        <f t="shared" si="59"/>
        <v>0</v>
      </c>
      <c r="T137" s="42">
        <f t="shared" si="60"/>
        <v>0</v>
      </c>
      <c r="U137" s="42">
        <f t="shared" si="53"/>
        <v>0</v>
      </c>
      <c r="V137" s="36" t="e">
        <f t="shared" si="54"/>
        <v>#DIV/0!</v>
      </c>
      <c r="W137" s="36" t="e">
        <f t="shared" si="55"/>
        <v>#DIV/0!</v>
      </c>
      <c r="X137" s="62" t="e">
        <f t="shared" si="61"/>
        <v>#DIV/0!</v>
      </c>
    </row>
    <row r="138" spans="1:24">
      <c r="A138" s="26"/>
      <c r="B138" s="27"/>
      <c r="C138" s="27"/>
      <c r="D138" s="27"/>
      <c r="E138" s="27"/>
      <c r="F138" s="27"/>
      <c r="G138" s="27"/>
      <c r="H138" s="27"/>
      <c r="I138" s="27"/>
      <c r="J138" s="27"/>
      <c r="K138" s="143" t="str">
        <f t="shared" si="49"/>
        <v/>
      </c>
      <c r="L138" s="44" t="str">
        <f t="shared" si="56"/>
        <v/>
      </c>
      <c r="M138" s="44" t="str">
        <f t="shared" si="51"/>
        <v/>
      </c>
      <c r="N138" s="44" t="str">
        <f t="shared" si="57"/>
        <v/>
      </c>
      <c r="O138" s="44" t="str">
        <f t="shared" si="52"/>
        <v/>
      </c>
      <c r="P138" s="44" t="str">
        <f t="shared" si="62"/>
        <v/>
      </c>
      <c r="Q138" s="143" t="str">
        <f t="shared" si="50"/>
        <v/>
      </c>
      <c r="R138" s="44" t="str">
        <f t="shared" si="58"/>
        <v/>
      </c>
      <c r="S138" s="242">
        <f t="shared" si="59"/>
        <v>0</v>
      </c>
      <c r="T138" s="42">
        <f t="shared" si="60"/>
        <v>0</v>
      </c>
      <c r="U138" s="42">
        <f t="shared" si="53"/>
        <v>0</v>
      </c>
      <c r="V138" s="36" t="e">
        <f t="shared" si="54"/>
        <v>#DIV/0!</v>
      </c>
      <c r="W138" s="36" t="e">
        <f t="shared" si="55"/>
        <v>#DIV/0!</v>
      </c>
      <c r="X138" s="62" t="e">
        <f t="shared" si="61"/>
        <v>#DIV/0!</v>
      </c>
    </row>
    <row r="139" spans="1:24">
      <c r="A139" s="26"/>
      <c r="B139" s="27"/>
      <c r="C139" s="27"/>
      <c r="D139" s="27"/>
      <c r="E139" s="27"/>
      <c r="F139" s="27"/>
      <c r="G139" s="27"/>
      <c r="H139" s="27"/>
      <c r="I139" s="27"/>
      <c r="J139" s="27"/>
      <c r="K139" s="143" t="str">
        <f t="shared" si="49"/>
        <v/>
      </c>
      <c r="L139" s="44" t="str">
        <f t="shared" si="56"/>
        <v/>
      </c>
      <c r="M139" s="44" t="str">
        <f t="shared" si="51"/>
        <v/>
      </c>
      <c r="N139" s="44" t="str">
        <f t="shared" si="57"/>
        <v/>
      </c>
      <c r="O139" s="44" t="str">
        <f t="shared" si="52"/>
        <v/>
      </c>
      <c r="P139" s="44" t="str">
        <f t="shared" si="62"/>
        <v/>
      </c>
      <c r="Q139" s="143" t="str">
        <f t="shared" si="50"/>
        <v/>
      </c>
      <c r="R139" s="44" t="str">
        <f t="shared" si="58"/>
        <v/>
      </c>
      <c r="S139" s="242">
        <f t="shared" si="59"/>
        <v>0</v>
      </c>
      <c r="T139" s="42">
        <f t="shared" si="60"/>
        <v>0</v>
      </c>
      <c r="U139" s="42">
        <f t="shared" si="53"/>
        <v>0</v>
      </c>
      <c r="V139" s="36" t="e">
        <f t="shared" si="54"/>
        <v>#DIV/0!</v>
      </c>
      <c r="W139" s="36" t="e">
        <f t="shared" si="55"/>
        <v>#DIV/0!</v>
      </c>
      <c r="X139" s="62" t="e">
        <f t="shared" si="61"/>
        <v>#DIV/0!</v>
      </c>
    </row>
    <row r="140" spans="1:24">
      <c r="A140" s="26"/>
      <c r="B140" s="27"/>
      <c r="C140" s="27"/>
      <c r="D140" s="27"/>
      <c r="E140" s="27"/>
      <c r="F140" s="27"/>
      <c r="G140" s="27"/>
      <c r="H140" s="27"/>
      <c r="I140" s="27"/>
      <c r="J140" s="27"/>
      <c r="K140" s="143" t="str">
        <f t="shared" si="49"/>
        <v/>
      </c>
      <c r="L140" s="44" t="str">
        <f t="shared" si="56"/>
        <v/>
      </c>
      <c r="M140" s="44" t="str">
        <f t="shared" si="51"/>
        <v/>
      </c>
      <c r="N140" s="44" t="str">
        <f t="shared" si="57"/>
        <v/>
      </c>
      <c r="O140" s="44" t="str">
        <f t="shared" si="52"/>
        <v/>
      </c>
      <c r="P140" s="44" t="str">
        <f t="shared" si="62"/>
        <v/>
      </c>
      <c r="Q140" s="143" t="str">
        <f t="shared" si="50"/>
        <v/>
      </c>
      <c r="R140" s="44" t="str">
        <f t="shared" si="58"/>
        <v/>
      </c>
      <c r="S140" s="242">
        <f t="shared" si="59"/>
        <v>0</v>
      </c>
      <c r="T140" s="42">
        <f t="shared" si="60"/>
        <v>0</v>
      </c>
      <c r="U140" s="42">
        <f t="shared" si="53"/>
        <v>0</v>
      </c>
      <c r="V140" s="36" t="e">
        <f t="shared" si="54"/>
        <v>#DIV/0!</v>
      </c>
      <c r="W140" s="36" t="e">
        <f t="shared" si="55"/>
        <v>#DIV/0!</v>
      </c>
      <c r="X140" s="62" t="e">
        <f t="shared" si="61"/>
        <v>#DIV/0!</v>
      </c>
    </row>
    <row r="141" spans="1:24">
      <c r="A141" s="26"/>
      <c r="B141" s="27"/>
      <c r="C141" s="27"/>
      <c r="D141" s="27"/>
      <c r="E141" s="27"/>
      <c r="F141" s="27"/>
      <c r="G141" s="27"/>
      <c r="H141" s="27"/>
      <c r="I141" s="27"/>
      <c r="J141" s="27"/>
      <c r="K141" s="143" t="str">
        <f t="shared" si="49"/>
        <v/>
      </c>
      <c r="L141" s="44" t="str">
        <f t="shared" si="56"/>
        <v/>
      </c>
      <c r="M141" s="44" t="str">
        <f t="shared" si="51"/>
        <v/>
      </c>
      <c r="N141" s="44" t="str">
        <f t="shared" si="57"/>
        <v/>
      </c>
      <c r="O141" s="44" t="str">
        <f t="shared" si="52"/>
        <v/>
      </c>
      <c r="P141" s="44" t="str">
        <f t="shared" si="62"/>
        <v/>
      </c>
      <c r="Q141" s="143" t="str">
        <f t="shared" si="50"/>
        <v/>
      </c>
      <c r="R141" s="44" t="str">
        <f t="shared" si="58"/>
        <v/>
      </c>
      <c r="S141" s="242">
        <f t="shared" si="59"/>
        <v>0</v>
      </c>
      <c r="T141" s="42">
        <f t="shared" si="60"/>
        <v>0</v>
      </c>
      <c r="U141" s="42">
        <f t="shared" si="53"/>
        <v>0</v>
      </c>
      <c r="V141" s="36" t="e">
        <f t="shared" si="54"/>
        <v>#DIV/0!</v>
      </c>
      <c r="W141" s="36" t="e">
        <f t="shared" si="55"/>
        <v>#DIV/0!</v>
      </c>
      <c r="X141" s="62" t="e">
        <f t="shared" si="61"/>
        <v>#DIV/0!</v>
      </c>
    </row>
    <row r="142" spans="1:24">
      <c r="A142" s="26"/>
      <c r="B142" s="27"/>
      <c r="C142" s="27"/>
      <c r="D142" s="27"/>
      <c r="E142" s="27"/>
      <c r="F142" s="27"/>
      <c r="G142" s="27"/>
      <c r="H142" s="27"/>
      <c r="I142" s="27"/>
      <c r="J142" s="27"/>
      <c r="K142" s="143" t="str">
        <f t="shared" si="49"/>
        <v/>
      </c>
      <c r="L142" s="44" t="str">
        <f t="shared" si="56"/>
        <v/>
      </c>
      <c r="M142" s="44" t="str">
        <f t="shared" si="51"/>
        <v/>
      </c>
      <c r="N142" s="44" t="str">
        <f t="shared" si="57"/>
        <v/>
      </c>
      <c r="O142" s="44" t="str">
        <f t="shared" si="52"/>
        <v/>
      </c>
      <c r="P142" s="44" t="str">
        <f t="shared" si="62"/>
        <v/>
      </c>
      <c r="Q142" s="143" t="str">
        <f t="shared" si="50"/>
        <v/>
      </c>
      <c r="R142" s="44" t="str">
        <f t="shared" si="58"/>
        <v/>
      </c>
      <c r="S142" s="242">
        <f t="shared" si="59"/>
        <v>0</v>
      </c>
      <c r="T142" s="42">
        <f t="shared" si="60"/>
        <v>0</v>
      </c>
      <c r="U142" s="42">
        <f t="shared" si="53"/>
        <v>0</v>
      </c>
      <c r="V142" s="36" t="e">
        <f t="shared" si="54"/>
        <v>#DIV/0!</v>
      </c>
      <c r="W142" s="36" t="e">
        <f t="shared" si="55"/>
        <v>#DIV/0!</v>
      </c>
      <c r="X142" s="62" t="e">
        <f t="shared" si="61"/>
        <v>#DIV/0!</v>
      </c>
    </row>
    <row r="143" spans="1:24">
      <c r="A143" s="26"/>
      <c r="B143" s="27"/>
      <c r="C143" s="27"/>
      <c r="D143" s="27"/>
      <c r="E143" s="27"/>
      <c r="F143" s="27"/>
      <c r="G143" s="27"/>
      <c r="H143" s="27"/>
      <c r="I143" s="27"/>
      <c r="J143" s="27"/>
      <c r="K143" s="143" t="str">
        <f t="shared" si="49"/>
        <v/>
      </c>
      <c r="L143" s="44" t="str">
        <f t="shared" si="56"/>
        <v/>
      </c>
      <c r="M143" s="44" t="str">
        <f t="shared" si="51"/>
        <v/>
      </c>
      <c r="N143" s="44" t="str">
        <f t="shared" si="57"/>
        <v/>
      </c>
      <c r="O143" s="44" t="str">
        <f t="shared" si="52"/>
        <v/>
      </c>
      <c r="P143" s="44" t="str">
        <f t="shared" si="62"/>
        <v/>
      </c>
      <c r="Q143" s="143" t="str">
        <f t="shared" si="50"/>
        <v/>
      </c>
      <c r="R143" s="44" t="str">
        <f t="shared" si="58"/>
        <v/>
      </c>
      <c r="S143" s="242">
        <f t="shared" si="59"/>
        <v>0</v>
      </c>
      <c r="T143" s="42">
        <f t="shared" si="60"/>
        <v>0</v>
      </c>
      <c r="U143" s="42">
        <f t="shared" si="53"/>
        <v>0</v>
      </c>
      <c r="V143" s="36" t="e">
        <f t="shared" si="54"/>
        <v>#DIV/0!</v>
      </c>
      <c r="W143" s="36" t="e">
        <f t="shared" si="55"/>
        <v>#DIV/0!</v>
      </c>
      <c r="X143" s="62" t="e">
        <f t="shared" si="61"/>
        <v>#DIV/0!</v>
      </c>
    </row>
    <row r="144" spans="1:24">
      <c r="A144" s="26"/>
      <c r="B144" s="27"/>
      <c r="C144" s="27"/>
      <c r="D144" s="27"/>
      <c r="E144" s="27"/>
      <c r="F144" s="27"/>
      <c r="G144" s="27"/>
      <c r="H144" s="27"/>
      <c r="I144" s="27"/>
      <c r="J144" s="27"/>
      <c r="K144" s="143" t="str">
        <f t="shared" si="49"/>
        <v/>
      </c>
      <c r="L144" s="44" t="str">
        <f t="shared" si="56"/>
        <v/>
      </c>
      <c r="M144" s="44" t="str">
        <f t="shared" si="51"/>
        <v/>
      </c>
      <c r="N144" s="44" t="str">
        <f t="shared" si="57"/>
        <v/>
      </c>
      <c r="O144" s="44" t="str">
        <f t="shared" si="52"/>
        <v/>
      </c>
      <c r="P144" s="44" t="str">
        <f t="shared" si="62"/>
        <v/>
      </c>
      <c r="Q144" s="143" t="str">
        <f t="shared" si="50"/>
        <v/>
      </c>
      <c r="R144" s="44" t="str">
        <f t="shared" si="58"/>
        <v/>
      </c>
      <c r="S144" s="242">
        <f t="shared" si="59"/>
        <v>0</v>
      </c>
      <c r="T144" s="42">
        <f t="shared" si="60"/>
        <v>0</v>
      </c>
      <c r="U144" s="42">
        <f t="shared" si="53"/>
        <v>0</v>
      </c>
      <c r="V144" s="36" t="e">
        <f t="shared" si="54"/>
        <v>#DIV/0!</v>
      </c>
      <c r="W144" s="36" t="e">
        <f t="shared" si="55"/>
        <v>#DIV/0!</v>
      </c>
      <c r="X144" s="62" t="e">
        <f t="shared" si="61"/>
        <v>#DIV/0!</v>
      </c>
    </row>
    <row r="145" spans="1:24">
      <c r="A145" s="26"/>
      <c r="B145" s="27"/>
      <c r="C145" s="27"/>
      <c r="D145" s="27"/>
      <c r="E145" s="27"/>
      <c r="F145" s="27"/>
      <c r="G145" s="27"/>
      <c r="H145" s="27"/>
      <c r="I145" s="27"/>
      <c r="J145" s="27"/>
      <c r="K145" s="143" t="str">
        <f t="shared" si="49"/>
        <v/>
      </c>
      <c r="L145" s="44" t="str">
        <f t="shared" si="56"/>
        <v/>
      </c>
      <c r="M145" s="44" t="str">
        <f t="shared" si="51"/>
        <v/>
      </c>
      <c r="N145" s="44" t="str">
        <f t="shared" si="57"/>
        <v/>
      </c>
      <c r="O145" s="44" t="str">
        <f t="shared" si="52"/>
        <v/>
      </c>
      <c r="P145" s="44" t="str">
        <f t="shared" si="62"/>
        <v/>
      </c>
      <c r="Q145" s="143" t="str">
        <f t="shared" si="50"/>
        <v/>
      </c>
      <c r="R145" s="44" t="str">
        <f t="shared" si="58"/>
        <v/>
      </c>
      <c r="S145" s="242">
        <f t="shared" si="59"/>
        <v>0</v>
      </c>
      <c r="T145" s="42">
        <f t="shared" si="60"/>
        <v>0</v>
      </c>
      <c r="U145" s="42">
        <f t="shared" si="53"/>
        <v>0</v>
      </c>
      <c r="V145" s="36" t="e">
        <f t="shared" si="54"/>
        <v>#DIV/0!</v>
      </c>
      <c r="W145" s="36" t="e">
        <f t="shared" si="55"/>
        <v>#DIV/0!</v>
      </c>
      <c r="X145" s="62" t="e">
        <f t="shared" si="61"/>
        <v>#DIV/0!</v>
      </c>
    </row>
    <row r="146" spans="1:24">
      <c r="A146" s="26"/>
      <c r="B146" s="27"/>
      <c r="C146" s="27"/>
      <c r="D146" s="27"/>
      <c r="E146" s="27"/>
      <c r="F146" s="27"/>
      <c r="G146" s="27"/>
      <c r="H146" s="27"/>
      <c r="I146" s="27"/>
      <c r="J146" s="27"/>
      <c r="K146" s="143" t="str">
        <f t="shared" si="49"/>
        <v/>
      </c>
      <c r="L146" s="44" t="str">
        <f t="shared" si="56"/>
        <v/>
      </c>
      <c r="M146" s="44" t="str">
        <f t="shared" si="51"/>
        <v/>
      </c>
      <c r="N146" s="44" t="str">
        <f t="shared" si="57"/>
        <v/>
      </c>
      <c r="O146" s="44" t="str">
        <f t="shared" si="52"/>
        <v/>
      </c>
      <c r="P146" s="44" t="str">
        <f t="shared" si="62"/>
        <v/>
      </c>
      <c r="Q146" s="143" t="str">
        <f t="shared" si="50"/>
        <v/>
      </c>
      <c r="R146" s="44" t="str">
        <f t="shared" si="58"/>
        <v/>
      </c>
      <c r="S146" s="242">
        <f t="shared" si="59"/>
        <v>0</v>
      </c>
      <c r="T146" s="42">
        <f t="shared" si="60"/>
        <v>0</v>
      </c>
      <c r="U146" s="42">
        <f t="shared" si="53"/>
        <v>0</v>
      </c>
      <c r="V146" s="36" t="e">
        <f t="shared" si="54"/>
        <v>#DIV/0!</v>
      </c>
      <c r="W146" s="36" t="e">
        <f t="shared" si="55"/>
        <v>#DIV/0!</v>
      </c>
      <c r="X146" s="62" t="e">
        <f t="shared" si="61"/>
        <v>#DIV/0!</v>
      </c>
    </row>
    <row r="147" spans="1:24">
      <c r="A147" s="26"/>
      <c r="B147" s="27"/>
      <c r="C147" s="27"/>
      <c r="D147" s="27"/>
      <c r="E147" s="27"/>
      <c r="F147" s="27"/>
      <c r="G147" s="27"/>
      <c r="H147" s="27"/>
      <c r="I147" s="27"/>
      <c r="J147" s="27"/>
      <c r="K147" s="143" t="str">
        <f t="shared" si="49"/>
        <v/>
      </c>
      <c r="L147" s="44" t="str">
        <f t="shared" si="56"/>
        <v/>
      </c>
      <c r="M147" s="44" t="str">
        <f t="shared" si="51"/>
        <v/>
      </c>
      <c r="N147" s="44" t="str">
        <f t="shared" si="57"/>
        <v/>
      </c>
      <c r="O147" s="44" t="str">
        <f t="shared" si="52"/>
        <v/>
      </c>
      <c r="P147" s="44" t="str">
        <f t="shared" si="62"/>
        <v/>
      </c>
      <c r="Q147" s="143" t="str">
        <f t="shared" si="50"/>
        <v/>
      </c>
      <c r="R147" s="44" t="str">
        <f t="shared" si="58"/>
        <v/>
      </c>
      <c r="S147" s="242">
        <f t="shared" si="59"/>
        <v>0</v>
      </c>
      <c r="T147" s="42">
        <f t="shared" si="60"/>
        <v>0</v>
      </c>
      <c r="U147" s="42">
        <f t="shared" si="53"/>
        <v>0</v>
      </c>
      <c r="V147" s="36" t="e">
        <f t="shared" si="54"/>
        <v>#DIV/0!</v>
      </c>
      <c r="W147" s="36" t="e">
        <f t="shared" si="55"/>
        <v>#DIV/0!</v>
      </c>
      <c r="X147" s="62" t="e">
        <f t="shared" si="61"/>
        <v>#DIV/0!</v>
      </c>
    </row>
    <row r="148" spans="1:24">
      <c r="A148" s="26"/>
      <c r="B148" s="27"/>
      <c r="C148" s="27"/>
      <c r="D148" s="27"/>
      <c r="E148" s="27"/>
      <c r="F148" s="27"/>
      <c r="G148" s="27"/>
      <c r="H148" s="27"/>
      <c r="I148" s="27"/>
      <c r="J148" s="27"/>
      <c r="K148" s="143" t="str">
        <f t="shared" si="49"/>
        <v/>
      </c>
      <c r="L148" s="44" t="str">
        <f t="shared" si="56"/>
        <v/>
      </c>
      <c r="M148" s="44" t="str">
        <f t="shared" si="51"/>
        <v/>
      </c>
      <c r="N148" s="44" t="str">
        <f t="shared" si="57"/>
        <v/>
      </c>
      <c r="O148" s="44" t="str">
        <f t="shared" si="52"/>
        <v/>
      </c>
      <c r="P148" s="44" t="str">
        <f t="shared" si="62"/>
        <v/>
      </c>
      <c r="Q148" s="143" t="str">
        <f t="shared" si="50"/>
        <v/>
      </c>
      <c r="R148" s="44" t="str">
        <f t="shared" si="58"/>
        <v/>
      </c>
      <c r="S148" s="242">
        <f t="shared" si="59"/>
        <v>0</v>
      </c>
      <c r="T148" s="42">
        <f t="shared" si="60"/>
        <v>0</v>
      </c>
      <c r="U148" s="42">
        <f t="shared" si="53"/>
        <v>0</v>
      </c>
      <c r="V148" s="36" t="e">
        <f t="shared" si="54"/>
        <v>#DIV/0!</v>
      </c>
      <c r="W148" s="36" t="e">
        <f t="shared" si="55"/>
        <v>#DIV/0!</v>
      </c>
      <c r="X148" s="62" t="e">
        <f t="shared" si="61"/>
        <v>#DIV/0!</v>
      </c>
    </row>
    <row r="149" spans="1:24">
      <c r="A149" s="26"/>
      <c r="B149" s="27"/>
      <c r="C149" s="27"/>
      <c r="D149" s="27"/>
      <c r="E149" s="27"/>
      <c r="F149" s="27"/>
      <c r="G149" s="27"/>
      <c r="H149" s="27"/>
      <c r="I149" s="27"/>
      <c r="J149" s="27"/>
      <c r="K149" s="133" t="str">
        <f t="shared" ref="K149:K181" si="63">IF(C149="","",VLOOKUP(C149,成本单价,8,0))</f>
        <v/>
      </c>
      <c r="L149" s="44" t="str">
        <f t="shared" si="56"/>
        <v/>
      </c>
      <c r="M149" s="44" t="str">
        <f t="shared" si="51"/>
        <v/>
      </c>
      <c r="N149" s="44" t="str">
        <f t="shared" si="57"/>
        <v/>
      </c>
      <c r="O149" s="44" t="str">
        <f t="shared" si="52"/>
        <v/>
      </c>
      <c r="P149" s="44" t="str">
        <f t="shared" si="62"/>
        <v/>
      </c>
      <c r="Q149" s="143" t="str">
        <f t="shared" si="50"/>
        <v/>
      </c>
      <c r="R149" s="44" t="str">
        <f t="shared" si="58"/>
        <v/>
      </c>
      <c r="S149" s="242">
        <f t="shared" si="59"/>
        <v>0</v>
      </c>
      <c r="T149" s="42">
        <f t="shared" si="60"/>
        <v>0</v>
      </c>
      <c r="U149" s="42">
        <f t="shared" si="53"/>
        <v>0</v>
      </c>
      <c r="V149" s="36" t="e">
        <f t="shared" si="54"/>
        <v>#DIV/0!</v>
      </c>
      <c r="W149" s="36" t="e">
        <f t="shared" si="55"/>
        <v>#DIV/0!</v>
      </c>
      <c r="X149" s="62" t="e">
        <f t="shared" si="61"/>
        <v>#DIV/0!</v>
      </c>
    </row>
    <row r="150" spans="1:24">
      <c r="A150" s="26"/>
      <c r="B150" s="27"/>
      <c r="C150" s="27"/>
      <c r="D150" s="27"/>
      <c r="E150" s="27"/>
      <c r="F150" s="27"/>
      <c r="G150" s="27"/>
      <c r="H150" s="27"/>
      <c r="I150" s="27"/>
      <c r="J150" s="27"/>
      <c r="K150" s="133" t="str">
        <f t="shared" si="63"/>
        <v/>
      </c>
      <c r="L150" s="44" t="str">
        <f t="shared" si="56"/>
        <v/>
      </c>
      <c r="M150" s="44" t="str">
        <f t="shared" si="51"/>
        <v/>
      </c>
      <c r="N150" s="44" t="str">
        <f t="shared" si="57"/>
        <v/>
      </c>
      <c r="O150" s="44" t="str">
        <f t="shared" si="52"/>
        <v/>
      </c>
      <c r="P150" s="44" t="str">
        <f t="shared" si="62"/>
        <v/>
      </c>
      <c r="Q150" s="143" t="str">
        <f t="shared" si="50"/>
        <v/>
      </c>
      <c r="R150" s="44" t="str">
        <f t="shared" si="58"/>
        <v/>
      </c>
      <c r="S150" s="242">
        <f t="shared" si="59"/>
        <v>0</v>
      </c>
      <c r="T150" s="42">
        <f t="shared" si="60"/>
        <v>0</v>
      </c>
      <c r="U150" s="42">
        <f t="shared" si="53"/>
        <v>0</v>
      </c>
      <c r="V150" s="36" t="e">
        <f t="shared" si="54"/>
        <v>#DIV/0!</v>
      </c>
      <c r="W150" s="36" t="e">
        <f t="shared" si="55"/>
        <v>#DIV/0!</v>
      </c>
      <c r="X150" s="62" t="e">
        <f t="shared" si="61"/>
        <v>#DIV/0!</v>
      </c>
    </row>
    <row r="151" spans="1:24">
      <c r="A151" s="26"/>
      <c r="B151" s="27"/>
      <c r="C151" s="27"/>
      <c r="D151" s="27"/>
      <c r="E151" s="27"/>
      <c r="F151" s="27"/>
      <c r="G151" s="27"/>
      <c r="H151" s="27"/>
      <c r="I151" s="27"/>
      <c r="J151" s="27"/>
      <c r="K151" s="133" t="str">
        <f t="shared" si="63"/>
        <v/>
      </c>
      <c r="L151" s="44" t="str">
        <f t="shared" si="56"/>
        <v/>
      </c>
      <c r="M151" s="44" t="str">
        <f t="shared" si="51"/>
        <v/>
      </c>
      <c r="N151" s="44" t="str">
        <f t="shared" si="57"/>
        <v/>
      </c>
      <c r="O151" s="44" t="str">
        <f t="shared" si="52"/>
        <v/>
      </c>
      <c r="P151" s="44" t="str">
        <f t="shared" si="62"/>
        <v/>
      </c>
      <c r="Q151" s="143" t="str">
        <f t="shared" si="50"/>
        <v/>
      </c>
      <c r="R151" s="44" t="str">
        <f t="shared" si="58"/>
        <v/>
      </c>
      <c r="S151" s="242">
        <f t="shared" si="59"/>
        <v>0</v>
      </c>
      <c r="T151" s="42">
        <f t="shared" si="60"/>
        <v>0</v>
      </c>
      <c r="U151" s="42">
        <f t="shared" si="53"/>
        <v>0</v>
      </c>
      <c r="V151" s="36" t="e">
        <f t="shared" si="54"/>
        <v>#DIV/0!</v>
      </c>
      <c r="W151" s="36" t="e">
        <f t="shared" si="55"/>
        <v>#DIV/0!</v>
      </c>
      <c r="X151" s="62" t="e">
        <f t="shared" si="61"/>
        <v>#DIV/0!</v>
      </c>
    </row>
    <row r="152" spans="1:24">
      <c r="A152" s="26"/>
      <c r="B152" s="27"/>
      <c r="C152" s="27"/>
      <c r="D152" s="27"/>
      <c r="E152" s="27"/>
      <c r="F152" s="27"/>
      <c r="G152" s="27"/>
      <c r="H152" s="27"/>
      <c r="I152" s="27"/>
      <c r="J152" s="27"/>
      <c r="K152" s="133" t="str">
        <f t="shared" si="63"/>
        <v/>
      </c>
      <c r="L152" s="44" t="str">
        <f t="shared" si="56"/>
        <v/>
      </c>
      <c r="M152" s="44" t="str">
        <f t="shared" si="51"/>
        <v/>
      </c>
      <c r="N152" s="44" t="str">
        <f t="shared" si="57"/>
        <v/>
      </c>
      <c r="O152" s="44" t="str">
        <f t="shared" si="52"/>
        <v/>
      </c>
      <c r="P152" s="44" t="str">
        <f t="shared" si="62"/>
        <v/>
      </c>
      <c r="Q152" s="143" t="str">
        <f t="shared" si="50"/>
        <v/>
      </c>
      <c r="R152" s="44" t="str">
        <f t="shared" si="58"/>
        <v/>
      </c>
      <c r="S152" s="242">
        <f t="shared" si="59"/>
        <v>0</v>
      </c>
      <c r="T152" s="42">
        <f t="shared" si="60"/>
        <v>0</v>
      </c>
      <c r="U152" s="42">
        <f t="shared" si="53"/>
        <v>0</v>
      </c>
      <c r="V152" s="36" t="e">
        <f t="shared" si="54"/>
        <v>#DIV/0!</v>
      </c>
      <c r="W152" s="36" t="e">
        <f t="shared" si="55"/>
        <v>#DIV/0!</v>
      </c>
      <c r="X152" s="62" t="e">
        <f t="shared" si="61"/>
        <v>#DIV/0!</v>
      </c>
    </row>
    <row r="153" spans="1:24">
      <c r="A153" s="26"/>
      <c r="B153" s="27"/>
      <c r="C153" s="27"/>
      <c r="D153" s="27"/>
      <c r="E153" s="27"/>
      <c r="F153" s="27"/>
      <c r="G153" s="27"/>
      <c r="H153" s="27"/>
      <c r="I153" s="27"/>
      <c r="J153" s="27"/>
      <c r="K153" s="133" t="str">
        <f t="shared" si="63"/>
        <v/>
      </c>
      <c r="L153" s="44" t="str">
        <f t="shared" si="56"/>
        <v/>
      </c>
      <c r="M153" s="44" t="str">
        <f t="shared" si="51"/>
        <v/>
      </c>
      <c r="N153" s="44" t="str">
        <f t="shared" si="57"/>
        <v/>
      </c>
      <c r="O153" s="44" t="str">
        <f t="shared" si="52"/>
        <v/>
      </c>
      <c r="P153" s="44" t="str">
        <f t="shared" si="62"/>
        <v/>
      </c>
      <c r="Q153" s="143" t="str">
        <f t="shared" si="50"/>
        <v/>
      </c>
      <c r="R153" s="44" t="str">
        <f t="shared" si="58"/>
        <v/>
      </c>
      <c r="S153" s="242">
        <f t="shared" si="59"/>
        <v>0</v>
      </c>
      <c r="T153" s="42">
        <f t="shared" si="60"/>
        <v>0</v>
      </c>
      <c r="U153" s="42">
        <f t="shared" si="53"/>
        <v>0</v>
      </c>
      <c r="V153" s="36" t="e">
        <f t="shared" si="54"/>
        <v>#DIV/0!</v>
      </c>
      <c r="W153" s="36" t="e">
        <f t="shared" si="55"/>
        <v>#DIV/0!</v>
      </c>
      <c r="X153" s="62" t="e">
        <f t="shared" si="61"/>
        <v>#DIV/0!</v>
      </c>
    </row>
    <row r="154" spans="1:24">
      <c r="A154" s="26"/>
      <c r="B154" s="27"/>
      <c r="C154" s="27"/>
      <c r="D154" s="27"/>
      <c r="E154" s="27"/>
      <c r="F154" s="27"/>
      <c r="G154" s="27"/>
      <c r="H154" s="27"/>
      <c r="I154" s="27"/>
      <c r="J154" s="27"/>
      <c r="K154" s="133" t="str">
        <f t="shared" si="63"/>
        <v/>
      </c>
      <c r="L154" s="44" t="str">
        <f t="shared" si="56"/>
        <v/>
      </c>
      <c r="M154" s="44" t="str">
        <f t="shared" si="51"/>
        <v/>
      </c>
      <c r="N154" s="44" t="str">
        <f t="shared" si="57"/>
        <v/>
      </c>
      <c r="O154" s="44" t="str">
        <f t="shared" si="52"/>
        <v/>
      </c>
      <c r="P154" s="44" t="str">
        <f t="shared" si="62"/>
        <v/>
      </c>
      <c r="Q154" s="143" t="str">
        <f t="shared" si="50"/>
        <v/>
      </c>
      <c r="R154" s="44" t="str">
        <f t="shared" si="58"/>
        <v/>
      </c>
      <c r="S154" s="242">
        <f t="shared" si="59"/>
        <v>0</v>
      </c>
      <c r="T154" s="42">
        <f t="shared" si="60"/>
        <v>0</v>
      </c>
      <c r="U154" s="42">
        <f t="shared" si="53"/>
        <v>0</v>
      </c>
      <c r="V154" s="36" t="e">
        <f t="shared" si="54"/>
        <v>#DIV/0!</v>
      </c>
      <c r="W154" s="36" t="e">
        <f t="shared" si="55"/>
        <v>#DIV/0!</v>
      </c>
      <c r="X154" s="62" t="e">
        <f t="shared" si="61"/>
        <v>#DIV/0!</v>
      </c>
    </row>
    <row r="155" spans="1:24">
      <c r="A155" s="26"/>
      <c r="B155" s="27"/>
      <c r="C155" s="27"/>
      <c r="D155" s="27"/>
      <c r="E155" s="27"/>
      <c r="F155" s="27"/>
      <c r="G155" s="27"/>
      <c r="H155" s="27"/>
      <c r="I155" s="27"/>
      <c r="J155" s="27"/>
      <c r="K155" s="133" t="str">
        <f t="shared" si="63"/>
        <v/>
      </c>
      <c r="L155" s="44" t="str">
        <f t="shared" si="56"/>
        <v/>
      </c>
      <c r="M155" s="44" t="str">
        <f t="shared" si="51"/>
        <v/>
      </c>
      <c r="N155" s="44" t="str">
        <f t="shared" si="57"/>
        <v/>
      </c>
      <c r="O155" s="44" t="str">
        <f t="shared" si="52"/>
        <v/>
      </c>
      <c r="P155" s="44" t="str">
        <f t="shared" si="62"/>
        <v/>
      </c>
      <c r="Q155" s="143" t="str">
        <f t="shared" si="50"/>
        <v/>
      </c>
      <c r="R155" s="44" t="str">
        <f t="shared" si="58"/>
        <v/>
      </c>
      <c r="S155" s="242">
        <f t="shared" si="59"/>
        <v>0</v>
      </c>
      <c r="T155" s="42">
        <f t="shared" si="60"/>
        <v>0</v>
      </c>
      <c r="U155" s="42">
        <f t="shared" si="53"/>
        <v>0</v>
      </c>
      <c r="V155" s="36" t="e">
        <f t="shared" si="54"/>
        <v>#DIV/0!</v>
      </c>
      <c r="W155" s="36" t="e">
        <f t="shared" si="55"/>
        <v>#DIV/0!</v>
      </c>
      <c r="X155" s="62" t="e">
        <f t="shared" si="61"/>
        <v>#DIV/0!</v>
      </c>
    </row>
    <row r="156" spans="1:24">
      <c r="A156" s="26"/>
      <c r="B156" s="27"/>
      <c r="C156" s="27"/>
      <c r="D156" s="27"/>
      <c r="E156" s="27"/>
      <c r="F156" s="27"/>
      <c r="G156" s="27"/>
      <c r="H156" s="27"/>
      <c r="I156" s="27"/>
      <c r="J156" s="27"/>
      <c r="K156" s="133" t="str">
        <f t="shared" si="63"/>
        <v/>
      </c>
      <c r="L156" s="44" t="str">
        <f t="shared" si="56"/>
        <v/>
      </c>
      <c r="M156" s="44" t="str">
        <f t="shared" si="51"/>
        <v/>
      </c>
      <c r="N156" s="44" t="str">
        <f t="shared" si="57"/>
        <v/>
      </c>
      <c r="O156" s="44" t="str">
        <f t="shared" si="52"/>
        <v/>
      </c>
      <c r="P156" s="44" t="str">
        <f t="shared" si="62"/>
        <v/>
      </c>
      <c r="Q156" s="143" t="str">
        <f t="shared" si="50"/>
        <v/>
      </c>
      <c r="R156" s="44" t="str">
        <f t="shared" si="58"/>
        <v/>
      </c>
      <c r="S156" s="242">
        <f t="shared" si="59"/>
        <v>0</v>
      </c>
      <c r="T156" s="42">
        <f t="shared" si="60"/>
        <v>0</v>
      </c>
      <c r="U156" s="42">
        <f t="shared" si="53"/>
        <v>0</v>
      </c>
      <c r="V156" s="36" t="e">
        <f t="shared" si="54"/>
        <v>#DIV/0!</v>
      </c>
      <c r="W156" s="36" t="e">
        <f t="shared" si="55"/>
        <v>#DIV/0!</v>
      </c>
      <c r="X156" s="62" t="e">
        <f t="shared" si="61"/>
        <v>#DIV/0!</v>
      </c>
    </row>
    <row r="157" spans="1:24">
      <c r="A157" s="26"/>
      <c r="B157" s="27"/>
      <c r="C157" s="27"/>
      <c r="D157" s="27"/>
      <c r="E157" s="27"/>
      <c r="F157" s="27"/>
      <c r="G157" s="27"/>
      <c r="H157" s="27"/>
      <c r="I157" s="27"/>
      <c r="J157" s="27"/>
      <c r="K157" s="133" t="str">
        <f t="shared" si="63"/>
        <v/>
      </c>
      <c r="L157" s="44" t="str">
        <f t="shared" si="56"/>
        <v/>
      </c>
      <c r="M157" s="44" t="str">
        <f t="shared" si="51"/>
        <v/>
      </c>
      <c r="N157" s="44" t="str">
        <f t="shared" si="57"/>
        <v/>
      </c>
      <c r="O157" s="44" t="str">
        <f t="shared" si="52"/>
        <v/>
      </c>
      <c r="P157" s="44" t="str">
        <f t="shared" si="62"/>
        <v/>
      </c>
      <c r="Q157" s="143" t="str">
        <f t="shared" si="50"/>
        <v/>
      </c>
      <c r="R157" s="44" t="str">
        <f t="shared" si="58"/>
        <v/>
      </c>
      <c r="S157" s="242">
        <f t="shared" si="59"/>
        <v>0</v>
      </c>
      <c r="T157" s="42">
        <f t="shared" si="60"/>
        <v>0</v>
      </c>
      <c r="U157" s="42">
        <f t="shared" si="53"/>
        <v>0</v>
      </c>
      <c r="V157" s="36" t="e">
        <f t="shared" si="54"/>
        <v>#DIV/0!</v>
      </c>
      <c r="W157" s="36" t="e">
        <f t="shared" si="55"/>
        <v>#DIV/0!</v>
      </c>
      <c r="X157" s="62" t="e">
        <f t="shared" si="61"/>
        <v>#DIV/0!</v>
      </c>
    </row>
    <row r="158" spans="1:24">
      <c r="A158" s="26"/>
      <c r="B158" s="27"/>
      <c r="C158" s="27"/>
      <c r="D158" s="27"/>
      <c r="E158" s="27"/>
      <c r="F158" s="27"/>
      <c r="G158" s="27"/>
      <c r="H158" s="27"/>
      <c r="I158" s="27"/>
      <c r="J158" s="27"/>
      <c r="K158" s="133" t="str">
        <f t="shared" si="63"/>
        <v/>
      </c>
      <c r="L158" s="44" t="str">
        <f t="shared" si="56"/>
        <v/>
      </c>
      <c r="M158" s="44" t="str">
        <f t="shared" si="51"/>
        <v/>
      </c>
      <c r="N158" s="44" t="str">
        <f t="shared" si="57"/>
        <v/>
      </c>
      <c r="O158" s="44" t="str">
        <f t="shared" si="52"/>
        <v/>
      </c>
      <c r="P158" s="44" t="str">
        <f t="shared" si="62"/>
        <v/>
      </c>
      <c r="Q158" s="143" t="str">
        <f t="shared" si="50"/>
        <v/>
      </c>
      <c r="R158" s="44" t="str">
        <f t="shared" si="58"/>
        <v/>
      </c>
      <c r="S158" s="242">
        <f t="shared" si="59"/>
        <v>0</v>
      </c>
      <c r="T158" s="42">
        <f t="shared" si="60"/>
        <v>0</v>
      </c>
      <c r="U158" s="42">
        <f t="shared" si="53"/>
        <v>0</v>
      </c>
      <c r="V158" s="36" t="e">
        <f t="shared" si="54"/>
        <v>#DIV/0!</v>
      </c>
      <c r="W158" s="36" t="e">
        <f t="shared" si="55"/>
        <v>#DIV/0!</v>
      </c>
      <c r="X158" s="62" t="e">
        <f t="shared" si="61"/>
        <v>#DIV/0!</v>
      </c>
    </row>
    <row r="159" spans="1:24">
      <c r="A159" s="26"/>
      <c r="B159" s="27"/>
      <c r="C159" s="27"/>
      <c r="D159" s="27"/>
      <c r="E159" s="27"/>
      <c r="F159" s="27"/>
      <c r="G159" s="27"/>
      <c r="H159" s="27"/>
      <c r="I159" s="27"/>
      <c r="J159" s="27"/>
      <c r="K159" s="133" t="str">
        <f t="shared" si="63"/>
        <v/>
      </c>
      <c r="L159" s="44" t="str">
        <f t="shared" si="56"/>
        <v/>
      </c>
      <c r="M159" s="44" t="str">
        <f t="shared" si="51"/>
        <v/>
      </c>
      <c r="N159" s="44" t="str">
        <f t="shared" si="57"/>
        <v/>
      </c>
      <c r="O159" s="44" t="str">
        <f t="shared" si="52"/>
        <v/>
      </c>
      <c r="P159" s="44" t="str">
        <f t="shared" si="62"/>
        <v/>
      </c>
      <c r="Q159" s="143" t="str">
        <f t="shared" si="50"/>
        <v/>
      </c>
      <c r="R159" s="44" t="str">
        <f t="shared" si="58"/>
        <v/>
      </c>
      <c r="S159" s="242">
        <f t="shared" si="59"/>
        <v>0</v>
      </c>
      <c r="T159" s="42">
        <f t="shared" si="60"/>
        <v>0</v>
      </c>
      <c r="U159" s="42">
        <f t="shared" si="53"/>
        <v>0</v>
      </c>
      <c r="V159" s="36" t="e">
        <f t="shared" si="54"/>
        <v>#DIV/0!</v>
      </c>
      <c r="W159" s="36" t="e">
        <f t="shared" si="55"/>
        <v>#DIV/0!</v>
      </c>
      <c r="X159" s="62" t="e">
        <f t="shared" si="61"/>
        <v>#DIV/0!</v>
      </c>
    </row>
    <row r="160" spans="1:24">
      <c r="A160" s="26"/>
      <c r="B160" s="27"/>
      <c r="C160" s="27"/>
      <c r="D160" s="27"/>
      <c r="E160" s="27"/>
      <c r="F160" s="27"/>
      <c r="G160" s="27"/>
      <c r="H160" s="27"/>
      <c r="I160" s="27"/>
      <c r="J160" s="27"/>
      <c r="K160" s="133" t="str">
        <f t="shared" si="63"/>
        <v/>
      </c>
      <c r="L160" s="44" t="str">
        <f t="shared" si="56"/>
        <v/>
      </c>
      <c r="M160" s="44" t="str">
        <f t="shared" si="51"/>
        <v/>
      </c>
      <c r="N160" s="44" t="str">
        <f t="shared" si="57"/>
        <v/>
      </c>
      <c r="O160" s="44" t="str">
        <f t="shared" si="52"/>
        <v/>
      </c>
      <c r="P160" s="44" t="str">
        <f t="shared" si="62"/>
        <v/>
      </c>
      <c r="Q160" s="143" t="str">
        <f t="shared" si="50"/>
        <v/>
      </c>
      <c r="R160" s="44" t="str">
        <f t="shared" si="58"/>
        <v/>
      </c>
      <c r="S160" s="242">
        <f t="shared" si="59"/>
        <v>0</v>
      </c>
      <c r="T160" s="42">
        <f t="shared" si="60"/>
        <v>0</v>
      </c>
      <c r="U160" s="42">
        <f t="shared" si="53"/>
        <v>0</v>
      </c>
      <c r="V160" s="36" t="e">
        <f t="shared" si="54"/>
        <v>#DIV/0!</v>
      </c>
      <c r="W160" s="36" t="e">
        <f t="shared" si="55"/>
        <v>#DIV/0!</v>
      </c>
      <c r="X160" s="62" t="e">
        <f t="shared" si="61"/>
        <v>#DIV/0!</v>
      </c>
    </row>
    <row r="161" spans="1:24">
      <c r="A161" s="26"/>
      <c r="B161" s="27"/>
      <c r="C161" s="27"/>
      <c r="D161" s="27"/>
      <c r="E161" s="27"/>
      <c r="F161" s="27"/>
      <c r="G161" s="27"/>
      <c r="H161" s="27"/>
      <c r="I161" s="27"/>
      <c r="J161" s="27"/>
      <c r="K161" s="133" t="str">
        <f t="shared" si="63"/>
        <v/>
      </c>
      <c r="L161" s="44" t="str">
        <f t="shared" si="56"/>
        <v/>
      </c>
      <c r="M161" s="44" t="str">
        <f t="shared" si="51"/>
        <v/>
      </c>
      <c r="N161" s="44" t="str">
        <f t="shared" si="57"/>
        <v/>
      </c>
      <c r="O161" s="44" t="str">
        <f t="shared" si="52"/>
        <v/>
      </c>
      <c r="P161" s="44" t="str">
        <f t="shared" si="62"/>
        <v/>
      </c>
      <c r="Q161" s="143" t="str">
        <f t="shared" si="50"/>
        <v/>
      </c>
      <c r="R161" s="44" t="str">
        <f t="shared" si="58"/>
        <v/>
      </c>
      <c r="S161" s="242">
        <f t="shared" si="59"/>
        <v>0</v>
      </c>
      <c r="T161" s="42">
        <f t="shared" si="60"/>
        <v>0</v>
      </c>
      <c r="U161" s="42">
        <f t="shared" si="53"/>
        <v>0</v>
      </c>
      <c r="V161" s="36" t="e">
        <f t="shared" si="54"/>
        <v>#DIV/0!</v>
      </c>
      <c r="W161" s="36" t="e">
        <f t="shared" si="55"/>
        <v>#DIV/0!</v>
      </c>
      <c r="X161" s="62" t="e">
        <f t="shared" si="61"/>
        <v>#DIV/0!</v>
      </c>
    </row>
    <row r="162" spans="1:24">
      <c r="A162" s="26"/>
      <c r="B162" s="27"/>
      <c r="C162" s="27"/>
      <c r="D162" s="27"/>
      <c r="E162" s="27"/>
      <c r="F162" s="27"/>
      <c r="G162" s="27"/>
      <c r="H162" s="27"/>
      <c r="I162" s="27"/>
      <c r="J162" s="27"/>
      <c r="K162" s="133" t="str">
        <f t="shared" si="63"/>
        <v/>
      </c>
      <c r="L162" s="44" t="str">
        <f t="shared" si="56"/>
        <v/>
      </c>
      <c r="M162" s="44" t="str">
        <f t="shared" si="51"/>
        <v/>
      </c>
      <c r="N162" s="44" t="str">
        <f t="shared" si="57"/>
        <v/>
      </c>
      <c r="O162" s="44" t="str">
        <f t="shared" si="52"/>
        <v/>
      </c>
      <c r="P162" s="44" t="str">
        <f t="shared" si="62"/>
        <v/>
      </c>
      <c r="Q162" s="143" t="str">
        <f t="shared" si="50"/>
        <v/>
      </c>
      <c r="R162" s="44" t="str">
        <f t="shared" si="58"/>
        <v/>
      </c>
      <c r="S162" s="242">
        <f t="shared" si="59"/>
        <v>0</v>
      </c>
      <c r="T162" s="42">
        <f t="shared" si="60"/>
        <v>0</v>
      </c>
      <c r="U162" s="42">
        <f t="shared" si="53"/>
        <v>0</v>
      </c>
      <c r="V162" s="36" t="e">
        <f t="shared" si="54"/>
        <v>#DIV/0!</v>
      </c>
      <c r="W162" s="36" t="e">
        <f t="shared" si="55"/>
        <v>#DIV/0!</v>
      </c>
      <c r="X162" s="62" t="e">
        <f t="shared" si="61"/>
        <v>#DIV/0!</v>
      </c>
    </row>
    <row r="163" spans="1:24">
      <c r="A163" s="26"/>
      <c r="B163" s="27"/>
      <c r="C163" s="27"/>
      <c r="D163" s="27"/>
      <c r="E163" s="27"/>
      <c r="F163" s="27"/>
      <c r="G163" s="27"/>
      <c r="H163" s="27"/>
      <c r="I163" s="27"/>
      <c r="J163" s="27"/>
      <c r="K163" s="133" t="str">
        <f t="shared" si="63"/>
        <v/>
      </c>
      <c r="L163" s="44" t="str">
        <f t="shared" si="56"/>
        <v/>
      </c>
      <c r="M163" s="44" t="str">
        <f t="shared" si="51"/>
        <v/>
      </c>
      <c r="N163" s="44" t="str">
        <f t="shared" si="57"/>
        <v/>
      </c>
      <c r="O163" s="44" t="str">
        <f t="shared" si="52"/>
        <v/>
      </c>
      <c r="P163" s="44" t="str">
        <f t="shared" si="62"/>
        <v/>
      </c>
      <c r="Q163" s="143" t="str">
        <f t="shared" si="50"/>
        <v/>
      </c>
      <c r="R163" s="44" t="str">
        <f t="shared" si="58"/>
        <v/>
      </c>
      <c r="S163" s="242">
        <f t="shared" si="59"/>
        <v>0</v>
      </c>
      <c r="T163" s="42">
        <f t="shared" si="60"/>
        <v>0</v>
      </c>
      <c r="U163" s="42">
        <f t="shared" si="53"/>
        <v>0</v>
      </c>
      <c r="V163" s="36" t="e">
        <f t="shared" si="54"/>
        <v>#DIV/0!</v>
      </c>
      <c r="W163" s="36" t="e">
        <f t="shared" si="55"/>
        <v>#DIV/0!</v>
      </c>
      <c r="X163" s="62" t="e">
        <f t="shared" si="61"/>
        <v>#DIV/0!</v>
      </c>
    </row>
    <row r="164" spans="1:24">
      <c r="A164" s="26"/>
      <c r="B164" s="27"/>
      <c r="C164" s="27"/>
      <c r="D164" s="27"/>
      <c r="E164" s="27"/>
      <c r="F164" s="27"/>
      <c r="G164" s="27"/>
      <c r="H164" s="27"/>
      <c r="I164" s="27"/>
      <c r="J164" s="27"/>
      <c r="K164" s="133" t="str">
        <f t="shared" si="63"/>
        <v/>
      </c>
      <c r="L164" s="44" t="str">
        <f t="shared" si="56"/>
        <v/>
      </c>
      <c r="M164" s="44" t="str">
        <f t="shared" si="51"/>
        <v/>
      </c>
      <c r="N164" s="44" t="str">
        <f t="shared" si="57"/>
        <v/>
      </c>
      <c r="O164" s="44" t="str">
        <f t="shared" si="52"/>
        <v/>
      </c>
      <c r="P164" s="44" t="str">
        <f t="shared" si="62"/>
        <v/>
      </c>
      <c r="Q164" s="143" t="str">
        <f t="shared" si="50"/>
        <v/>
      </c>
      <c r="R164" s="44" t="str">
        <f t="shared" si="58"/>
        <v/>
      </c>
      <c r="S164" s="242">
        <f t="shared" si="59"/>
        <v>0</v>
      </c>
      <c r="T164" s="42">
        <f t="shared" si="60"/>
        <v>0</v>
      </c>
      <c r="U164" s="42">
        <f t="shared" si="53"/>
        <v>0</v>
      </c>
      <c r="V164" s="36" t="e">
        <f t="shared" si="54"/>
        <v>#DIV/0!</v>
      </c>
      <c r="W164" s="36" t="e">
        <f t="shared" si="55"/>
        <v>#DIV/0!</v>
      </c>
      <c r="X164" s="62" t="e">
        <f t="shared" si="61"/>
        <v>#DIV/0!</v>
      </c>
    </row>
    <row r="165" spans="1:24">
      <c r="A165" s="26"/>
      <c r="B165" s="27"/>
      <c r="C165" s="27"/>
      <c r="D165" s="27"/>
      <c r="E165" s="27"/>
      <c r="F165" s="27"/>
      <c r="G165" s="27"/>
      <c r="H165" s="27"/>
      <c r="I165" s="27"/>
      <c r="J165" s="27"/>
      <c r="K165" s="133" t="str">
        <f t="shared" si="63"/>
        <v/>
      </c>
      <c r="L165" s="44" t="str">
        <f t="shared" si="56"/>
        <v/>
      </c>
      <c r="M165" s="44" t="str">
        <f t="shared" si="51"/>
        <v/>
      </c>
      <c r="N165" s="44" t="str">
        <f t="shared" si="57"/>
        <v/>
      </c>
      <c r="O165" s="44" t="str">
        <f t="shared" si="52"/>
        <v/>
      </c>
      <c r="P165" s="44" t="str">
        <f t="shared" si="62"/>
        <v/>
      </c>
      <c r="Q165" s="143" t="str">
        <f t="shared" si="50"/>
        <v/>
      </c>
      <c r="R165" s="44" t="str">
        <f t="shared" si="58"/>
        <v/>
      </c>
      <c r="S165" s="242">
        <f t="shared" si="59"/>
        <v>0</v>
      </c>
      <c r="T165" s="42">
        <f t="shared" si="60"/>
        <v>0</v>
      </c>
      <c r="U165" s="42">
        <f t="shared" si="53"/>
        <v>0</v>
      </c>
      <c r="V165" s="36" t="e">
        <f t="shared" si="54"/>
        <v>#DIV/0!</v>
      </c>
      <c r="W165" s="36" t="e">
        <f t="shared" si="55"/>
        <v>#DIV/0!</v>
      </c>
      <c r="X165" s="62" t="e">
        <f t="shared" si="61"/>
        <v>#DIV/0!</v>
      </c>
    </row>
    <row r="166" spans="1:24">
      <c r="A166" s="26"/>
      <c r="B166" s="27"/>
      <c r="C166" s="27"/>
      <c r="D166" s="27"/>
      <c r="E166" s="27"/>
      <c r="F166" s="27"/>
      <c r="G166" s="27"/>
      <c r="H166" s="27"/>
      <c r="I166" s="27"/>
      <c r="J166" s="27"/>
      <c r="K166" s="133" t="str">
        <f t="shared" si="63"/>
        <v/>
      </c>
      <c r="L166" s="44" t="str">
        <f t="shared" si="56"/>
        <v/>
      </c>
      <c r="M166" s="44" t="str">
        <f t="shared" si="51"/>
        <v/>
      </c>
      <c r="N166" s="44" t="str">
        <f t="shared" si="57"/>
        <v/>
      </c>
      <c r="O166" s="44" t="str">
        <f t="shared" si="52"/>
        <v/>
      </c>
      <c r="P166" s="44" t="str">
        <f t="shared" si="62"/>
        <v/>
      </c>
      <c r="Q166" s="143" t="str">
        <f t="shared" si="50"/>
        <v/>
      </c>
      <c r="R166" s="44" t="str">
        <f t="shared" si="58"/>
        <v/>
      </c>
      <c r="S166" s="242">
        <f t="shared" si="59"/>
        <v>0</v>
      </c>
      <c r="T166" s="42">
        <f t="shared" si="60"/>
        <v>0</v>
      </c>
      <c r="U166" s="42">
        <f t="shared" si="53"/>
        <v>0</v>
      </c>
      <c r="V166" s="36" t="e">
        <f t="shared" si="54"/>
        <v>#DIV/0!</v>
      </c>
      <c r="W166" s="36" t="e">
        <f t="shared" si="55"/>
        <v>#DIV/0!</v>
      </c>
      <c r="X166" s="62" t="e">
        <f t="shared" si="61"/>
        <v>#DIV/0!</v>
      </c>
    </row>
    <row r="167" spans="1:24">
      <c r="A167" s="26"/>
      <c r="B167" s="27"/>
      <c r="C167" s="27"/>
      <c r="D167" s="27"/>
      <c r="E167" s="27"/>
      <c r="F167" s="27"/>
      <c r="G167" s="27"/>
      <c r="H167" s="27"/>
      <c r="I167" s="27"/>
      <c r="J167" s="27"/>
      <c r="K167" s="133" t="str">
        <f t="shared" si="63"/>
        <v/>
      </c>
      <c r="L167" s="44" t="str">
        <f t="shared" si="56"/>
        <v/>
      </c>
      <c r="M167" s="44" t="str">
        <f t="shared" si="51"/>
        <v/>
      </c>
      <c r="N167" s="44" t="str">
        <f t="shared" si="57"/>
        <v/>
      </c>
      <c r="O167" s="44" t="str">
        <f t="shared" si="52"/>
        <v/>
      </c>
      <c r="P167" s="44" t="str">
        <f t="shared" si="62"/>
        <v/>
      </c>
      <c r="Q167" s="143" t="str">
        <f t="shared" si="50"/>
        <v/>
      </c>
      <c r="R167" s="44" t="str">
        <f t="shared" si="58"/>
        <v/>
      </c>
      <c r="S167" s="242">
        <f t="shared" si="59"/>
        <v>0</v>
      </c>
      <c r="T167" s="42">
        <f t="shared" si="60"/>
        <v>0</v>
      </c>
      <c r="U167" s="42">
        <f t="shared" si="53"/>
        <v>0</v>
      </c>
      <c r="V167" s="36" t="e">
        <f t="shared" si="54"/>
        <v>#DIV/0!</v>
      </c>
      <c r="W167" s="36" t="e">
        <f t="shared" si="55"/>
        <v>#DIV/0!</v>
      </c>
      <c r="X167" s="62" t="e">
        <f t="shared" si="61"/>
        <v>#DIV/0!</v>
      </c>
    </row>
    <row r="168" spans="1:24">
      <c r="A168" s="26"/>
      <c r="B168" s="27"/>
      <c r="C168" s="27"/>
      <c r="D168" s="27"/>
      <c r="E168" s="27"/>
      <c r="F168" s="27"/>
      <c r="G168" s="27"/>
      <c r="H168" s="27"/>
      <c r="I168" s="27"/>
      <c r="J168" s="27"/>
      <c r="K168" s="133" t="str">
        <f t="shared" si="63"/>
        <v/>
      </c>
      <c r="L168" s="44" t="str">
        <f t="shared" si="56"/>
        <v/>
      </c>
      <c r="M168" s="44" t="str">
        <f t="shared" si="51"/>
        <v/>
      </c>
      <c r="N168" s="44" t="str">
        <f t="shared" si="57"/>
        <v/>
      </c>
      <c r="O168" s="44" t="str">
        <f t="shared" si="52"/>
        <v/>
      </c>
      <c r="P168" s="44" t="str">
        <f t="shared" si="62"/>
        <v/>
      </c>
      <c r="Q168" s="143" t="str">
        <f t="shared" si="50"/>
        <v/>
      </c>
      <c r="R168" s="44" t="str">
        <f t="shared" si="58"/>
        <v/>
      </c>
      <c r="S168" s="242">
        <f t="shared" si="59"/>
        <v>0</v>
      </c>
      <c r="T168" s="42">
        <f t="shared" si="60"/>
        <v>0</v>
      </c>
      <c r="U168" s="42">
        <f t="shared" si="53"/>
        <v>0</v>
      </c>
      <c r="V168" s="36" t="e">
        <f t="shared" si="54"/>
        <v>#DIV/0!</v>
      </c>
      <c r="W168" s="36" t="e">
        <f t="shared" si="55"/>
        <v>#DIV/0!</v>
      </c>
      <c r="X168" s="62" t="e">
        <f t="shared" si="61"/>
        <v>#DIV/0!</v>
      </c>
    </row>
    <row r="169" spans="1:24">
      <c r="A169" s="26"/>
      <c r="B169" s="27"/>
      <c r="C169" s="27"/>
      <c r="D169" s="27"/>
      <c r="E169" s="27"/>
      <c r="F169" s="27"/>
      <c r="G169" s="27"/>
      <c r="H169" s="27"/>
      <c r="I169" s="27"/>
      <c r="J169" s="27"/>
      <c r="K169" s="133" t="str">
        <f t="shared" si="63"/>
        <v/>
      </c>
      <c r="L169" s="44" t="str">
        <f t="shared" si="56"/>
        <v/>
      </c>
      <c r="M169" s="44" t="str">
        <f t="shared" si="51"/>
        <v/>
      </c>
      <c r="N169" s="44" t="str">
        <f t="shared" si="57"/>
        <v/>
      </c>
      <c r="O169" s="44" t="str">
        <f t="shared" si="52"/>
        <v/>
      </c>
      <c r="P169" s="44" t="str">
        <f t="shared" si="62"/>
        <v/>
      </c>
      <c r="Q169" s="143" t="str">
        <f t="shared" si="50"/>
        <v/>
      </c>
      <c r="R169" s="44" t="str">
        <f t="shared" si="58"/>
        <v/>
      </c>
      <c r="S169" s="242">
        <f t="shared" si="59"/>
        <v>0</v>
      </c>
      <c r="T169" s="42">
        <f t="shared" si="60"/>
        <v>0</v>
      </c>
      <c r="U169" s="42">
        <f t="shared" si="53"/>
        <v>0</v>
      </c>
      <c r="V169" s="36" t="e">
        <f t="shared" si="54"/>
        <v>#DIV/0!</v>
      </c>
      <c r="W169" s="36" t="e">
        <f t="shared" si="55"/>
        <v>#DIV/0!</v>
      </c>
      <c r="X169" s="62" t="e">
        <f t="shared" si="61"/>
        <v>#DIV/0!</v>
      </c>
    </row>
    <row r="170" spans="1:24">
      <c r="A170" s="26"/>
      <c r="B170" s="27"/>
      <c r="C170" s="27"/>
      <c r="D170" s="27"/>
      <c r="E170" s="27"/>
      <c r="F170" s="27"/>
      <c r="G170" s="27"/>
      <c r="H170" s="27"/>
      <c r="I170" s="27"/>
      <c r="J170" s="27"/>
      <c r="K170" s="133" t="str">
        <f t="shared" si="63"/>
        <v/>
      </c>
      <c r="L170" s="44" t="str">
        <f t="shared" si="56"/>
        <v/>
      </c>
      <c r="M170" s="44" t="str">
        <f t="shared" si="51"/>
        <v/>
      </c>
      <c r="N170" s="44" t="str">
        <f t="shared" si="57"/>
        <v/>
      </c>
      <c r="O170" s="44" t="str">
        <f t="shared" si="52"/>
        <v/>
      </c>
      <c r="P170" s="44" t="str">
        <f t="shared" si="62"/>
        <v/>
      </c>
      <c r="Q170" s="143" t="str">
        <f t="shared" si="50"/>
        <v/>
      </c>
      <c r="R170" s="44" t="str">
        <f t="shared" si="58"/>
        <v/>
      </c>
      <c r="S170" s="242">
        <f t="shared" si="59"/>
        <v>0</v>
      </c>
      <c r="T170" s="42">
        <f t="shared" si="60"/>
        <v>0</v>
      </c>
      <c r="U170" s="42">
        <f t="shared" si="53"/>
        <v>0</v>
      </c>
      <c r="V170" s="36" t="e">
        <f t="shared" si="54"/>
        <v>#DIV/0!</v>
      </c>
      <c r="W170" s="36" t="e">
        <f t="shared" si="55"/>
        <v>#DIV/0!</v>
      </c>
      <c r="X170" s="62" t="e">
        <f t="shared" si="61"/>
        <v>#DIV/0!</v>
      </c>
    </row>
    <row r="171" spans="1:24">
      <c r="A171" s="26"/>
      <c r="B171" s="27"/>
      <c r="C171" s="27"/>
      <c r="D171" s="27"/>
      <c r="E171" s="27"/>
      <c r="F171" s="27"/>
      <c r="G171" s="27"/>
      <c r="H171" s="27"/>
      <c r="I171" s="27"/>
      <c r="J171" s="27"/>
      <c r="K171" s="133" t="str">
        <f t="shared" si="63"/>
        <v/>
      </c>
      <c r="L171" s="44" t="str">
        <f t="shared" si="56"/>
        <v/>
      </c>
      <c r="M171" s="44" t="str">
        <f t="shared" si="51"/>
        <v/>
      </c>
      <c r="N171" s="44" t="str">
        <f t="shared" si="57"/>
        <v/>
      </c>
      <c r="O171" s="44" t="str">
        <f t="shared" si="52"/>
        <v/>
      </c>
      <c r="P171" s="44" t="str">
        <f t="shared" si="62"/>
        <v/>
      </c>
      <c r="Q171" s="44" t="str">
        <f t="shared" ref="Q171:Q195" si="64">IF(I171="","",VLOOKUP(I171,成本单价,8,0))</f>
        <v/>
      </c>
      <c r="R171" s="44" t="str">
        <f t="shared" si="58"/>
        <v/>
      </c>
      <c r="S171" s="242">
        <f t="shared" si="59"/>
        <v>0</v>
      </c>
      <c r="T171" s="42">
        <f t="shared" si="60"/>
        <v>0</v>
      </c>
      <c r="U171" s="42">
        <f t="shared" si="53"/>
        <v>0</v>
      </c>
      <c r="V171" s="36" t="e">
        <f t="shared" si="54"/>
        <v>#DIV/0!</v>
      </c>
      <c r="W171" s="36" t="e">
        <f t="shared" si="55"/>
        <v>#DIV/0!</v>
      </c>
      <c r="X171" s="62" t="e">
        <f t="shared" si="61"/>
        <v>#DIV/0!</v>
      </c>
    </row>
    <row r="172" spans="1:24">
      <c r="A172" s="26"/>
      <c r="B172" s="27"/>
      <c r="C172" s="27"/>
      <c r="D172" s="27"/>
      <c r="E172" s="27"/>
      <c r="F172" s="27"/>
      <c r="G172" s="27"/>
      <c r="H172" s="27"/>
      <c r="I172" s="27"/>
      <c r="J172" s="27"/>
      <c r="K172" s="133" t="str">
        <f t="shared" si="63"/>
        <v/>
      </c>
      <c r="L172" s="44" t="str">
        <f t="shared" si="56"/>
        <v/>
      </c>
      <c r="M172" s="44" t="str">
        <f t="shared" si="51"/>
        <v/>
      </c>
      <c r="N172" s="44" t="str">
        <f t="shared" si="57"/>
        <v/>
      </c>
      <c r="O172" s="44" t="str">
        <f t="shared" si="52"/>
        <v/>
      </c>
      <c r="P172" s="44" t="str">
        <f t="shared" si="62"/>
        <v/>
      </c>
      <c r="Q172" s="44" t="str">
        <f t="shared" si="64"/>
        <v/>
      </c>
      <c r="R172" s="44" t="str">
        <f t="shared" si="58"/>
        <v/>
      </c>
      <c r="S172" s="242">
        <f t="shared" si="59"/>
        <v>0</v>
      </c>
      <c r="T172" s="42">
        <f t="shared" si="60"/>
        <v>0</v>
      </c>
      <c r="U172" s="42">
        <f t="shared" si="53"/>
        <v>0</v>
      </c>
      <c r="V172" s="36" t="e">
        <f t="shared" si="54"/>
        <v>#DIV/0!</v>
      </c>
      <c r="W172" s="36" t="e">
        <f t="shared" si="55"/>
        <v>#DIV/0!</v>
      </c>
      <c r="X172" s="62" t="e">
        <f t="shared" si="61"/>
        <v>#DIV/0!</v>
      </c>
    </row>
    <row r="173" spans="1:24">
      <c r="A173" s="26"/>
      <c r="B173" s="27"/>
      <c r="C173" s="27"/>
      <c r="D173" s="27"/>
      <c r="E173" s="27"/>
      <c r="F173" s="27"/>
      <c r="G173" s="27"/>
      <c r="H173" s="27"/>
      <c r="I173" s="27"/>
      <c r="J173" s="27"/>
      <c r="K173" s="133" t="str">
        <f t="shared" si="63"/>
        <v/>
      </c>
      <c r="L173" s="44" t="str">
        <f t="shared" si="56"/>
        <v/>
      </c>
      <c r="M173" s="44" t="str">
        <f t="shared" si="51"/>
        <v/>
      </c>
      <c r="N173" s="44" t="str">
        <f t="shared" si="57"/>
        <v/>
      </c>
      <c r="O173" s="44" t="str">
        <f t="shared" si="52"/>
        <v/>
      </c>
      <c r="P173" s="44" t="str">
        <f t="shared" si="62"/>
        <v/>
      </c>
      <c r="Q173" s="44" t="str">
        <f t="shared" si="64"/>
        <v/>
      </c>
      <c r="R173" s="44" t="str">
        <f t="shared" si="58"/>
        <v/>
      </c>
      <c r="S173" s="242">
        <f t="shared" si="59"/>
        <v>0</v>
      </c>
      <c r="T173" s="42">
        <f t="shared" si="60"/>
        <v>0</v>
      </c>
      <c r="U173" s="42">
        <f t="shared" si="53"/>
        <v>0</v>
      </c>
      <c r="V173" s="36" t="e">
        <f t="shared" si="54"/>
        <v>#DIV/0!</v>
      </c>
      <c r="W173" s="36" t="e">
        <f t="shared" si="55"/>
        <v>#DIV/0!</v>
      </c>
      <c r="X173" s="62" t="e">
        <f t="shared" si="61"/>
        <v>#DIV/0!</v>
      </c>
    </row>
    <row r="174" spans="1:24">
      <c r="A174" s="26"/>
      <c r="B174" s="27"/>
      <c r="C174" s="27"/>
      <c r="D174" s="27"/>
      <c r="E174" s="27"/>
      <c r="F174" s="27"/>
      <c r="G174" s="27"/>
      <c r="H174" s="27"/>
      <c r="I174" s="27"/>
      <c r="J174" s="27"/>
      <c r="K174" s="133" t="str">
        <f t="shared" si="63"/>
        <v/>
      </c>
      <c r="L174" s="44" t="str">
        <f t="shared" si="56"/>
        <v/>
      </c>
      <c r="M174" s="44" t="str">
        <f t="shared" si="51"/>
        <v/>
      </c>
      <c r="N174" s="44" t="str">
        <f t="shared" si="57"/>
        <v/>
      </c>
      <c r="O174" s="44" t="str">
        <f t="shared" si="52"/>
        <v/>
      </c>
      <c r="P174" s="44" t="str">
        <f t="shared" si="62"/>
        <v/>
      </c>
      <c r="Q174" s="44" t="str">
        <f t="shared" si="64"/>
        <v/>
      </c>
      <c r="R174" s="44" t="str">
        <f t="shared" si="58"/>
        <v/>
      </c>
      <c r="S174" s="242">
        <f t="shared" si="59"/>
        <v>0</v>
      </c>
      <c r="T174" s="42">
        <f t="shared" si="60"/>
        <v>0</v>
      </c>
      <c r="U174" s="42">
        <f t="shared" si="53"/>
        <v>0</v>
      </c>
      <c r="V174" s="36" t="e">
        <f t="shared" si="54"/>
        <v>#DIV/0!</v>
      </c>
      <c r="W174" s="36" t="e">
        <f t="shared" si="55"/>
        <v>#DIV/0!</v>
      </c>
      <c r="X174" s="62" t="e">
        <f t="shared" si="61"/>
        <v>#DIV/0!</v>
      </c>
    </row>
    <row r="175" spans="1:24">
      <c r="A175" s="26"/>
      <c r="B175" s="27"/>
      <c r="C175" s="27"/>
      <c r="D175" s="27"/>
      <c r="E175" s="27"/>
      <c r="F175" s="27"/>
      <c r="G175" s="27"/>
      <c r="H175" s="27"/>
      <c r="I175" s="27"/>
      <c r="J175" s="27"/>
      <c r="K175" s="133" t="str">
        <f t="shared" si="63"/>
        <v/>
      </c>
      <c r="L175" s="44" t="str">
        <f t="shared" si="56"/>
        <v/>
      </c>
      <c r="M175" s="44" t="str">
        <f t="shared" si="51"/>
        <v/>
      </c>
      <c r="N175" s="44" t="str">
        <f t="shared" si="57"/>
        <v/>
      </c>
      <c r="O175" s="44" t="str">
        <f t="shared" si="52"/>
        <v/>
      </c>
      <c r="P175" s="44" t="str">
        <f t="shared" si="62"/>
        <v/>
      </c>
      <c r="Q175" s="44" t="str">
        <f t="shared" si="64"/>
        <v/>
      </c>
      <c r="R175" s="44" t="str">
        <f t="shared" si="58"/>
        <v/>
      </c>
      <c r="S175" s="242">
        <f t="shared" si="59"/>
        <v>0</v>
      </c>
      <c r="T175" s="42">
        <f t="shared" si="60"/>
        <v>0</v>
      </c>
      <c r="U175" s="42">
        <f t="shared" si="53"/>
        <v>0</v>
      </c>
      <c r="V175" s="36" t="e">
        <f t="shared" si="54"/>
        <v>#DIV/0!</v>
      </c>
      <c r="W175" s="36" t="e">
        <f t="shared" si="55"/>
        <v>#DIV/0!</v>
      </c>
      <c r="X175" s="62" t="e">
        <f t="shared" si="61"/>
        <v>#DIV/0!</v>
      </c>
    </row>
    <row r="176" spans="1:24">
      <c r="A176" s="26"/>
      <c r="B176" s="27"/>
      <c r="C176" s="27"/>
      <c r="D176" s="27"/>
      <c r="E176" s="27"/>
      <c r="F176" s="27"/>
      <c r="G176" s="27"/>
      <c r="H176" s="27"/>
      <c r="I176" s="27"/>
      <c r="J176" s="27"/>
      <c r="K176" s="133" t="str">
        <f t="shared" si="63"/>
        <v/>
      </c>
      <c r="L176" s="44" t="str">
        <f t="shared" si="56"/>
        <v/>
      </c>
      <c r="M176" s="44" t="str">
        <f t="shared" si="51"/>
        <v/>
      </c>
      <c r="N176" s="44" t="str">
        <f t="shared" si="57"/>
        <v/>
      </c>
      <c r="O176" s="44" t="str">
        <f t="shared" si="52"/>
        <v/>
      </c>
      <c r="P176" s="44" t="str">
        <f t="shared" si="62"/>
        <v/>
      </c>
      <c r="Q176" s="44" t="str">
        <f t="shared" si="64"/>
        <v/>
      </c>
      <c r="R176" s="44" t="str">
        <f t="shared" si="58"/>
        <v/>
      </c>
      <c r="S176" s="242">
        <f t="shared" si="59"/>
        <v>0</v>
      </c>
      <c r="T176" s="42">
        <f t="shared" si="60"/>
        <v>0</v>
      </c>
      <c r="U176" s="42">
        <f t="shared" si="53"/>
        <v>0</v>
      </c>
      <c r="V176" s="36" t="e">
        <f t="shared" si="54"/>
        <v>#DIV/0!</v>
      </c>
      <c r="W176" s="36" t="e">
        <f t="shared" si="55"/>
        <v>#DIV/0!</v>
      </c>
      <c r="X176" s="62" t="e">
        <f t="shared" si="61"/>
        <v>#DIV/0!</v>
      </c>
    </row>
    <row r="177" spans="1:24">
      <c r="A177" s="26"/>
      <c r="B177" s="27"/>
      <c r="C177" s="27"/>
      <c r="D177" s="27"/>
      <c r="E177" s="27"/>
      <c r="F177" s="27"/>
      <c r="G177" s="27"/>
      <c r="H177" s="27"/>
      <c r="I177" s="27"/>
      <c r="J177" s="27"/>
      <c r="K177" s="133" t="str">
        <f t="shared" si="63"/>
        <v/>
      </c>
      <c r="L177" s="44" t="str">
        <f t="shared" si="56"/>
        <v/>
      </c>
      <c r="M177" s="44" t="str">
        <f t="shared" si="51"/>
        <v/>
      </c>
      <c r="N177" s="44" t="str">
        <f t="shared" si="57"/>
        <v/>
      </c>
      <c r="O177" s="44" t="str">
        <f t="shared" si="52"/>
        <v/>
      </c>
      <c r="P177" s="44" t="str">
        <f t="shared" si="62"/>
        <v/>
      </c>
      <c r="Q177" s="44" t="str">
        <f t="shared" si="64"/>
        <v/>
      </c>
      <c r="R177" s="44" t="str">
        <f t="shared" si="58"/>
        <v/>
      </c>
      <c r="S177" s="242">
        <f t="shared" si="59"/>
        <v>0</v>
      </c>
      <c r="T177" s="42">
        <f t="shared" si="60"/>
        <v>0</v>
      </c>
      <c r="U177" s="42">
        <f t="shared" si="53"/>
        <v>0</v>
      </c>
      <c r="V177" s="36" t="e">
        <f t="shared" si="54"/>
        <v>#DIV/0!</v>
      </c>
      <c r="W177" s="36" t="e">
        <f t="shared" si="55"/>
        <v>#DIV/0!</v>
      </c>
      <c r="X177" s="62" t="e">
        <f t="shared" si="61"/>
        <v>#DIV/0!</v>
      </c>
    </row>
    <row r="178" spans="1:24">
      <c r="A178" s="26"/>
      <c r="B178" s="27"/>
      <c r="C178" s="27"/>
      <c r="D178" s="27"/>
      <c r="E178" s="27"/>
      <c r="F178" s="27"/>
      <c r="G178" s="27"/>
      <c r="H178" s="27"/>
      <c r="I178" s="27"/>
      <c r="J178" s="27"/>
      <c r="K178" s="133" t="str">
        <f t="shared" si="63"/>
        <v/>
      </c>
      <c r="L178" s="44" t="str">
        <f t="shared" si="56"/>
        <v/>
      </c>
      <c r="M178" s="44" t="str">
        <f t="shared" si="51"/>
        <v/>
      </c>
      <c r="N178" s="44" t="str">
        <f t="shared" si="57"/>
        <v/>
      </c>
      <c r="O178" s="44" t="str">
        <f t="shared" si="52"/>
        <v/>
      </c>
      <c r="P178" s="44" t="str">
        <f t="shared" si="62"/>
        <v/>
      </c>
      <c r="Q178" s="44" t="str">
        <f t="shared" si="64"/>
        <v/>
      </c>
      <c r="R178" s="44" t="str">
        <f t="shared" si="58"/>
        <v/>
      </c>
      <c r="S178" s="242">
        <f t="shared" si="59"/>
        <v>0</v>
      </c>
      <c r="T178" s="42">
        <f t="shared" si="60"/>
        <v>0</v>
      </c>
      <c r="U178" s="42">
        <f t="shared" si="53"/>
        <v>0</v>
      </c>
      <c r="V178" s="36" t="e">
        <f t="shared" si="54"/>
        <v>#DIV/0!</v>
      </c>
      <c r="W178" s="36" t="e">
        <f t="shared" si="55"/>
        <v>#DIV/0!</v>
      </c>
      <c r="X178" s="62" t="e">
        <f t="shared" si="61"/>
        <v>#DIV/0!</v>
      </c>
    </row>
    <row r="179" spans="1:24">
      <c r="A179" s="26"/>
      <c r="B179" s="27"/>
      <c r="C179" s="27"/>
      <c r="D179" s="27"/>
      <c r="E179" s="27"/>
      <c r="F179" s="27"/>
      <c r="G179" s="27"/>
      <c r="H179" s="27"/>
      <c r="I179" s="27"/>
      <c r="J179" s="27"/>
      <c r="K179" s="133" t="str">
        <f t="shared" si="63"/>
        <v/>
      </c>
      <c r="L179" s="44" t="str">
        <f t="shared" si="56"/>
        <v/>
      </c>
      <c r="M179" s="44" t="str">
        <f t="shared" si="51"/>
        <v/>
      </c>
      <c r="N179" s="44" t="str">
        <f t="shared" si="57"/>
        <v/>
      </c>
      <c r="O179" s="44" t="str">
        <f t="shared" si="52"/>
        <v/>
      </c>
      <c r="P179" s="44" t="str">
        <f t="shared" si="62"/>
        <v/>
      </c>
      <c r="Q179" s="44" t="str">
        <f t="shared" si="64"/>
        <v/>
      </c>
      <c r="R179" s="44" t="str">
        <f t="shared" si="58"/>
        <v/>
      </c>
      <c r="S179" s="242">
        <f t="shared" si="59"/>
        <v>0</v>
      </c>
      <c r="T179" s="42">
        <f t="shared" si="60"/>
        <v>0</v>
      </c>
      <c r="U179" s="42">
        <f t="shared" si="53"/>
        <v>0</v>
      </c>
      <c r="V179" s="36" t="e">
        <f t="shared" si="54"/>
        <v>#DIV/0!</v>
      </c>
      <c r="W179" s="36" t="e">
        <f t="shared" si="55"/>
        <v>#DIV/0!</v>
      </c>
      <c r="X179" s="62" t="e">
        <f t="shared" si="61"/>
        <v>#DIV/0!</v>
      </c>
    </row>
    <row r="180" spans="1:24">
      <c r="A180" s="26"/>
      <c r="B180" s="27"/>
      <c r="C180" s="27"/>
      <c r="D180" s="27"/>
      <c r="E180" s="27"/>
      <c r="F180" s="27"/>
      <c r="G180" s="27"/>
      <c r="H180" s="27"/>
      <c r="I180" s="27"/>
      <c r="J180" s="27"/>
      <c r="K180" s="133" t="str">
        <f t="shared" si="63"/>
        <v/>
      </c>
      <c r="L180" s="44" t="str">
        <f t="shared" si="56"/>
        <v/>
      </c>
      <c r="M180" s="44" t="str">
        <f t="shared" si="51"/>
        <v/>
      </c>
      <c r="N180" s="44" t="str">
        <f t="shared" si="57"/>
        <v/>
      </c>
      <c r="O180" s="44" t="str">
        <f t="shared" si="52"/>
        <v/>
      </c>
      <c r="P180" s="44" t="str">
        <f t="shared" si="62"/>
        <v/>
      </c>
      <c r="Q180" s="44" t="str">
        <f t="shared" si="64"/>
        <v/>
      </c>
      <c r="R180" s="44" t="str">
        <f t="shared" si="58"/>
        <v/>
      </c>
      <c r="S180" s="242">
        <f t="shared" si="59"/>
        <v>0</v>
      </c>
      <c r="T180" s="42">
        <f t="shared" si="60"/>
        <v>0</v>
      </c>
      <c r="U180" s="42">
        <f t="shared" si="53"/>
        <v>0</v>
      </c>
      <c r="V180" s="36" t="e">
        <f t="shared" si="54"/>
        <v>#DIV/0!</v>
      </c>
      <c r="W180" s="36" t="e">
        <f t="shared" si="55"/>
        <v>#DIV/0!</v>
      </c>
      <c r="X180" s="62" t="e">
        <f t="shared" si="61"/>
        <v>#DIV/0!</v>
      </c>
    </row>
    <row r="181" spans="1:24">
      <c r="A181" s="26"/>
      <c r="B181" s="27"/>
      <c r="C181" s="27"/>
      <c r="D181" s="27"/>
      <c r="E181" s="27"/>
      <c r="F181" s="27"/>
      <c r="G181" s="27"/>
      <c r="H181" s="27"/>
      <c r="I181" s="27"/>
      <c r="J181" s="27"/>
      <c r="K181" s="133" t="str">
        <f t="shared" si="63"/>
        <v/>
      </c>
      <c r="L181" s="44" t="str">
        <f t="shared" si="56"/>
        <v/>
      </c>
      <c r="M181" s="44" t="str">
        <f t="shared" si="51"/>
        <v/>
      </c>
      <c r="N181" s="44" t="str">
        <f t="shared" si="57"/>
        <v/>
      </c>
      <c r="O181" s="44" t="str">
        <f t="shared" si="52"/>
        <v/>
      </c>
      <c r="P181" s="44" t="str">
        <f t="shared" si="62"/>
        <v/>
      </c>
      <c r="Q181" s="44" t="str">
        <f t="shared" si="64"/>
        <v/>
      </c>
      <c r="R181" s="44" t="str">
        <f t="shared" si="58"/>
        <v/>
      </c>
      <c r="S181" s="242">
        <f t="shared" si="59"/>
        <v>0</v>
      </c>
      <c r="T181" s="42">
        <f t="shared" si="60"/>
        <v>0</v>
      </c>
      <c r="U181" s="42">
        <f t="shared" si="53"/>
        <v>0</v>
      </c>
      <c r="V181" s="36" t="e">
        <f t="shared" si="54"/>
        <v>#DIV/0!</v>
      </c>
      <c r="W181" s="36" t="e">
        <f t="shared" si="55"/>
        <v>#DIV/0!</v>
      </c>
      <c r="X181" s="62" t="e">
        <f t="shared" si="61"/>
        <v>#DIV/0!</v>
      </c>
    </row>
    <row r="182" spans="1:24">
      <c r="A182" s="26"/>
      <c r="B182" s="27"/>
      <c r="C182" s="27"/>
      <c r="D182" s="27"/>
      <c r="E182" s="27"/>
      <c r="F182" s="27"/>
      <c r="G182" s="27"/>
      <c r="H182" s="27"/>
      <c r="I182" s="27"/>
      <c r="J182" s="27"/>
      <c r="K182" s="133" t="str">
        <f t="shared" ref="K182:K245" si="65">IF(C182="","",VLOOKUP(C182,成本单价,8,0))</f>
        <v/>
      </c>
      <c r="L182" s="44" t="str">
        <f t="shared" si="56"/>
        <v/>
      </c>
      <c r="M182" s="44" t="str">
        <f t="shared" si="51"/>
        <v/>
      </c>
      <c r="N182" s="44" t="str">
        <f t="shared" si="57"/>
        <v/>
      </c>
      <c r="O182" s="44" t="str">
        <f t="shared" si="52"/>
        <v/>
      </c>
      <c r="P182" s="44" t="str">
        <f t="shared" si="62"/>
        <v/>
      </c>
      <c r="Q182" s="44" t="str">
        <f t="shared" si="64"/>
        <v/>
      </c>
      <c r="R182" s="44" t="str">
        <f t="shared" si="58"/>
        <v/>
      </c>
      <c r="S182" s="242">
        <f t="shared" si="59"/>
        <v>0</v>
      </c>
      <c r="T182" s="42">
        <f t="shared" si="60"/>
        <v>0</v>
      </c>
      <c r="U182" s="42">
        <f t="shared" si="53"/>
        <v>0</v>
      </c>
      <c r="V182" s="36" t="e">
        <f t="shared" si="54"/>
        <v>#DIV/0!</v>
      </c>
      <c r="W182" s="36" t="e">
        <f t="shared" si="55"/>
        <v>#DIV/0!</v>
      </c>
      <c r="X182" s="62" t="e">
        <f t="shared" si="61"/>
        <v>#DIV/0!</v>
      </c>
    </row>
    <row r="183" spans="1:24">
      <c r="A183" s="26"/>
      <c r="B183" s="27"/>
      <c r="C183" s="27"/>
      <c r="D183" s="27"/>
      <c r="E183" s="27"/>
      <c r="F183" s="27"/>
      <c r="G183" s="27"/>
      <c r="H183" s="27"/>
      <c r="I183" s="27"/>
      <c r="J183" s="27"/>
      <c r="K183" s="133" t="str">
        <f t="shared" si="65"/>
        <v/>
      </c>
      <c r="L183" s="44" t="str">
        <f t="shared" si="56"/>
        <v/>
      </c>
      <c r="M183" s="44" t="str">
        <f t="shared" si="51"/>
        <v/>
      </c>
      <c r="N183" s="44" t="str">
        <f t="shared" si="57"/>
        <v/>
      </c>
      <c r="O183" s="44" t="str">
        <f t="shared" si="52"/>
        <v/>
      </c>
      <c r="P183" s="44" t="str">
        <f t="shared" si="62"/>
        <v/>
      </c>
      <c r="Q183" s="44" t="str">
        <f t="shared" si="64"/>
        <v/>
      </c>
      <c r="R183" s="44" t="str">
        <f t="shared" si="58"/>
        <v/>
      </c>
      <c r="S183" s="242">
        <f t="shared" si="59"/>
        <v>0</v>
      </c>
      <c r="T183" s="42">
        <f t="shared" si="60"/>
        <v>0</v>
      </c>
      <c r="U183" s="42">
        <f t="shared" si="53"/>
        <v>0</v>
      </c>
      <c r="V183" s="36" t="e">
        <f t="shared" si="54"/>
        <v>#DIV/0!</v>
      </c>
      <c r="W183" s="36" t="e">
        <f t="shared" si="55"/>
        <v>#DIV/0!</v>
      </c>
      <c r="X183" s="62" t="e">
        <f t="shared" si="61"/>
        <v>#DIV/0!</v>
      </c>
    </row>
    <row r="184" spans="1:24">
      <c r="A184" s="26"/>
      <c r="B184" s="27"/>
      <c r="C184" s="27"/>
      <c r="D184" s="27"/>
      <c r="E184" s="27"/>
      <c r="F184" s="27"/>
      <c r="G184" s="27"/>
      <c r="H184" s="27"/>
      <c r="I184" s="27"/>
      <c r="J184" s="27"/>
      <c r="K184" s="133" t="str">
        <f t="shared" si="65"/>
        <v/>
      </c>
      <c r="L184" s="44" t="str">
        <f t="shared" si="56"/>
        <v/>
      </c>
      <c r="M184" s="44" t="str">
        <f t="shared" si="51"/>
        <v/>
      </c>
      <c r="N184" s="44" t="str">
        <f t="shared" si="57"/>
        <v/>
      </c>
      <c r="O184" s="44" t="str">
        <f t="shared" si="52"/>
        <v/>
      </c>
      <c r="P184" s="44" t="str">
        <f t="shared" si="62"/>
        <v/>
      </c>
      <c r="Q184" s="44" t="str">
        <f t="shared" si="64"/>
        <v/>
      </c>
      <c r="R184" s="44" t="str">
        <f t="shared" si="58"/>
        <v/>
      </c>
      <c r="S184" s="242">
        <f t="shared" si="59"/>
        <v>0</v>
      </c>
      <c r="T184" s="42">
        <f t="shared" si="60"/>
        <v>0</v>
      </c>
      <c r="U184" s="42">
        <f t="shared" si="53"/>
        <v>0</v>
      </c>
      <c r="V184" s="36" t="e">
        <f t="shared" si="54"/>
        <v>#DIV/0!</v>
      </c>
      <c r="W184" s="36" t="e">
        <f t="shared" si="55"/>
        <v>#DIV/0!</v>
      </c>
      <c r="X184" s="62" t="e">
        <f t="shared" si="61"/>
        <v>#DIV/0!</v>
      </c>
    </row>
    <row r="185" spans="1:24">
      <c r="A185" s="26"/>
      <c r="B185" s="27"/>
      <c r="C185" s="27"/>
      <c r="D185" s="27"/>
      <c r="E185" s="27"/>
      <c r="F185" s="27"/>
      <c r="G185" s="27"/>
      <c r="H185" s="27"/>
      <c r="I185" s="27"/>
      <c r="J185" s="27"/>
      <c r="K185" s="133" t="str">
        <f t="shared" si="65"/>
        <v/>
      </c>
      <c r="L185" s="44" t="str">
        <f t="shared" si="56"/>
        <v/>
      </c>
      <c r="M185" s="44" t="str">
        <f t="shared" si="51"/>
        <v/>
      </c>
      <c r="N185" s="44" t="str">
        <f t="shared" si="57"/>
        <v/>
      </c>
      <c r="O185" s="44" t="str">
        <f t="shared" si="52"/>
        <v/>
      </c>
      <c r="P185" s="44" t="str">
        <f t="shared" si="62"/>
        <v/>
      </c>
      <c r="Q185" s="44" t="str">
        <f t="shared" si="64"/>
        <v/>
      </c>
      <c r="R185" s="44" t="str">
        <f t="shared" si="58"/>
        <v/>
      </c>
      <c r="S185" s="242">
        <f t="shared" si="59"/>
        <v>0</v>
      </c>
      <c r="T185" s="42">
        <f t="shared" si="60"/>
        <v>0</v>
      </c>
      <c r="U185" s="42">
        <f t="shared" si="53"/>
        <v>0</v>
      </c>
      <c r="V185" s="36" t="e">
        <f t="shared" si="54"/>
        <v>#DIV/0!</v>
      </c>
      <c r="W185" s="36" t="e">
        <f t="shared" si="55"/>
        <v>#DIV/0!</v>
      </c>
      <c r="X185" s="62" t="e">
        <f t="shared" si="61"/>
        <v>#DIV/0!</v>
      </c>
    </row>
    <row r="186" spans="1:24">
      <c r="A186" s="26"/>
      <c r="B186" s="27"/>
      <c r="C186" s="27"/>
      <c r="D186" s="27"/>
      <c r="E186" s="27"/>
      <c r="F186" s="27"/>
      <c r="G186" s="27"/>
      <c r="H186" s="27"/>
      <c r="I186" s="27"/>
      <c r="J186" s="27"/>
      <c r="K186" s="133" t="str">
        <f t="shared" si="65"/>
        <v/>
      </c>
      <c r="L186" s="44" t="str">
        <f t="shared" si="56"/>
        <v/>
      </c>
      <c r="M186" s="44" t="str">
        <f t="shared" si="51"/>
        <v/>
      </c>
      <c r="N186" s="44" t="str">
        <f t="shared" si="57"/>
        <v/>
      </c>
      <c r="O186" s="44" t="str">
        <f t="shared" si="52"/>
        <v/>
      </c>
      <c r="P186" s="44" t="str">
        <f t="shared" si="62"/>
        <v/>
      </c>
      <c r="Q186" s="44" t="str">
        <f t="shared" si="64"/>
        <v/>
      </c>
      <c r="R186" s="44" t="str">
        <f t="shared" si="58"/>
        <v/>
      </c>
      <c r="S186" s="242">
        <f t="shared" si="59"/>
        <v>0</v>
      </c>
      <c r="T186" s="42">
        <f t="shared" si="60"/>
        <v>0</v>
      </c>
      <c r="U186" s="42">
        <f t="shared" si="53"/>
        <v>0</v>
      </c>
      <c r="V186" s="36" t="e">
        <f t="shared" si="54"/>
        <v>#DIV/0!</v>
      </c>
      <c r="W186" s="36" t="e">
        <f t="shared" si="55"/>
        <v>#DIV/0!</v>
      </c>
      <c r="X186" s="62" t="e">
        <f t="shared" si="61"/>
        <v>#DIV/0!</v>
      </c>
    </row>
    <row r="187" spans="1:24">
      <c r="A187" s="26"/>
      <c r="B187" s="27"/>
      <c r="C187" s="27"/>
      <c r="D187" s="27"/>
      <c r="E187" s="27"/>
      <c r="F187" s="27"/>
      <c r="G187" s="27"/>
      <c r="H187" s="27"/>
      <c r="I187" s="27"/>
      <c r="J187" s="27"/>
      <c r="K187" s="133" t="str">
        <f t="shared" si="65"/>
        <v/>
      </c>
      <c r="L187" s="44" t="str">
        <f t="shared" si="56"/>
        <v/>
      </c>
      <c r="M187" s="44" t="str">
        <f t="shared" si="51"/>
        <v/>
      </c>
      <c r="N187" s="44" t="str">
        <f t="shared" si="57"/>
        <v/>
      </c>
      <c r="O187" s="44" t="str">
        <f t="shared" si="52"/>
        <v/>
      </c>
      <c r="P187" s="44" t="str">
        <f t="shared" si="62"/>
        <v/>
      </c>
      <c r="Q187" s="44" t="str">
        <f t="shared" si="64"/>
        <v/>
      </c>
      <c r="R187" s="44" t="str">
        <f t="shared" si="58"/>
        <v/>
      </c>
      <c r="S187" s="242">
        <f t="shared" si="59"/>
        <v>0</v>
      </c>
      <c r="T187" s="42">
        <f t="shared" si="60"/>
        <v>0</v>
      </c>
      <c r="U187" s="42">
        <f t="shared" si="53"/>
        <v>0</v>
      </c>
      <c r="V187" s="36" t="e">
        <f t="shared" si="54"/>
        <v>#DIV/0!</v>
      </c>
      <c r="W187" s="36" t="e">
        <f t="shared" si="55"/>
        <v>#DIV/0!</v>
      </c>
      <c r="X187" s="62" t="e">
        <f t="shared" si="61"/>
        <v>#DIV/0!</v>
      </c>
    </row>
    <row r="188" spans="1:24">
      <c r="A188" s="26"/>
      <c r="B188" s="27"/>
      <c r="C188" s="27"/>
      <c r="D188" s="27"/>
      <c r="E188" s="27"/>
      <c r="F188" s="27"/>
      <c r="G188" s="27"/>
      <c r="H188" s="27"/>
      <c r="I188" s="27"/>
      <c r="J188" s="27"/>
      <c r="K188" s="133" t="str">
        <f t="shared" si="65"/>
        <v/>
      </c>
      <c r="L188" s="44" t="str">
        <f t="shared" si="56"/>
        <v/>
      </c>
      <c r="M188" s="44" t="str">
        <f t="shared" si="51"/>
        <v/>
      </c>
      <c r="N188" s="44" t="str">
        <f t="shared" si="57"/>
        <v/>
      </c>
      <c r="O188" s="44" t="str">
        <f t="shared" si="52"/>
        <v/>
      </c>
      <c r="P188" s="44" t="str">
        <f t="shared" si="62"/>
        <v/>
      </c>
      <c r="Q188" s="44" t="str">
        <f t="shared" si="64"/>
        <v/>
      </c>
      <c r="R188" s="44" t="str">
        <f t="shared" si="58"/>
        <v/>
      </c>
      <c r="S188" s="242">
        <f t="shared" si="59"/>
        <v>0</v>
      </c>
      <c r="T188" s="42">
        <f t="shared" si="60"/>
        <v>0</v>
      </c>
      <c r="U188" s="42">
        <f t="shared" si="53"/>
        <v>0</v>
      </c>
      <c r="V188" s="36" t="e">
        <f t="shared" si="54"/>
        <v>#DIV/0!</v>
      </c>
      <c r="W188" s="36" t="e">
        <f t="shared" si="55"/>
        <v>#DIV/0!</v>
      </c>
      <c r="X188" s="62" t="e">
        <f t="shared" si="61"/>
        <v>#DIV/0!</v>
      </c>
    </row>
    <row r="189" spans="1:24">
      <c r="A189" s="26"/>
      <c r="B189" s="27"/>
      <c r="C189" s="27"/>
      <c r="D189" s="27"/>
      <c r="E189" s="27"/>
      <c r="F189" s="27"/>
      <c r="G189" s="27"/>
      <c r="H189" s="27"/>
      <c r="I189" s="27"/>
      <c r="J189" s="27"/>
      <c r="K189" s="133" t="str">
        <f t="shared" si="65"/>
        <v/>
      </c>
      <c r="L189" s="44" t="str">
        <f t="shared" si="56"/>
        <v/>
      </c>
      <c r="M189" s="44" t="str">
        <f t="shared" si="51"/>
        <v/>
      </c>
      <c r="N189" s="44" t="str">
        <f t="shared" si="57"/>
        <v/>
      </c>
      <c r="O189" s="44" t="str">
        <f t="shared" si="52"/>
        <v/>
      </c>
      <c r="P189" s="44" t="str">
        <f t="shared" si="62"/>
        <v/>
      </c>
      <c r="Q189" s="44" t="str">
        <f t="shared" si="64"/>
        <v/>
      </c>
      <c r="R189" s="44" t="str">
        <f t="shared" si="58"/>
        <v/>
      </c>
      <c r="S189" s="242">
        <f t="shared" si="59"/>
        <v>0</v>
      </c>
      <c r="T189" s="42">
        <f t="shared" si="60"/>
        <v>0</v>
      </c>
      <c r="U189" s="42">
        <f t="shared" si="53"/>
        <v>0</v>
      </c>
      <c r="V189" s="36" t="e">
        <f t="shared" si="54"/>
        <v>#DIV/0!</v>
      </c>
      <c r="W189" s="36" t="e">
        <f t="shared" si="55"/>
        <v>#DIV/0!</v>
      </c>
      <c r="X189" s="62" t="e">
        <f t="shared" si="61"/>
        <v>#DIV/0!</v>
      </c>
    </row>
    <row r="190" spans="1:24">
      <c r="A190" s="26"/>
      <c r="B190" s="27"/>
      <c r="C190" s="27"/>
      <c r="D190" s="27"/>
      <c r="E190" s="27"/>
      <c r="F190" s="27"/>
      <c r="G190" s="27"/>
      <c r="H190" s="27"/>
      <c r="I190" s="27"/>
      <c r="J190" s="27"/>
      <c r="K190" s="133" t="str">
        <f t="shared" si="65"/>
        <v/>
      </c>
      <c r="L190" s="44" t="str">
        <f t="shared" si="56"/>
        <v/>
      </c>
      <c r="M190" s="44" t="str">
        <f t="shared" si="51"/>
        <v/>
      </c>
      <c r="N190" s="44" t="str">
        <f t="shared" si="57"/>
        <v/>
      </c>
      <c r="O190" s="44" t="str">
        <f t="shared" si="52"/>
        <v/>
      </c>
      <c r="P190" s="44" t="str">
        <f t="shared" si="62"/>
        <v/>
      </c>
      <c r="Q190" s="44" t="str">
        <f t="shared" si="64"/>
        <v/>
      </c>
      <c r="R190" s="44" t="str">
        <f t="shared" si="58"/>
        <v/>
      </c>
      <c r="S190" s="242">
        <f t="shared" si="59"/>
        <v>0</v>
      </c>
      <c r="T190" s="42">
        <f t="shared" si="60"/>
        <v>0</v>
      </c>
      <c r="U190" s="42">
        <f t="shared" si="53"/>
        <v>0</v>
      </c>
      <c r="V190" s="36" t="e">
        <f t="shared" si="54"/>
        <v>#DIV/0!</v>
      </c>
      <c r="W190" s="36" t="e">
        <f t="shared" si="55"/>
        <v>#DIV/0!</v>
      </c>
      <c r="X190" s="62" t="e">
        <f t="shared" si="61"/>
        <v>#DIV/0!</v>
      </c>
    </row>
    <row r="191" spans="1:24">
      <c r="A191" s="26"/>
      <c r="B191" s="27"/>
      <c r="C191" s="27"/>
      <c r="D191" s="27"/>
      <c r="E191" s="27"/>
      <c r="F191" s="27"/>
      <c r="G191" s="27"/>
      <c r="H191" s="27"/>
      <c r="I191" s="27"/>
      <c r="J191" s="27"/>
      <c r="K191" s="133" t="str">
        <f t="shared" si="65"/>
        <v/>
      </c>
      <c r="L191" s="44" t="str">
        <f t="shared" si="56"/>
        <v/>
      </c>
      <c r="M191" s="44" t="str">
        <f t="shared" si="51"/>
        <v/>
      </c>
      <c r="N191" s="44" t="str">
        <f t="shared" si="57"/>
        <v/>
      </c>
      <c r="O191" s="44" t="str">
        <f t="shared" si="52"/>
        <v/>
      </c>
      <c r="P191" s="44" t="str">
        <f t="shared" si="62"/>
        <v/>
      </c>
      <c r="Q191" s="44" t="str">
        <f t="shared" si="64"/>
        <v/>
      </c>
      <c r="R191" s="44" t="str">
        <f t="shared" si="58"/>
        <v/>
      </c>
      <c r="S191" s="242">
        <f t="shared" si="59"/>
        <v>0</v>
      </c>
      <c r="T191" s="42">
        <f t="shared" si="60"/>
        <v>0</v>
      </c>
      <c r="U191" s="42">
        <f t="shared" si="53"/>
        <v>0</v>
      </c>
      <c r="V191" s="36" t="e">
        <f t="shared" si="54"/>
        <v>#DIV/0!</v>
      </c>
      <c r="W191" s="36" t="e">
        <f t="shared" si="55"/>
        <v>#DIV/0!</v>
      </c>
      <c r="X191" s="62" t="e">
        <f t="shared" si="61"/>
        <v>#DIV/0!</v>
      </c>
    </row>
    <row r="192" spans="1:24">
      <c r="A192" s="26"/>
      <c r="B192" s="27"/>
      <c r="C192" s="27"/>
      <c r="D192" s="27"/>
      <c r="E192" s="27"/>
      <c r="F192" s="27"/>
      <c r="G192" s="27"/>
      <c r="H192" s="27"/>
      <c r="I192" s="27"/>
      <c r="J192" s="27"/>
      <c r="K192" s="133" t="str">
        <f t="shared" si="65"/>
        <v/>
      </c>
      <c r="L192" s="44" t="str">
        <f t="shared" si="56"/>
        <v/>
      </c>
      <c r="M192" s="44" t="str">
        <f t="shared" si="51"/>
        <v/>
      </c>
      <c r="N192" s="44" t="str">
        <f t="shared" si="57"/>
        <v/>
      </c>
      <c r="O192" s="44" t="str">
        <f t="shared" si="52"/>
        <v/>
      </c>
      <c r="P192" s="44" t="str">
        <f t="shared" si="62"/>
        <v/>
      </c>
      <c r="Q192" s="44" t="str">
        <f t="shared" si="64"/>
        <v/>
      </c>
      <c r="R192" s="44" t="str">
        <f t="shared" si="58"/>
        <v/>
      </c>
      <c r="S192" s="242">
        <f t="shared" si="59"/>
        <v>0</v>
      </c>
      <c r="T192" s="42">
        <f t="shared" si="60"/>
        <v>0</v>
      </c>
      <c r="U192" s="42">
        <f t="shared" si="53"/>
        <v>0</v>
      </c>
      <c r="V192" s="36" t="e">
        <f t="shared" si="54"/>
        <v>#DIV/0!</v>
      </c>
      <c r="W192" s="36" t="e">
        <f t="shared" si="55"/>
        <v>#DIV/0!</v>
      </c>
      <c r="X192" s="62" t="e">
        <f t="shared" si="61"/>
        <v>#DIV/0!</v>
      </c>
    </row>
    <row r="193" spans="1:24">
      <c r="A193" s="26"/>
      <c r="B193" s="27"/>
      <c r="C193" s="27"/>
      <c r="D193" s="27"/>
      <c r="E193" s="27"/>
      <c r="F193" s="27"/>
      <c r="G193" s="27"/>
      <c r="H193" s="27"/>
      <c r="I193" s="27"/>
      <c r="J193" s="27"/>
      <c r="K193" s="133" t="str">
        <f t="shared" si="65"/>
        <v/>
      </c>
      <c r="L193" s="44" t="str">
        <f t="shared" si="56"/>
        <v/>
      </c>
      <c r="M193" s="44" t="str">
        <f t="shared" si="51"/>
        <v/>
      </c>
      <c r="N193" s="44" t="str">
        <f t="shared" si="57"/>
        <v/>
      </c>
      <c r="O193" s="44" t="str">
        <f t="shared" si="52"/>
        <v/>
      </c>
      <c r="P193" s="44" t="str">
        <f t="shared" si="62"/>
        <v/>
      </c>
      <c r="Q193" s="44" t="str">
        <f t="shared" si="64"/>
        <v/>
      </c>
      <c r="R193" s="44" t="str">
        <f t="shared" si="58"/>
        <v/>
      </c>
      <c r="S193" s="242">
        <f t="shared" si="59"/>
        <v>0</v>
      </c>
      <c r="T193" s="42">
        <f t="shared" si="60"/>
        <v>0</v>
      </c>
      <c r="U193" s="42">
        <f t="shared" si="53"/>
        <v>0</v>
      </c>
      <c r="V193" s="36" t="e">
        <f t="shared" si="54"/>
        <v>#DIV/0!</v>
      </c>
      <c r="W193" s="36" t="e">
        <f t="shared" si="55"/>
        <v>#DIV/0!</v>
      </c>
      <c r="X193" s="62" t="e">
        <f t="shared" si="61"/>
        <v>#DIV/0!</v>
      </c>
    </row>
    <row r="194" spans="1:24">
      <c r="A194" s="26"/>
      <c r="B194" s="27"/>
      <c r="C194" s="27"/>
      <c r="D194" s="27"/>
      <c r="E194" s="27"/>
      <c r="F194" s="27"/>
      <c r="G194" s="27"/>
      <c r="H194" s="27"/>
      <c r="I194" s="27"/>
      <c r="J194" s="27"/>
      <c r="K194" s="133" t="str">
        <f t="shared" si="65"/>
        <v/>
      </c>
      <c r="L194" s="44" t="str">
        <f t="shared" si="56"/>
        <v/>
      </c>
      <c r="M194" s="44" t="str">
        <f t="shared" si="51"/>
        <v/>
      </c>
      <c r="N194" s="44" t="str">
        <f t="shared" si="57"/>
        <v/>
      </c>
      <c r="O194" s="44" t="str">
        <f t="shared" si="52"/>
        <v/>
      </c>
      <c r="P194" s="44" t="str">
        <f t="shared" si="62"/>
        <v/>
      </c>
      <c r="Q194" s="44" t="str">
        <f t="shared" si="64"/>
        <v/>
      </c>
      <c r="R194" s="44" t="str">
        <f t="shared" si="58"/>
        <v/>
      </c>
      <c r="S194" s="242">
        <f t="shared" si="59"/>
        <v>0</v>
      </c>
      <c r="T194" s="42">
        <f t="shared" si="60"/>
        <v>0</v>
      </c>
      <c r="U194" s="42">
        <f t="shared" si="53"/>
        <v>0</v>
      </c>
      <c r="V194" s="36" t="e">
        <f t="shared" si="54"/>
        <v>#DIV/0!</v>
      </c>
      <c r="W194" s="36" t="e">
        <f t="shared" si="55"/>
        <v>#DIV/0!</v>
      </c>
      <c r="X194" s="62" t="e">
        <f t="shared" si="61"/>
        <v>#DIV/0!</v>
      </c>
    </row>
    <row r="195" spans="1:24">
      <c r="A195" s="26"/>
      <c r="B195" s="27"/>
      <c r="C195" s="27"/>
      <c r="D195" s="27"/>
      <c r="E195" s="27"/>
      <c r="F195" s="27"/>
      <c r="G195" s="27"/>
      <c r="H195" s="27"/>
      <c r="I195" s="27"/>
      <c r="J195" s="27"/>
      <c r="K195" s="133" t="str">
        <f t="shared" si="65"/>
        <v/>
      </c>
      <c r="L195" s="44" t="str">
        <f t="shared" si="56"/>
        <v/>
      </c>
      <c r="M195" s="44" t="str">
        <f t="shared" si="51"/>
        <v/>
      </c>
      <c r="N195" s="44" t="str">
        <f t="shared" si="57"/>
        <v/>
      </c>
      <c r="O195" s="44" t="str">
        <f t="shared" si="52"/>
        <v/>
      </c>
      <c r="P195" s="44" t="str">
        <f t="shared" si="62"/>
        <v/>
      </c>
      <c r="Q195" s="44" t="str">
        <f t="shared" si="64"/>
        <v/>
      </c>
      <c r="R195" s="44" t="str">
        <f t="shared" si="58"/>
        <v/>
      </c>
      <c r="S195" s="242">
        <f t="shared" si="59"/>
        <v>0</v>
      </c>
      <c r="T195" s="42">
        <f t="shared" si="60"/>
        <v>0</v>
      </c>
      <c r="U195" s="42">
        <f t="shared" si="53"/>
        <v>0</v>
      </c>
      <c r="V195" s="36" t="e">
        <f t="shared" si="54"/>
        <v>#DIV/0!</v>
      </c>
      <c r="W195" s="36" t="e">
        <f t="shared" si="55"/>
        <v>#DIV/0!</v>
      </c>
      <c r="X195" s="62" t="e">
        <f t="shared" si="61"/>
        <v>#DIV/0!</v>
      </c>
    </row>
    <row r="196" spans="1:24">
      <c r="A196" s="26"/>
      <c r="B196" s="27"/>
      <c r="C196" s="27"/>
      <c r="D196" s="27"/>
      <c r="E196" s="27"/>
      <c r="F196" s="27"/>
      <c r="G196" s="27"/>
      <c r="H196" s="27"/>
      <c r="I196" s="27"/>
      <c r="J196" s="27"/>
      <c r="K196" s="133" t="str">
        <f t="shared" si="65"/>
        <v/>
      </c>
      <c r="L196" s="44" t="str">
        <f t="shared" si="56"/>
        <v/>
      </c>
      <c r="M196" s="44" t="str">
        <f t="shared" ref="M196:M259" si="66">IF(E196="","",VLOOKUP(E196,成本单价,8,0))</f>
        <v/>
      </c>
      <c r="N196" s="44" t="str">
        <f t="shared" si="57"/>
        <v/>
      </c>
      <c r="O196" s="44" t="str">
        <f t="shared" ref="O196:O259" si="67">IF(G196="","",VLOOKUP(G196,成本单价,8,0))</f>
        <v/>
      </c>
      <c r="P196" s="44" t="str">
        <f t="shared" si="62"/>
        <v/>
      </c>
      <c r="Q196" s="44" t="str">
        <f t="shared" ref="Q196:Q259" si="68">IF(I196="","",VLOOKUP(I196,成本单价,8,0))</f>
        <v/>
      </c>
      <c r="R196" s="44" t="str">
        <f t="shared" si="58"/>
        <v/>
      </c>
      <c r="S196" s="242">
        <f t="shared" si="59"/>
        <v>0</v>
      </c>
      <c r="T196" s="42">
        <f t="shared" si="60"/>
        <v>0</v>
      </c>
      <c r="U196" s="42">
        <f t="shared" ref="U196:U259" si="69">T196*(1+物料比)</f>
        <v>0</v>
      </c>
      <c r="V196" s="36" t="e">
        <f t="shared" ref="V196:V259" si="70">U196/B196</f>
        <v>#DIV/0!</v>
      </c>
      <c r="W196" s="36" t="e">
        <f t="shared" ref="W196:W259" si="71">D196/B196+F196/B196+H196/B196+J196/B196</f>
        <v>#DIV/0!</v>
      </c>
      <c r="X196" s="62" t="e">
        <f t="shared" si="61"/>
        <v>#DIV/0!</v>
      </c>
    </row>
    <row r="197" spans="1:24">
      <c r="A197" s="26"/>
      <c r="B197" s="27"/>
      <c r="C197" s="27"/>
      <c r="D197" s="27"/>
      <c r="E197" s="27"/>
      <c r="F197" s="27"/>
      <c r="G197" s="27"/>
      <c r="H197" s="27"/>
      <c r="I197" s="27"/>
      <c r="J197" s="27"/>
      <c r="K197" s="133" t="str">
        <f t="shared" si="65"/>
        <v/>
      </c>
      <c r="L197" s="44" t="str">
        <f t="shared" ref="L197:L260" si="72">IFERROR(D197*K197,"")</f>
        <v/>
      </c>
      <c r="M197" s="44" t="str">
        <f t="shared" si="66"/>
        <v/>
      </c>
      <c r="N197" s="44" t="str">
        <f t="shared" ref="N197:N260" si="73">IFERROR(F197*M197,"")</f>
        <v/>
      </c>
      <c r="O197" s="44" t="str">
        <f t="shared" si="67"/>
        <v/>
      </c>
      <c r="P197" s="44" t="str">
        <f t="shared" si="62"/>
        <v/>
      </c>
      <c r="Q197" s="44" t="str">
        <f t="shared" si="68"/>
        <v/>
      </c>
      <c r="R197" s="44" t="str">
        <f t="shared" ref="R197:R260" si="74">IFERROR(J197*Q197,"")</f>
        <v/>
      </c>
      <c r="S197" s="242">
        <f t="shared" ref="S197:S260" si="75">B197*0.2</f>
        <v>0</v>
      </c>
      <c r="T197" s="42">
        <f t="shared" ref="T197:T260" si="76">IFERROR(SUM(L197,N197,P197,R197,S197),"")</f>
        <v>0</v>
      </c>
      <c r="U197" s="42">
        <f t="shared" si="69"/>
        <v>0</v>
      </c>
      <c r="V197" s="36" t="e">
        <f t="shared" si="70"/>
        <v>#DIV/0!</v>
      </c>
      <c r="W197" s="36" t="e">
        <f t="shared" si="71"/>
        <v>#DIV/0!</v>
      </c>
      <c r="X197" s="62" t="e">
        <f t="shared" ref="X197:X260" si="77">ROUNDUP(V197*(1+小吃毛利),1)</f>
        <v>#DIV/0!</v>
      </c>
    </row>
    <row r="198" spans="1:24">
      <c r="A198" s="26"/>
      <c r="B198" s="27"/>
      <c r="C198" s="27"/>
      <c r="D198" s="27"/>
      <c r="E198" s="27"/>
      <c r="F198" s="27"/>
      <c r="G198" s="27"/>
      <c r="H198" s="27"/>
      <c r="I198" s="27"/>
      <c r="J198" s="27"/>
      <c r="K198" s="133" t="str">
        <f t="shared" si="65"/>
        <v/>
      </c>
      <c r="L198" s="44" t="str">
        <f t="shared" si="72"/>
        <v/>
      </c>
      <c r="M198" s="44" t="str">
        <f t="shared" si="66"/>
        <v/>
      </c>
      <c r="N198" s="44" t="str">
        <f t="shared" si="73"/>
        <v/>
      </c>
      <c r="O198" s="44" t="str">
        <f t="shared" si="67"/>
        <v/>
      </c>
      <c r="P198" s="44" t="str">
        <f t="shared" ref="P198:P261" si="78">IFERROR(H198*O198,"")</f>
        <v/>
      </c>
      <c r="Q198" s="44" t="str">
        <f t="shared" si="68"/>
        <v/>
      </c>
      <c r="R198" s="44" t="str">
        <f t="shared" si="74"/>
        <v/>
      </c>
      <c r="S198" s="242">
        <f t="shared" si="75"/>
        <v>0</v>
      </c>
      <c r="T198" s="42">
        <f t="shared" si="76"/>
        <v>0</v>
      </c>
      <c r="U198" s="42">
        <f t="shared" si="69"/>
        <v>0</v>
      </c>
      <c r="V198" s="36" t="e">
        <f t="shared" si="70"/>
        <v>#DIV/0!</v>
      </c>
      <c r="W198" s="36" t="e">
        <f t="shared" si="71"/>
        <v>#DIV/0!</v>
      </c>
      <c r="X198" s="62" t="e">
        <f t="shared" si="77"/>
        <v>#DIV/0!</v>
      </c>
    </row>
    <row r="199" spans="1:24">
      <c r="A199" s="26"/>
      <c r="B199" s="27"/>
      <c r="C199" s="27"/>
      <c r="D199" s="27"/>
      <c r="E199" s="27"/>
      <c r="F199" s="27"/>
      <c r="G199" s="27"/>
      <c r="H199" s="27"/>
      <c r="I199" s="27"/>
      <c r="J199" s="27"/>
      <c r="K199" s="133" t="str">
        <f t="shared" si="65"/>
        <v/>
      </c>
      <c r="L199" s="44" t="str">
        <f t="shared" si="72"/>
        <v/>
      </c>
      <c r="M199" s="44" t="str">
        <f t="shared" si="66"/>
        <v/>
      </c>
      <c r="N199" s="44" t="str">
        <f t="shared" si="73"/>
        <v/>
      </c>
      <c r="O199" s="44" t="str">
        <f t="shared" si="67"/>
        <v/>
      </c>
      <c r="P199" s="44" t="str">
        <f t="shared" si="78"/>
        <v/>
      </c>
      <c r="Q199" s="44" t="str">
        <f t="shared" si="68"/>
        <v/>
      </c>
      <c r="R199" s="44" t="str">
        <f t="shared" si="74"/>
        <v/>
      </c>
      <c r="S199" s="242">
        <f t="shared" si="75"/>
        <v>0</v>
      </c>
      <c r="T199" s="42">
        <f t="shared" si="76"/>
        <v>0</v>
      </c>
      <c r="U199" s="42">
        <f t="shared" si="69"/>
        <v>0</v>
      </c>
      <c r="V199" s="36" t="e">
        <f t="shared" si="70"/>
        <v>#DIV/0!</v>
      </c>
      <c r="W199" s="36" t="e">
        <f t="shared" si="71"/>
        <v>#DIV/0!</v>
      </c>
      <c r="X199" s="62" t="e">
        <f t="shared" si="77"/>
        <v>#DIV/0!</v>
      </c>
    </row>
    <row r="200" spans="1:24">
      <c r="A200" s="26"/>
      <c r="B200" s="27"/>
      <c r="C200" s="27"/>
      <c r="D200" s="27"/>
      <c r="E200" s="27"/>
      <c r="F200" s="27"/>
      <c r="G200" s="27"/>
      <c r="H200" s="27"/>
      <c r="I200" s="27"/>
      <c r="J200" s="27"/>
      <c r="K200" s="133" t="str">
        <f t="shared" si="65"/>
        <v/>
      </c>
      <c r="L200" s="44" t="str">
        <f t="shared" si="72"/>
        <v/>
      </c>
      <c r="M200" s="44" t="str">
        <f t="shared" si="66"/>
        <v/>
      </c>
      <c r="N200" s="44" t="str">
        <f t="shared" si="73"/>
        <v/>
      </c>
      <c r="O200" s="44" t="str">
        <f t="shared" si="67"/>
        <v/>
      </c>
      <c r="P200" s="44" t="str">
        <f t="shared" si="78"/>
        <v/>
      </c>
      <c r="Q200" s="44" t="str">
        <f t="shared" si="68"/>
        <v/>
      </c>
      <c r="R200" s="44" t="str">
        <f t="shared" si="74"/>
        <v/>
      </c>
      <c r="S200" s="242">
        <f t="shared" si="75"/>
        <v>0</v>
      </c>
      <c r="T200" s="42">
        <f t="shared" si="76"/>
        <v>0</v>
      </c>
      <c r="U200" s="42">
        <f t="shared" si="69"/>
        <v>0</v>
      </c>
      <c r="V200" s="36" t="e">
        <f t="shared" si="70"/>
        <v>#DIV/0!</v>
      </c>
      <c r="W200" s="36" t="e">
        <f t="shared" si="71"/>
        <v>#DIV/0!</v>
      </c>
      <c r="X200" s="62" t="e">
        <f t="shared" si="77"/>
        <v>#DIV/0!</v>
      </c>
    </row>
    <row r="201" spans="1:24">
      <c r="A201" s="26"/>
      <c r="B201" s="27"/>
      <c r="C201" s="27"/>
      <c r="D201" s="27"/>
      <c r="E201" s="27"/>
      <c r="F201" s="27"/>
      <c r="G201" s="27"/>
      <c r="H201" s="27"/>
      <c r="I201" s="27"/>
      <c r="J201" s="27"/>
      <c r="K201" s="133" t="str">
        <f t="shared" si="65"/>
        <v/>
      </c>
      <c r="L201" s="44" t="str">
        <f t="shared" si="72"/>
        <v/>
      </c>
      <c r="M201" s="44" t="str">
        <f t="shared" si="66"/>
        <v/>
      </c>
      <c r="N201" s="44" t="str">
        <f t="shared" si="73"/>
        <v/>
      </c>
      <c r="O201" s="44" t="str">
        <f t="shared" si="67"/>
        <v/>
      </c>
      <c r="P201" s="44" t="str">
        <f t="shared" si="78"/>
        <v/>
      </c>
      <c r="Q201" s="44" t="str">
        <f t="shared" si="68"/>
        <v/>
      </c>
      <c r="R201" s="44" t="str">
        <f t="shared" si="74"/>
        <v/>
      </c>
      <c r="S201" s="242">
        <f t="shared" si="75"/>
        <v>0</v>
      </c>
      <c r="T201" s="42">
        <f t="shared" si="76"/>
        <v>0</v>
      </c>
      <c r="U201" s="42">
        <f t="shared" si="69"/>
        <v>0</v>
      </c>
      <c r="V201" s="36" t="e">
        <f t="shared" si="70"/>
        <v>#DIV/0!</v>
      </c>
      <c r="W201" s="36" t="e">
        <f t="shared" si="71"/>
        <v>#DIV/0!</v>
      </c>
      <c r="X201" s="62" t="e">
        <f t="shared" si="77"/>
        <v>#DIV/0!</v>
      </c>
    </row>
    <row r="202" spans="1:24">
      <c r="A202" s="26"/>
      <c r="B202" s="27"/>
      <c r="C202" s="27"/>
      <c r="D202" s="27"/>
      <c r="E202" s="27"/>
      <c r="F202" s="27"/>
      <c r="G202" s="27"/>
      <c r="H202" s="27"/>
      <c r="I202" s="27"/>
      <c r="J202" s="27"/>
      <c r="K202" s="133" t="str">
        <f t="shared" si="65"/>
        <v/>
      </c>
      <c r="L202" s="44" t="str">
        <f t="shared" si="72"/>
        <v/>
      </c>
      <c r="M202" s="44" t="str">
        <f t="shared" si="66"/>
        <v/>
      </c>
      <c r="N202" s="44" t="str">
        <f t="shared" si="73"/>
        <v/>
      </c>
      <c r="O202" s="44" t="str">
        <f t="shared" si="67"/>
        <v/>
      </c>
      <c r="P202" s="44" t="str">
        <f t="shared" si="78"/>
        <v/>
      </c>
      <c r="Q202" s="44" t="str">
        <f t="shared" si="68"/>
        <v/>
      </c>
      <c r="R202" s="44" t="str">
        <f t="shared" si="74"/>
        <v/>
      </c>
      <c r="S202" s="242">
        <f t="shared" si="75"/>
        <v>0</v>
      </c>
      <c r="T202" s="42">
        <f t="shared" si="76"/>
        <v>0</v>
      </c>
      <c r="U202" s="42">
        <f t="shared" si="69"/>
        <v>0</v>
      </c>
      <c r="V202" s="36" t="e">
        <f t="shared" si="70"/>
        <v>#DIV/0!</v>
      </c>
      <c r="W202" s="36" t="e">
        <f t="shared" si="71"/>
        <v>#DIV/0!</v>
      </c>
      <c r="X202" s="62" t="e">
        <f t="shared" si="77"/>
        <v>#DIV/0!</v>
      </c>
    </row>
    <row r="203" spans="1:24">
      <c r="A203" s="26"/>
      <c r="B203" s="27"/>
      <c r="C203" s="27"/>
      <c r="D203" s="27"/>
      <c r="E203" s="27"/>
      <c r="F203" s="27"/>
      <c r="G203" s="27"/>
      <c r="H203" s="27"/>
      <c r="I203" s="27"/>
      <c r="J203" s="27"/>
      <c r="K203" s="133" t="str">
        <f t="shared" si="65"/>
        <v/>
      </c>
      <c r="L203" s="44" t="str">
        <f t="shared" si="72"/>
        <v/>
      </c>
      <c r="M203" s="44" t="str">
        <f t="shared" si="66"/>
        <v/>
      </c>
      <c r="N203" s="44" t="str">
        <f t="shared" si="73"/>
        <v/>
      </c>
      <c r="O203" s="44" t="str">
        <f t="shared" si="67"/>
        <v/>
      </c>
      <c r="P203" s="44" t="str">
        <f t="shared" si="78"/>
        <v/>
      </c>
      <c r="Q203" s="44" t="str">
        <f t="shared" si="68"/>
        <v/>
      </c>
      <c r="R203" s="44" t="str">
        <f t="shared" si="74"/>
        <v/>
      </c>
      <c r="S203" s="242">
        <f t="shared" si="75"/>
        <v>0</v>
      </c>
      <c r="T203" s="42">
        <f t="shared" si="76"/>
        <v>0</v>
      </c>
      <c r="U203" s="42">
        <f t="shared" si="69"/>
        <v>0</v>
      </c>
      <c r="V203" s="36" t="e">
        <f t="shared" si="70"/>
        <v>#DIV/0!</v>
      </c>
      <c r="W203" s="36" t="e">
        <f t="shared" si="71"/>
        <v>#DIV/0!</v>
      </c>
      <c r="X203" s="62" t="e">
        <f t="shared" si="77"/>
        <v>#DIV/0!</v>
      </c>
    </row>
    <row r="204" spans="1:24">
      <c r="A204" s="26"/>
      <c r="B204" s="27"/>
      <c r="C204" s="27"/>
      <c r="D204" s="27"/>
      <c r="E204" s="27"/>
      <c r="F204" s="27"/>
      <c r="G204" s="27"/>
      <c r="H204" s="27"/>
      <c r="I204" s="27"/>
      <c r="J204" s="27"/>
      <c r="K204" s="133" t="str">
        <f t="shared" si="65"/>
        <v/>
      </c>
      <c r="L204" s="44" t="str">
        <f t="shared" si="72"/>
        <v/>
      </c>
      <c r="M204" s="44" t="str">
        <f t="shared" si="66"/>
        <v/>
      </c>
      <c r="N204" s="44" t="str">
        <f t="shared" si="73"/>
        <v/>
      </c>
      <c r="O204" s="44" t="str">
        <f t="shared" si="67"/>
        <v/>
      </c>
      <c r="P204" s="44" t="str">
        <f t="shared" si="78"/>
        <v/>
      </c>
      <c r="Q204" s="44" t="str">
        <f t="shared" si="68"/>
        <v/>
      </c>
      <c r="R204" s="44" t="str">
        <f t="shared" si="74"/>
        <v/>
      </c>
      <c r="S204" s="242">
        <f t="shared" si="75"/>
        <v>0</v>
      </c>
      <c r="T204" s="42">
        <f t="shared" si="76"/>
        <v>0</v>
      </c>
      <c r="U204" s="42">
        <f t="shared" si="69"/>
        <v>0</v>
      </c>
      <c r="V204" s="36" t="e">
        <f t="shared" si="70"/>
        <v>#DIV/0!</v>
      </c>
      <c r="W204" s="36" t="e">
        <f t="shared" si="71"/>
        <v>#DIV/0!</v>
      </c>
      <c r="X204" s="62" t="e">
        <f t="shared" si="77"/>
        <v>#DIV/0!</v>
      </c>
    </row>
    <row r="205" spans="1:24">
      <c r="A205" s="26"/>
      <c r="B205" s="27"/>
      <c r="C205" s="27"/>
      <c r="D205" s="27"/>
      <c r="E205" s="27"/>
      <c r="F205" s="27"/>
      <c r="G205" s="27"/>
      <c r="H205" s="27"/>
      <c r="I205" s="27"/>
      <c r="J205" s="27"/>
      <c r="K205" s="133" t="str">
        <f t="shared" si="65"/>
        <v/>
      </c>
      <c r="L205" s="44" t="str">
        <f t="shared" si="72"/>
        <v/>
      </c>
      <c r="M205" s="44" t="str">
        <f t="shared" si="66"/>
        <v/>
      </c>
      <c r="N205" s="44" t="str">
        <f t="shared" si="73"/>
        <v/>
      </c>
      <c r="O205" s="44" t="str">
        <f t="shared" si="67"/>
        <v/>
      </c>
      <c r="P205" s="44" t="str">
        <f t="shared" si="78"/>
        <v/>
      </c>
      <c r="Q205" s="44" t="str">
        <f t="shared" si="68"/>
        <v/>
      </c>
      <c r="R205" s="44" t="str">
        <f t="shared" si="74"/>
        <v/>
      </c>
      <c r="S205" s="242">
        <f t="shared" si="75"/>
        <v>0</v>
      </c>
      <c r="T205" s="42">
        <f t="shared" si="76"/>
        <v>0</v>
      </c>
      <c r="U205" s="42">
        <f t="shared" si="69"/>
        <v>0</v>
      </c>
      <c r="V205" s="36" t="e">
        <f t="shared" si="70"/>
        <v>#DIV/0!</v>
      </c>
      <c r="W205" s="36" t="e">
        <f t="shared" si="71"/>
        <v>#DIV/0!</v>
      </c>
      <c r="X205" s="62" t="e">
        <f t="shared" si="77"/>
        <v>#DIV/0!</v>
      </c>
    </row>
    <row r="206" spans="1:24">
      <c r="A206" s="26"/>
      <c r="B206" s="27"/>
      <c r="C206" s="27"/>
      <c r="D206" s="27"/>
      <c r="E206" s="27"/>
      <c r="F206" s="27"/>
      <c r="G206" s="27"/>
      <c r="H206" s="27"/>
      <c r="I206" s="27"/>
      <c r="J206" s="27"/>
      <c r="K206" s="133" t="str">
        <f t="shared" si="65"/>
        <v/>
      </c>
      <c r="L206" s="44" t="str">
        <f t="shared" si="72"/>
        <v/>
      </c>
      <c r="M206" s="44" t="str">
        <f t="shared" si="66"/>
        <v/>
      </c>
      <c r="N206" s="44" t="str">
        <f t="shared" si="73"/>
        <v/>
      </c>
      <c r="O206" s="44" t="str">
        <f t="shared" si="67"/>
        <v/>
      </c>
      <c r="P206" s="44" t="str">
        <f t="shared" si="78"/>
        <v/>
      </c>
      <c r="Q206" s="44" t="str">
        <f t="shared" si="68"/>
        <v/>
      </c>
      <c r="R206" s="44" t="str">
        <f t="shared" si="74"/>
        <v/>
      </c>
      <c r="S206" s="242">
        <f t="shared" si="75"/>
        <v>0</v>
      </c>
      <c r="T206" s="42">
        <f t="shared" si="76"/>
        <v>0</v>
      </c>
      <c r="U206" s="42">
        <f t="shared" si="69"/>
        <v>0</v>
      </c>
      <c r="V206" s="36" t="e">
        <f t="shared" si="70"/>
        <v>#DIV/0!</v>
      </c>
      <c r="W206" s="36" t="e">
        <f t="shared" si="71"/>
        <v>#DIV/0!</v>
      </c>
      <c r="X206" s="62" t="e">
        <f t="shared" si="77"/>
        <v>#DIV/0!</v>
      </c>
    </row>
    <row r="207" spans="1:24">
      <c r="A207" s="26"/>
      <c r="B207" s="27"/>
      <c r="C207" s="27"/>
      <c r="D207" s="27"/>
      <c r="E207" s="27"/>
      <c r="F207" s="27"/>
      <c r="G207" s="27"/>
      <c r="H207" s="27"/>
      <c r="I207" s="27"/>
      <c r="J207" s="27"/>
      <c r="K207" s="133" t="str">
        <f t="shared" si="65"/>
        <v/>
      </c>
      <c r="L207" s="44" t="str">
        <f t="shared" si="72"/>
        <v/>
      </c>
      <c r="M207" s="44" t="str">
        <f t="shared" si="66"/>
        <v/>
      </c>
      <c r="N207" s="44" t="str">
        <f t="shared" si="73"/>
        <v/>
      </c>
      <c r="O207" s="44" t="str">
        <f t="shared" si="67"/>
        <v/>
      </c>
      <c r="P207" s="44" t="str">
        <f t="shared" si="78"/>
        <v/>
      </c>
      <c r="Q207" s="44" t="str">
        <f t="shared" si="68"/>
        <v/>
      </c>
      <c r="R207" s="44" t="str">
        <f t="shared" si="74"/>
        <v/>
      </c>
      <c r="S207" s="242">
        <f t="shared" si="75"/>
        <v>0</v>
      </c>
      <c r="T207" s="42">
        <f t="shared" si="76"/>
        <v>0</v>
      </c>
      <c r="U207" s="42">
        <f t="shared" si="69"/>
        <v>0</v>
      </c>
      <c r="V207" s="36" t="e">
        <f t="shared" si="70"/>
        <v>#DIV/0!</v>
      </c>
      <c r="W207" s="36" t="e">
        <f t="shared" si="71"/>
        <v>#DIV/0!</v>
      </c>
      <c r="X207" s="62" t="e">
        <f t="shared" si="77"/>
        <v>#DIV/0!</v>
      </c>
    </row>
    <row r="208" spans="1:24">
      <c r="A208" s="26"/>
      <c r="B208" s="27"/>
      <c r="C208" s="27"/>
      <c r="D208" s="27"/>
      <c r="E208" s="27"/>
      <c r="F208" s="27"/>
      <c r="G208" s="27"/>
      <c r="H208" s="27"/>
      <c r="I208" s="27"/>
      <c r="J208" s="27"/>
      <c r="K208" s="133" t="str">
        <f t="shared" si="65"/>
        <v/>
      </c>
      <c r="L208" s="44" t="str">
        <f t="shared" si="72"/>
        <v/>
      </c>
      <c r="M208" s="44" t="str">
        <f t="shared" si="66"/>
        <v/>
      </c>
      <c r="N208" s="44" t="str">
        <f t="shared" si="73"/>
        <v/>
      </c>
      <c r="O208" s="44" t="str">
        <f t="shared" si="67"/>
        <v/>
      </c>
      <c r="P208" s="44" t="str">
        <f t="shared" si="78"/>
        <v/>
      </c>
      <c r="Q208" s="44" t="str">
        <f t="shared" si="68"/>
        <v/>
      </c>
      <c r="R208" s="44" t="str">
        <f t="shared" si="74"/>
        <v/>
      </c>
      <c r="S208" s="242">
        <f t="shared" si="75"/>
        <v>0</v>
      </c>
      <c r="T208" s="42">
        <f t="shared" si="76"/>
        <v>0</v>
      </c>
      <c r="U208" s="42">
        <f t="shared" si="69"/>
        <v>0</v>
      </c>
      <c r="V208" s="36" t="e">
        <f t="shared" si="70"/>
        <v>#DIV/0!</v>
      </c>
      <c r="W208" s="36" t="e">
        <f t="shared" si="71"/>
        <v>#DIV/0!</v>
      </c>
      <c r="X208" s="62" t="e">
        <f t="shared" si="77"/>
        <v>#DIV/0!</v>
      </c>
    </row>
    <row r="209" spans="1:24">
      <c r="A209" s="26"/>
      <c r="B209" s="27"/>
      <c r="C209" s="27"/>
      <c r="D209" s="27"/>
      <c r="E209" s="27"/>
      <c r="F209" s="27"/>
      <c r="G209" s="27"/>
      <c r="H209" s="27"/>
      <c r="I209" s="27"/>
      <c r="J209" s="27"/>
      <c r="K209" s="133" t="str">
        <f t="shared" si="65"/>
        <v/>
      </c>
      <c r="L209" s="44" t="str">
        <f t="shared" si="72"/>
        <v/>
      </c>
      <c r="M209" s="44" t="str">
        <f t="shared" si="66"/>
        <v/>
      </c>
      <c r="N209" s="44" t="str">
        <f t="shared" si="73"/>
        <v/>
      </c>
      <c r="O209" s="44" t="str">
        <f t="shared" si="67"/>
        <v/>
      </c>
      <c r="P209" s="44" t="str">
        <f t="shared" si="78"/>
        <v/>
      </c>
      <c r="Q209" s="44" t="str">
        <f t="shared" si="68"/>
        <v/>
      </c>
      <c r="R209" s="44" t="str">
        <f t="shared" si="74"/>
        <v/>
      </c>
      <c r="S209" s="242">
        <f t="shared" si="75"/>
        <v>0</v>
      </c>
      <c r="T209" s="42">
        <f t="shared" si="76"/>
        <v>0</v>
      </c>
      <c r="U209" s="42">
        <f t="shared" si="69"/>
        <v>0</v>
      </c>
      <c r="V209" s="36" t="e">
        <f t="shared" si="70"/>
        <v>#DIV/0!</v>
      </c>
      <c r="W209" s="36" t="e">
        <f t="shared" si="71"/>
        <v>#DIV/0!</v>
      </c>
      <c r="X209" s="62" t="e">
        <f t="shared" si="77"/>
        <v>#DIV/0!</v>
      </c>
    </row>
    <row r="210" spans="1:24">
      <c r="A210" s="26"/>
      <c r="B210" s="27"/>
      <c r="C210" s="27"/>
      <c r="D210" s="27"/>
      <c r="E210" s="27"/>
      <c r="F210" s="27"/>
      <c r="G210" s="27"/>
      <c r="H210" s="27"/>
      <c r="I210" s="27"/>
      <c r="J210" s="27"/>
      <c r="K210" s="133" t="str">
        <f t="shared" si="65"/>
        <v/>
      </c>
      <c r="L210" s="44" t="str">
        <f t="shared" si="72"/>
        <v/>
      </c>
      <c r="M210" s="44" t="str">
        <f t="shared" si="66"/>
        <v/>
      </c>
      <c r="N210" s="44" t="str">
        <f t="shared" si="73"/>
        <v/>
      </c>
      <c r="O210" s="44" t="str">
        <f t="shared" si="67"/>
        <v/>
      </c>
      <c r="P210" s="44" t="str">
        <f t="shared" si="78"/>
        <v/>
      </c>
      <c r="Q210" s="44" t="str">
        <f t="shared" si="68"/>
        <v/>
      </c>
      <c r="R210" s="44" t="str">
        <f t="shared" si="74"/>
        <v/>
      </c>
      <c r="S210" s="242">
        <f t="shared" si="75"/>
        <v>0</v>
      </c>
      <c r="T210" s="42">
        <f t="shared" si="76"/>
        <v>0</v>
      </c>
      <c r="U210" s="42">
        <f t="shared" si="69"/>
        <v>0</v>
      </c>
      <c r="V210" s="36" t="e">
        <f t="shared" si="70"/>
        <v>#DIV/0!</v>
      </c>
      <c r="W210" s="36" t="e">
        <f t="shared" si="71"/>
        <v>#DIV/0!</v>
      </c>
      <c r="X210" s="62" t="e">
        <f t="shared" si="77"/>
        <v>#DIV/0!</v>
      </c>
    </row>
    <row r="211" spans="1:24">
      <c r="A211" s="26"/>
      <c r="B211" s="27"/>
      <c r="C211" s="27"/>
      <c r="D211" s="27"/>
      <c r="E211" s="27"/>
      <c r="F211" s="27"/>
      <c r="G211" s="27"/>
      <c r="H211" s="27"/>
      <c r="I211" s="27"/>
      <c r="J211" s="27"/>
      <c r="K211" s="133" t="str">
        <f t="shared" si="65"/>
        <v/>
      </c>
      <c r="L211" s="44" t="str">
        <f t="shared" si="72"/>
        <v/>
      </c>
      <c r="M211" s="44" t="str">
        <f t="shared" si="66"/>
        <v/>
      </c>
      <c r="N211" s="44" t="str">
        <f t="shared" si="73"/>
        <v/>
      </c>
      <c r="O211" s="44" t="str">
        <f t="shared" si="67"/>
        <v/>
      </c>
      <c r="P211" s="44" t="str">
        <f t="shared" si="78"/>
        <v/>
      </c>
      <c r="Q211" s="44" t="str">
        <f t="shared" si="68"/>
        <v/>
      </c>
      <c r="R211" s="44" t="str">
        <f t="shared" si="74"/>
        <v/>
      </c>
      <c r="S211" s="242">
        <f t="shared" si="75"/>
        <v>0</v>
      </c>
      <c r="T211" s="42">
        <f t="shared" si="76"/>
        <v>0</v>
      </c>
      <c r="U211" s="42">
        <f t="shared" si="69"/>
        <v>0</v>
      </c>
      <c r="V211" s="36" t="e">
        <f t="shared" si="70"/>
        <v>#DIV/0!</v>
      </c>
      <c r="W211" s="36" t="e">
        <f t="shared" si="71"/>
        <v>#DIV/0!</v>
      </c>
      <c r="X211" s="62" t="e">
        <f t="shared" si="77"/>
        <v>#DIV/0!</v>
      </c>
    </row>
    <row r="212" spans="1:24">
      <c r="A212" s="26"/>
      <c r="B212" s="27"/>
      <c r="C212" s="27"/>
      <c r="D212" s="27"/>
      <c r="E212" s="27"/>
      <c r="F212" s="27"/>
      <c r="G212" s="27"/>
      <c r="H212" s="27"/>
      <c r="I212" s="27"/>
      <c r="J212" s="27"/>
      <c r="K212" s="133" t="str">
        <f t="shared" si="65"/>
        <v/>
      </c>
      <c r="L212" s="44" t="str">
        <f t="shared" si="72"/>
        <v/>
      </c>
      <c r="M212" s="44" t="str">
        <f t="shared" si="66"/>
        <v/>
      </c>
      <c r="N212" s="44" t="str">
        <f t="shared" si="73"/>
        <v/>
      </c>
      <c r="O212" s="44" t="str">
        <f t="shared" si="67"/>
        <v/>
      </c>
      <c r="P212" s="44" t="str">
        <f t="shared" si="78"/>
        <v/>
      </c>
      <c r="Q212" s="44" t="str">
        <f t="shared" si="68"/>
        <v/>
      </c>
      <c r="R212" s="44" t="str">
        <f t="shared" si="74"/>
        <v/>
      </c>
      <c r="S212" s="242">
        <f t="shared" si="75"/>
        <v>0</v>
      </c>
      <c r="T212" s="42">
        <f t="shared" si="76"/>
        <v>0</v>
      </c>
      <c r="U212" s="42">
        <f t="shared" si="69"/>
        <v>0</v>
      </c>
      <c r="V212" s="36" t="e">
        <f t="shared" si="70"/>
        <v>#DIV/0!</v>
      </c>
      <c r="W212" s="36" t="e">
        <f t="shared" si="71"/>
        <v>#DIV/0!</v>
      </c>
      <c r="X212" s="62" t="e">
        <f t="shared" si="77"/>
        <v>#DIV/0!</v>
      </c>
    </row>
    <row r="213" spans="1:24">
      <c r="A213" s="26"/>
      <c r="B213" s="27"/>
      <c r="C213" s="27"/>
      <c r="D213" s="27"/>
      <c r="E213" s="27"/>
      <c r="F213" s="27"/>
      <c r="G213" s="27"/>
      <c r="H213" s="27"/>
      <c r="I213" s="27"/>
      <c r="J213" s="27"/>
      <c r="K213" s="133" t="str">
        <f t="shared" si="65"/>
        <v/>
      </c>
      <c r="L213" s="44" t="str">
        <f t="shared" si="72"/>
        <v/>
      </c>
      <c r="M213" s="44" t="str">
        <f t="shared" si="66"/>
        <v/>
      </c>
      <c r="N213" s="44" t="str">
        <f t="shared" si="73"/>
        <v/>
      </c>
      <c r="O213" s="44" t="str">
        <f t="shared" si="67"/>
        <v/>
      </c>
      <c r="P213" s="44" t="str">
        <f t="shared" si="78"/>
        <v/>
      </c>
      <c r="Q213" s="44" t="str">
        <f t="shared" si="68"/>
        <v/>
      </c>
      <c r="R213" s="44" t="str">
        <f t="shared" si="74"/>
        <v/>
      </c>
      <c r="S213" s="242">
        <f t="shared" si="75"/>
        <v>0</v>
      </c>
      <c r="T213" s="42">
        <f t="shared" si="76"/>
        <v>0</v>
      </c>
      <c r="U213" s="42">
        <f t="shared" si="69"/>
        <v>0</v>
      </c>
      <c r="V213" s="36" t="e">
        <f t="shared" si="70"/>
        <v>#DIV/0!</v>
      </c>
      <c r="W213" s="36" t="e">
        <f t="shared" si="71"/>
        <v>#DIV/0!</v>
      </c>
      <c r="X213" s="62" t="e">
        <f t="shared" si="77"/>
        <v>#DIV/0!</v>
      </c>
    </row>
    <row r="214" spans="1:24">
      <c r="A214" s="26"/>
      <c r="B214" s="27"/>
      <c r="C214" s="27"/>
      <c r="D214" s="27"/>
      <c r="E214" s="27"/>
      <c r="F214" s="27"/>
      <c r="G214" s="27"/>
      <c r="H214" s="27"/>
      <c r="I214" s="27"/>
      <c r="J214" s="27"/>
      <c r="K214" s="133" t="str">
        <f t="shared" si="65"/>
        <v/>
      </c>
      <c r="L214" s="44" t="str">
        <f t="shared" si="72"/>
        <v/>
      </c>
      <c r="M214" s="44" t="str">
        <f t="shared" si="66"/>
        <v/>
      </c>
      <c r="N214" s="44" t="str">
        <f t="shared" si="73"/>
        <v/>
      </c>
      <c r="O214" s="44" t="str">
        <f t="shared" si="67"/>
        <v/>
      </c>
      <c r="P214" s="44" t="str">
        <f t="shared" si="78"/>
        <v/>
      </c>
      <c r="Q214" s="44" t="str">
        <f t="shared" si="68"/>
        <v/>
      </c>
      <c r="R214" s="44" t="str">
        <f t="shared" si="74"/>
        <v/>
      </c>
      <c r="S214" s="242">
        <f t="shared" si="75"/>
        <v>0</v>
      </c>
      <c r="T214" s="42">
        <f t="shared" si="76"/>
        <v>0</v>
      </c>
      <c r="U214" s="42">
        <f t="shared" si="69"/>
        <v>0</v>
      </c>
      <c r="V214" s="36" t="e">
        <f t="shared" si="70"/>
        <v>#DIV/0!</v>
      </c>
      <c r="W214" s="36" t="e">
        <f t="shared" si="71"/>
        <v>#DIV/0!</v>
      </c>
      <c r="X214" s="62" t="e">
        <f t="shared" si="77"/>
        <v>#DIV/0!</v>
      </c>
    </row>
    <row r="215" spans="1:24">
      <c r="A215" s="26"/>
      <c r="B215" s="27"/>
      <c r="C215" s="27"/>
      <c r="D215" s="27"/>
      <c r="E215" s="27"/>
      <c r="F215" s="27"/>
      <c r="G215" s="27"/>
      <c r="H215" s="27"/>
      <c r="I215" s="27"/>
      <c r="J215" s="27"/>
      <c r="K215" s="133" t="str">
        <f t="shared" si="65"/>
        <v/>
      </c>
      <c r="L215" s="44" t="str">
        <f t="shared" si="72"/>
        <v/>
      </c>
      <c r="M215" s="44" t="str">
        <f t="shared" si="66"/>
        <v/>
      </c>
      <c r="N215" s="44" t="str">
        <f t="shared" si="73"/>
        <v/>
      </c>
      <c r="O215" s="44" t="str">
        <f t="shared" si="67"/>
        <v/>
      </c>
      <c r="P215" s="44" t="str">
        <f t="shared" si="78"/>
        <v/>
      </c>
      <c r="Q215" s="44" t="str">
        <f t="shared" si="68"/>
        <v/>
      </c>
      <c r="R215" s="44" t="str">
        <f t="shared" si="74"/>
        <v/>
      </c>
      <c r="S215" s="242">
        <f t="shared" si="75"/>
        <v>0</v>
      </c>
      <c r="T215" s="42">
        <f t="shared" si="76"/>
        <v>0</v>
      </c>
      <c r="U215" s="42">
        <f t="shared" si="69"/>
        <v>0</v>
      </c>
      <c r="V215" s="36" t="e">
        <f t="shared" si="70"/>
        <v>#DIV/0!</v>
      </c>
      <c r="W215" s="36" t="e">
        <f t="shared" si="71"/>
        <v>#DIV/0!</v>
      </c>
      <c r="X215" s="62" t="e">
        <f t="shared" si="77"/>
        <v>#DIV/0!</v>
      </c>
    </row>
    <row r="216" spans="1:24">
      <c r="A216" s="26"/>
      <c r="B216" s="27"/>
      <c r="C216" s="27"/>
      <c r="D216" s="27"/>
      <c r="E216" s="27"/>
      <c r="F216" s="27"/>
      <c r="G216" s="27"/>
      <c r="H216" s="27"/>
      <c r="I216" s="27"/>
      <c r="J216" s="27"/>
      <c r="K216" s="133" t="str">
        <f t="shared" si="65"/>
        <v/>
      </c>
      <c r="L216" s="44" t="str">
        <f t="shared" si="72"/>
        <v/>
      </c>
      <c r="M216" s="44" t="str">
        <f t="shared" si="66"/>
        <v/>
      </c>
      <c r="N216" s="44" t="str">
        <f t="shared" si="73"/>
        <v/>
      </c>
      <c r="O216" s="44" t="str">
        <f t="shared" si="67"/>
        <v/>
      </c>
      <c r="P216" s="44" t="str">
        <f t="shared" si="78"/>
        <v/>
      </c>
      <c r="Q216" s="44" t="str">
        <f t="shared" si="68"/>
        <v/>
      </c>
      <c r="R216" s="44" t="str">
        <f t="shared" si="74"/>
        <v/>
      </c>
      <c r="S216" s="242">
        <f t="shared" si="75"/>
        <v>0</v>
      </c>
      <c r="T216" s="42">
        <f t="shared" si="76"/>
        <v>0</v>
      </c>
      <c r="U216" s="42">
        <f t="shared" si="69"/>
        <v>0</v>
      </c>
      <c r="V216" s="36" t="e">
        <f t="shared" si="70"/>
        <v>#DIV/0!</v>
      </c>
      <c r="W216" s="36" t="e">
        <f t="shared" si="71"/>
        <v>#DIV/0!</v>
      </c>
      <c r="X216" s="62" t="e">
        <f t="shared" si="77"/>
        <v>#DIV/0!</v>
      </c>
    </row>
    <row r="217" spans="1:24">
      <c r="A217" s="26"/>
      <c r="B217" s="27"/>
      <c r="C217" s="27"/>
      <c r="D217" s="27"/>
      <c r="E217" s="27"/>
      <c r="F217" s="27"/>
      <c r="G217" s="27"/>
      <c r="H217" s="27"/>
      <c r="I217" s="27"/>
      <c r="J217" s="27"/>
      <c r="K217" s="133" t="str">
        <f t="shared" si="65"/>
        <v/>
      </c>
      <c r="L217" s="44" t="str">
        <f t="shared" si="72"/>
        <v/>
      </c>
      <c r="M217" s="44" t="str">
        <f t="shared" si="66"/>
        <v/>
      </c>
      <c r="N217" s="44" t="str">
        <f t="shared" si="73"/>
        <v/>
      </c>
      <c r="O217" s="44" t="str">
        <f t="shared" si="67"/>
        <v/>
      </c>
      <c r="P217" s="44" t="str">
        <f t="shared" si="78"/>
        <v/>
      </c>
      <c r="Q217" s="44" t="str">
        <f t="shared" si="68"/>
        <v/>
      </c>
      <c r="R217" s="44" t="str">
        <f t="shared" si="74"/>
        <v/>
      </c>
      <c r="S217" s="242">
        <f t="shared" si="75"/>
        <v>0</v>
      </c>
      <c r="T217" s="42">
        <f t="shared" si="76"/>
        <v>0</v>
      </c>
      <c r="U217" s="42">
        <f t="shared" si="69"/>
        <v>0</v>
      </c>
      <c r="V217" s="36" t="e">
        <f t="shared" si="70"/>
        <v>#DIV/0!</v>
      </c>
      <c r="W217" s="36" t="e">
        <f t="shared" si="71"/>
        <v>#DIV/0!</v>
      </c>
      <c r="X217" s="62" t="e">
        <f t="shared" si="77"/>
        <v>#DIV/0!</v>
      </c>
    </row>
    <row r="218" spans="1:24">
      <c r="A218" s="26"/>
      <c r="B218" s="27"/>
      <c r="C218" s="27"/>
      <c r="D218" s="27"/>
      <c r="E218" s="27"/>
      <c r="F218" s="27"/>
      <c r="G218" s="27"/>
      <c r="H218" s="27"/>
      <c r="I218" s="27"/>
      <c r="J218" s="27"/>
      <c r="K218" s="133" t="str">
        <f t="shared" si="65"/>
        <v/>
      </c>
      <c r="L218" s="44" t="str">
        <f t="shared" si="72"/>
        <v/>
      </c>
      <c r="M218" s="44" t="str">
        <f t="shared" si="66"/>
        <v/>
      </c>
      <c r="N218" s="44" t="str">
        <f t="shared" si="73"/>
        <v/>
      </c>
      <c r="O218" s="44" t="str">
        <f t="shared" si="67"/>
        <v/>
      </c>
      <c r="P218" s="44" t="str">
        <f t="shared" si="78"/>
        <v/>
      </c>
      <c r="Q218" s="44" t="str">
        <f t="shared" si="68"/>
        <v/>
      </c>
      <c r="R218" s="44" t="str">
        <f t="shared" si="74"/>
        <v/>
      </c>
      <c r="S218" s="242">
        <f t="shared" si="75"/>
        <v>0</v>
      </c>
      <c r="T218" s="42">
        <f t="shared" si="76"/>
        <v>0</v>
      </c>
      <c r="U218" s="42">
        <f t="shared" si="69"/>
        <v>0</v>
      </c>
      <c r="V218" s="36" t="e">
        <f t="shared" si="70"/>
        <v>#DIV/0!</v>
      </c>
      <c r="W218" s="36" t="e">
        <f t="shared" si="71"/>
        <v>#DIV/0!</v>
      </c>
      <c r="X218" s="62" t="e">
        <f t="shared" si="77"/>
        <v>#DIV/0!</v>
      </c>
    </row>
    <row r="219" spans="1:24">
      <c r="A219" s="26"/>
      <c r="B219" s="27"/>
      <c r="C219" s="27"/>
      <c r="D219" s="27"/>
      <c r="E219" s="27"/>
      <c r="F219" s="27"/>
      <c r="G219" s="27"/>
      <c r="H219" s="27"/>
      <c r="I219" s="27"/>
      <c r="J219" s="27"/>
      <c r="K219" s="133" t="str">
        <f t="shared" si="65"/>
        <v/>
      </c>
      <c r="L219" s="44" t="str">
        <f t="shared" si="72"/>
        <v/>
      </c>
      <c r="M219" s="44" t="str">
        <f t="shared" si="66"/>
        <v/>
      </c>
      <c r="N219" s="44" t="str">
        <f t="shared" si="73"/>
        <v/>
      </c>
      <c r="O219" s="44" t="str">
        <f t="shared" si="67"/>
        <v/>
      </c>
      <c r="P219" s="44" t="str">
        <f t="shared" si="78"/>
        <v/>
      </c>
      <c r="Q219" s="44" t="str">
        <f t="shared" si="68"/>
        <v/>
      </c>
      <c r="R219" s="44" t="str">
        <f t="shared" si="74"/>
        <v/>
      </c>
      <c r="S219" s="242">
        <f t="shared" si="75"/>
        <v>0</v>
      </c>
      <c r="T219" s="42">
        <f t="shared" si="76"/>
        <v>0</v>
      </c>
      <c r="U219" s="42">
        <f t="shared" si="69"/>
        <v>0</v>
      </c>
      <c r="V219" s="36" t="e">
        <f t="shared" si="70"/>
        <v>#DIV/0!</v>
      </c>
      <c r="W219" s="36" t="e">
        <f t="shared" si="71"/>
        <v>#DIV/0!</v>
      </c>
      <c r="X219" s="62" t="e">
        <f t="shared" si="77"/>
        <v>#DIV/0!</v>
      </c>
    </row>
    <row r="220" spans="1:24">
      <c r="A220" s="26"/>
      <c r="B220" s="27"/>
      <c r="C220" s="27"/>
      <c r="D220" s="27"/>
      <c r="E220" s="27"/>
      <c r="F220" s="27"/>
      <c r="G220" s="27"/>
      <c r="H220" s="27"/>
      <c r="I220" s="27"/>
      <c r="J220" s="27"/>
      <c r="K220" s="133" t="str">
        <f t="shared" si="65"/>
        <v/>
      </c>
      <c r="L220" s="44" t="str">
        <f t="shared" si="72"/>
        <v/>
      </c>
      <c r="M220" s="44" t="str">
        <f t="shared" si="66"/>
        <v/>
      </c>
      <c r="N220" s="44" t="str">
        <f t="shared" si="73"/>
        <v/>
      </c>
      <c r="O220" s="44" t="str">
        <f t="shared" si="67"/>
        <v/>
      </c>
      <c r="P220" s="44" t="str">
        <f t="shared" si="78"/>
        <v/>
      </c>
      <c r="Q220" s="44" t="str">
        <f t="shared" si="68"/>
        <v/>
      </c>
      <c r="R220" s="44" t="str">
        <f t="shared" si="74"/>
        <v/>
      </c>
      <c r="S220" s="242">
        <f t="shared" si="75"/>
        <v>0</v>
      </c>
      <c r="T220" s="42">
        <f t="shared" si="76"/>
        <v>0</v>
      </c>
      <c r="U220" s="42">
        <f t="shared" si="69"/>
        <v>0</v>
      </c>
      <c r="V220" s="36" t="e">
        <f t="shared" si="70"/>
        <v>#DIV/0!</v>
      </c>
      <c r="W220" s="36" t="e">
        <f t="shared" si="71"/>
        <v>#DIV/0!</v>
      </c>
      <c r="X220" s="62" t="e">
        <f t="shared" si="77"/>
        <v>#DIV/0!</v>
      </c>
    </row>
    <row r="221" spans="1:24">
      <c r="A221" s="26"/>
      <c r="B221" s="27"/>
      <c r="C221" s="27"/>
      <c r="D221" s="27"/>
      <c r="E221" s="27"/>
      <c r="F221" s="27"/>
      <c r="G221" s="27"/>
      <c r="H221" s="27"/>
      <c r="I221" s="27"/>
      <c r="J221" s="27"/>
      <c r="K221" s="133" t="str">
        <f t="shared" si="65"/>
        <v/>
      </c>
      <c r="L221" s="44" t="str">
        <f t="shared" si="72"/>
        <v/>
      </c>
      <c r="M221" s="44" t="str">
        <f t="shared" si="66"/>
        <v/>
      </c>
      <c r="N221" s="44" t="str">
        <f t="shared" si="73"/>
        <v/>
      </c>
      <c r="O221" s="44" t="str">
        <f t="shared" si="67"/>
        <v/>
      </c>
      <c r="P221" s="44" t="str">
        <f t="shared" si="78"/>
        <v/>
      </c>
      <c r="Q221" s="44" t="str">
        <f t="shared" si="68"/>
        <v/>
      </c>
      <c r="R221" s="44" t="str">
        <f t="shared" si="74"/>
        <v/>
      </c>
      <c r="S221" s="242">
        <f t="shared" si="75"/>
        <v>0</v>
      </c>
      <c r="T221" s="42">
        <f t="shared" si="76"/>
        <v>0</v>
      </c>
      <c r="U221" s="42">
        <f t="shared" si="69"/>
        <v>0</v>
      </c>
      <c r="V221" s="36" t="e">
        <f t="shared" si="70"/>
        <v>#DIV/0!</v>
      </c>
      <c r="W221" s="36" t="e">
        <f t="shared" si="71"/>
        <v>#DIV/0!</v>
      </c>
      <c r="X221" s="62" t="e">
        <f t="shared" si="77"/>
        <v>#DIV/0!</v>
      </c>
    </row>
    <row r="222" spans="1:24">
      <c r="A222" s="26"/>
      <c r="B222" s="27"/>
      <c r="C222" s="27"/>
      <c r="D222" s="27"/>
      <c r="E222" s="27"/>
      <c r="F222" s="27"/>
      <c r="G222" s="27"/>
      <c r="H222" s="27"/>
      <c r="I222" s="27"/>
      <c r="J222" s="27"/>
      <c r="K222" s="133" t="str">
        <f t="shared" si="65"/>
        <v/>
      </c>
      <c r="L222" s="44" t="str">
        <f t="shared" si="72"/>
        <v/>
      </c>
      <c r="M222" s="44" t="str">
        <f t="shared" si="66"/>
        <v/>
      </c>
      <c r="N222" s="44" t="str">
        <f t="shared" si="73"/>
        <v/>
      </c>
      <c r="O222" s="44" t="str">
        <f t="shared" si="67"/>
        <v/>
      </c>
      <c r="P222" s="44" t="str">
        <f t="shared" si="78"/>
        <v/>
      </c>
      <c r="Q222" s="44" t="str">
        <f t="shared" si="68"/>
        <v/>
      </c>
      <c r="R222" s="44" t="str">
        <f t="shared" si="74"/>
        <v/>
      </c>
      <c r="S222" s="242">
        <f t="shared" si="75"/>
        <v>0</v>
      </c>
      <c r="T222" s="42">
        <f t="shared" si="76"/>
        <v>0</v>
      </c>
      <c r="U222" s="42">
        <f t="shared" si="69"/>
        <v>0</v>
      </c>
      <c r="V222" s="36" t="e">
        <f t="shared" si="70"/>
        <v>#DIV/0!</v>
      </c>
      <c r="W222" s="36" t="e">
        <f t="shared" si="71"/>
        <v>#DIV/0!</v>
      </c>
      <c r="X222" s="62" t="e">
        <f t="shared" si="77"/>
        <v>#DIV/0!</v>
      </c>
    </row>
    <row r="223" spans="1:24">
      <c r="A223" s="26"/>
      <c r="B223" s="27"/>
      <c r="C223" s="27"/>
      <c r="D223" s="27"/>
      <c r="E223" s="27"/>
      <c r="F223" s="27"/>
      <c r="G223" s="27"/>
      <c r="H223" s="27"/>
      <c r="I223" s="27"/>
      <c r="J223" s="27"/>
      <c r="K223" s="133" t="str">
        <f t="shared" si="65"/>
        <v/>
      </c>
      <c r="L223" s="44" t="str">
        <f t="shared" si="72"/>
        <v/>
      </c>
      <c r="M223" s="44" t="str">
        <f t="shared" si="66"/>
        <v/>
      </c>
      <c r="N223" s="44" t="str">
        <f t="shared" si="73"/>
        <v/>
      </c>
      <c r="O223" s="44" t="str">
        <f t="shared" si="67"/>
        <v/>
      </c>
      <c r="P223" s="44" t="str">
        <f t="shared" si="78"/>
        <v/>
      </c>
      <c r="Q223" s="44" t="str">
        <f t="shared" si="68"/>
        <v/>
      </c>
      <c r="R223" s="44" t="str">
        <f t="shared" si="74"/>
        <v/>
      </c>
      <c r="S223" s="242">
        <f t="shared" si="75"/>
        <v>0</v>
      </c>
      <c r="T223" s="42">
        <f t="shared" si="76"/>
        <v>0</v>
      </c>
      <c r="U223" s="42">
        <f t="shared" si="69"/>
        <v>0</v>
      </c>
      <c r="V223" s="36" t="e">
        <f t="shared" si="70"/>
        <v>#DIV/0!</v>
      </c>
      <c r="W223" s="36" t="e">
        <f t="shared" si="71"/>
        <v>#DIV/0!</v>
      </c>
      <c r="X223" s="62" t="e">
        <f t="shared" si="77"/>
        <v>#DIV/0!</v>
      </c>
    </row>
    <row r="224" spans="1:24">
      <c r="A224" s="26"/>
      <c r="B224" s="27"/>
      <c r="C224" s="27"/>
      <c r="D224" s="27"/>
      <c r="E224" s="27"/>
      <c r="F224" s="27"/>
      <c r="G224" s="27"/>
      <c r="H224" s="27"/>
      <c r="I224" s="27"/>
      <c r="J224" s="27"/>
      <c r="K224" s="133" t="str">
        <f t="shared" si="65"/>
        <v/>
      </c>
      <c r="L224" s="44" t="str">
        <f t="shared" si="72"/>
        <v/>
      </c>
      <c r="M224" s="44" t="str">
        <f t="shared" si="66"/>
        <v/>
      </c>
      <c r="N224" s="44" t="str">
        <f t="shared" si="73"/>
        <v/>
      </c>
      <c r="O224" s="44" t="str">
        <f t="shared" si="67"/>
        <v/>
      </c>
      <c r="P224" s="44" t="str">
        <f t="shared" si="78"/>
        <v/>
      </c>
      <c r="Q224" s="44" t="str">
        <f t="shared" si="68"/>
        <v/>
      </c>
      <c r="R224" s="44" t="str">
        <f t="shared" si="74"/>
        <v/>
      </c>
      <c r="S224" s="242">
        <f t="shared" si="75"/>
        <v>0</v>
      </c>
      <c r="T224" s="42">
        <f t="shared" si="76"/>
        <v>0</v>
      </c>
      <c r="U224" s="42">
        <f t="shared" si="69"/>
        <v>0</v>
      </c>
      <c r="V224" s="36" t="e">
        <f t="shared" si="70"/>
        <v>#DIV/0!</v>
      </c>
      <c r="W224" s="36" t="e">
        <f t="shared" si="71"/>
        <v>#DIV/0!</v>
      </c>
      <c r="X224" s="62" t="e">
        <f t="shared" si="77"/>
        <v>#DIV/0!</v>
      </c>
    </row>
    <row r="225" spans="1:24">
      <c r="A225" s="26"/>
      <c r="B225" s="27"/>
      <c r="C225" s="27"/>
      <c r="D225" s="27"/>
      <c r="E225" s="27"/>
      <c r="F225" s="27"/>
      <c r="G225" s="27"/>
      <c r="H225" s="27"/>
      <c r="I225" s="27"/>
      <c r="J225" s="27"/>
      <c r="K225" s="133" t="str">
        <f t="shared" si="65"/>
        <v/>
      </c>
      <c r="L225" s="44" t="str">
        <f t="shared" si="72"/>
        <v/>
      </c>
      <c r="M225" s="44" t="str">
        <f t="shared" si="66"/>
        <v/>
      </c>
      <c r="N225" s="44" t="str">
        <f t="shared" si="73"/>
        <v/>
      </c>
      <c r="O225" s="44" t="str">
        <f t="shared" si="67"/>
        <v/>
      </c>
      <c r="P225" s="44" t="str">
        <f t="shared" si="78"/>
        <v/>
      </c>
      <c r="Q225" s="44" t="str">
        <f t="shared" si="68"/>
        <v/>
      </c>
      <c r="R225" s="44" t="str">
        <f t="shared" si="74"/>
        <v/>
      </c>
      <c r="S225" s="242">
        <f t="shared" si="75"/>
        <v>0</v>
      </c>
      <c r="T225" s="42">
        <f t="shared" si="76"/>
        <v>0</v>
      </c>
      <c r="U225" s="42">
        <f t="shared" si="69"/>
        <v>0</v>
      </c>
      <c r="V225" s="36" t="e">
        <f t="shared" si="70"/>
        <v>#DIV/0!</v>
      </c>
      <c r="W225" s="36" t="e">
        <f t="shared" si="71"/>
        <v>#DIV/0!</v>
      </c>
      <c r="X225" s="62" t="e">
        <f t="shared" si="77"/>
        <v>#DIV/0!</v>
      </c>
    </row>
    <row r="226" spans="1:24">
      <c r="A226" s="26"/>
      <c r="B226" s="27"/>
      <c r="C226" s="27"/>
      <c r="D226" s="27"/>
      <c r="E226" s="27"/>
      <c r="F226" s="27"/>
      <c r="G226" s="27"/>
      <c r="H226" s="27"/>
      <c r="I226" s="27"/>
      <c r="J226" s="27"/>
      <c r="K226" s="133" t="str">
        <f t="shared" si="65"/>
        <v/>
      </c>
      <c r="L226" s="44" t="str">
        <f t="shared" si="72"/>
        <v/>
      </c>
      <c r="M226" s="44" t="str">
        <f t="shared" si="66"/>
        <v/>
      </c>
      <c r="N226" s="44" t="str">
        <f t="shared" si="73"/>
        <v/>
      </c>
      <c r="O226" s="44" t="str">
        <f t="shared" si="67"/>
        <v/>
      </c>
      <c r="P226" s="44" t="str">
        <f t="shared" si="78"/>
        <v/>
      </c>
      <c r="Q226" s="44" t="str">
        <f t="shared" si="68"/>
        <v/>
      </c>
      <c r="R226" s="44" t="str">
        <f t="shared" si="74"/>
        <v/>
      </c>
      <c r="S226" s="242">
        <f t="shared" si="75"/>
        <v>0</v>
      </c>
      <c r="T226" s="42">
        <f t="shared" si="76"/>
        <v>0</v>
      </c>
      <c r="U226" s="42">
        <f t="shared" si="69"/>
        <v>0</v>
      </c>
      <c r="V226" s="36" t="e">
        <f t="shared" si="70"/>
        <v>#DIV/0!</v>
      </c>
      <c r="W226" s="36" t="e">
        <f t="shared" si="71"/>
        <v>#DIV/0!</v>
      </c>
      <c r="X226" s="62" t="e">
        <f t="shared" si="77"/>
        <v>#DIV/0!</v>
      </c>
    </row>
    <row r="227" spans="1:24">
      <c r="A227" s="26"/>
      <c r="B227" s="27"/>
      <c r="C227" s="27"/>
      <c r="D227" s="27"/>
      <c r="E227" s="27"/>
      <c r="F227" s="27"/>
      <c r="G227" s="27"/>
      <c r="H227" s="27"/>
      <c r="I227" s="27"/>
      <c r="J227" s="27"/>
      <c r="K227" s="133" t="str">
        <f t="shared" si="65"/>
        <v/>
      </c>
      <c r="L227" s="44" t="str">
        <f t="shared" si="72"/>
        <v/>
      </c>
      <c r="M227" s="44" t="str">
        <f t="shared" si="66"/>
        <v/>
      </c>
      <c r="N227" s="44" t="str">
        <f t="shared" si="73"/>
        <v/>
      </c>
      <c r="O227" s="44" t="str">
        <f t="shared" si="67"/>
        <v/>
      </c>
      <c r="P227" s="44" t="str">
        <f t="shared" si="78"/>
        <v/>
      </c>
      <c r="Q227" s="44" t="str">
        <f t="shared" si="68"/>
        <v/>
      </c>
      <c r="R227" s="44" t="str">
        <f t="shared" si="74"/>
        <v/>
      </c>
      <c r="S227" s="242">
        <f t="shared" si="75"/>
        <v>0</v>
      </c>
      <c r="T227" s="42">
        <f t="shared" si="76"/>
        <v>0</v>
      </c>
      <c r="U227" s="42">
        <f t="shared" si="69"/>
        <v>0</v>
      </c>
      <c r="V227" s="36" t="e">
        <f t="shared" si="70"/>
        <v>#DIV/0!</v>
      </c>
      <c r="W227" s="36" t="e">
        <f t="shared" si="71"/>
        <v>#DIV/0!</v>
      </c>
      <c r="X227" s="62" t="e">
        <f t="shared" si="77"/>
        <v>#DIV/0!</v>
      </c>
    </row>
    <row r="228" spans="1:24">
      <c r="A228" s="26"/>
      <c r="B228" s="27"/>
      <c r="C228" s="27"/>
      <c r="D228" s="27"/>
      <c r="E228" s="27"/>
      <c r="F228" s="27"/>
      <c r="G228" s="27"/>
      <c r="H228" s="27"/>
      <c r="I228" s="27"/>
      <c r="J228" s="27"/>
      <c r="K228" s="133" t="str">
        <f t="shared" si="65"/>
        <v/>
      </c>
      <c r="L228" s="44" t="str">
        <f t="shared" si="72"/>
        <v/>
      </c>
      <c r="M228" s="44" t="str">
        <f t="shared" si="66"/>
        <v/>
      </c>
      <c r="N228" s="44" t="str">
        <f t="shared" si="73"/>
        <v/>
      </c>
      <c r="O228" s="44" t="str">
        <f t="shared" si="67"/>
        <v/>
      </c>
      <c r="P228" s="44" t="str">
        <f t="shared" si="78"/>
        <v/>
      </c>
      <c r="Q228" s="44" t="str">
        <f t="shared" si="68"/>
        <v/>
      </c>
      <c r="R228" s="44" t="str">
        <f t="shared" si="74"/>
        <v/>
      </c>
      <c r="S228" s="242">
        <f t="shared" si="75"/>
        <v>0</v>
      </c>
      <c r="T228" s="42">
        <f t="shared" si="76"/>
        <v>0</v>
      </c>
      <c r="U228" s="42">
        <f t="shared" si="69"/>
        <v>0</v>
      </c>
      <c r="V228" s="36" t="e">
        <f t="shared" si="70"/>
        <v>#DIV/0!</v>
      </c>
      <c r="W228" s="36" t="e">
        <f t="shared" si="71"/>
        <v>#DIV/0!</v>
      </c>
      <c r="X228" s="62" t="e">
        <f t="shared" si="77"/>
        <v>#DIV/0!</v>
      </c>
    </row>
    <row r="229" spans="1:24">
      <c r="A229" s="26"/>
      <c r="B229" s="27"/>
      <c r="C229" s="27"/>
      <c r="D229" s="27"/>
      <c r="E229" s="27"/>
      <c r="F229" s="27"/>
      <c r="G229" s="27"/>
      <c r="H229" s="27"/>
      <c r="I229" s="27"/>
      <c r="J229" s="27"/>
      <c r="K229" s="133" t="str">
        <f t="shared" si="65"/>
        <v/>
      </c>
      <c r="L229" s="44" t="str">
        <f t="shared" si="72"/>
        <v/>
      </c>
      <c r="M229" s="44" t="str">
        <f t="shared" si="66"/>
        <v/>
      </c>
      <c r="N229" s="44" t="str">
        <f t="shared" si="73"/>
        <v/>
      </c>
      <c r="O229" s="44" t="str">
        <f t="shared" si="67"/>
        <v/>
      </c>
      <c r="P229" s="44" t="str">
        <f t="shared" si="78"/>
        <v/>
      </c>
      <c r="Q229" s="44" t="str">
        <f t="shared" si="68"/>
        <v/>
      </c>
      <c r="R229" s="44" t="str">
        <f t="shared" si="74"/>
        <v/>
      </c>
      <c r="S229" s="242">
        <f t="shared" si="75"/>
        <v>0</v>
      </c>
      <c r="T229" s="42">
        <f t="shared" si="76"/>
        <v>0</v>
      </c>
      <c r="U229" s="42">
        <f t="shared" si="69"/>
        <v>0</v>
      </c>
      <c r="V229" s="36" t="e">
        <f t="shared" si="70"/>
        <v>#DIV/0!</v>
      </c>
      <c r="W229" s="36" t="e">
        <f t="shared" si="71"/>
        <v>#DIV/0!</v>
      </c>
      <c r="X229" s="62" t="e">
        <f t="shared" si="77"/>
        <v>#DIV/0!</v>
      </c>
    </row>
    <row r="230" spans="1:24">
      <c r="A230" s="26"/>
      <c r="B230" s="27"/>
      <c r="C230" s="27"/>
      <c r="D230" s="27"/>
      <c r="E230" s="27"/>
      <c r="F230" s="27"/>
      <c r="G230" s="27"/>
      <c r="H230" s="27"/>
      <c r="I230" s="27"/>
      <c r="J230" s="27"/>
      <c r="K230" s="133" t="str">
        <f t="shared" si="65"/>
        <v/>
      </c>
      <c r="L230" s="44" t="str">
        <f t="shared" si="72"/>
        <v/>
      </c>
      <c r="M230" s="44" t="str">
        <f t="shared" si="66"/>
        <v/>
      </c>
      <c r="N230" s="44" t="str">
        <f t="shared" si="73"/>
        <v/>
      </c>
      <c r="O230" s="44" t="str">
        <f t="shared" si="67"/>
        <v/>
      </c>
      <c r="P230" s="44" t="str">
        <f t="shared" si="78"/>
        <v/>
      </c>
      <c r="Q230" s="44" t="str">
        <f t="shared" si="68"/>
        <v/>
      </c>
      <c r="R230" s="44" t="str">
        <f t="shared" si="74"/>
        <v/>
      </c>
      <c r="S230" s="242">
        <f t="shared" si="75"/>
        <v>0</v>
      </c>
      <c r="T230" s="42">
        <f t="shared" si="76"/>
        <v>0</v>
      </c>
      <c r="U230" s="42">
        <f t="shared" si="69"/>
        <v>0</v>
      </c>
      <c r="V230" s="36" t="e">
        <f t="shared" si="70"/>
        <v>#DIV/0!</v>
      </c>
      <c r="W230" s="36" t="e">
        <f t="shared" si="71"/>
        <v>#DIV/0!</v>
      </c>
      <c r="X230" s="62" t="e">
        <f t="shared" si="77"/>
        <v>#DIV/0!</v>
      </c>
    </row>
    <row r="231" spans="1:24">
      <c r="A231" s="26"/>
      <c r="B231" s="27"/>
      <c r="C231" s="27"/>
      <c r="D231" s="27"/>
      <c r="E231" s="27"/>
      <c r="F231" s="27"/>
      <c r="G231" s="27"/>
      <c r="H231" s="27"/>
      <c r="I231" s="27"/>
      <c r="J231" s="27"/>
      <c r="K231" s="133" t="str">
        <f t="shared" si="65"/>
        <v/>
      </c>
      <c r="L231" s="44" t="str">
        <f t="shared" si="72"/>
        <v/>
      </c>
      <c r="M231" s="44" t="str">
        <f t="shared" si="66"/>
        <v/>
      </c>
      <c r="N231" s="44" t="str">
        <f t="shared" si="73"/>
        <v/>
      </c>
      <c r="O231" s="44" t="str">
        <f t="shared" si="67"/>
        <v/>
      </c>
      <c r="P231" s="44" t="str">
        <f t="shared" si="78"/>
        <v/>
      </c>
      <c r="Q231" s="44" t="str">
        <f t="shared" si="68"/>
        <v/>
      </c>
      <c r="R231" s="44" t="str">
        <f t="shared" si="74"/>
        <v/>
      </c>
      <c r="S231" s="242">
        <f t="shared" si="75"/>
        <v>0</v>
      </c>
      <c r="T231" s="42">
        <f t="shared" si="76"/>
        <v>0</v>
      </c>
      <c r="U231" s="42">
        <f t="shared" si="69"/>
        <v>0</v>
      </c>
      <c r="V231" s="36" t="e">
        <f t="shared" si="70"/>
        <v>#DIV/0!</v>
      </c>
      <c r="W231" s="36" t="e">
        <f t="shared" si="71"/>
        <v>#DIV/0!</v>
      </c>
      <c r="X231" s="62" t="e">
        <f t="shared" si="77"/>
        <v>#DIV/0!</v>
      </c>
    </row>
    <row r="232" spans="1:24">
      <c r="A232" s="26"/>
      <c r="B232" s="27"/>
      <c r="C232" s="27"/>
      <c r="D232" s="27"/>
      <c r="E232" s="27"/>
      <c r="F232" s="27"/>
      <c r="G232" s="27"/>
      <c r="H232" s="27"/>
      <c r="I232" s="27"/>
      <c r="J232" s="27"/>
      <c r="K232" s="133" t="str">
        <f t="shared" si="65"/>
        <v/>
      </c>
      <c r="L232" s="44" t="str">
        <f t="shared" si="72"/>
        <v/>
      </c>
      <c r="M232" s="44" t="str">
        <f t="shared" si="66"/>
        <v/>
      </c>
      <c r="N232" s="44" t="str">
        <f t="shared" si="73"/>
        <v/>
      </c>
      <c r="O232" s="44" t="str">
        <f t="shared" si="67"/>
        <v/>
      </c>
      <c r="P232" s="44" t="str">
        <f t="shared" si="78"/>
        <v/>
      </c>
      <c r="Q232" s="44" t="str">
        <f t="shared" si="68"/>
        <v/>
      </c>
      <c r="R232" s="44" t="str">
        <f t="shared" si="74"/>
        <v/>
      </c>
      <c r="S232" s="242">
        <f t="shared" si="75"/>
        <v>0</v>
      </c>
      <c r="T232" s="42">
        <f t="shared" si="76"/>
        <v>0</v>
      </c>
      <c r="U232" s="42">
        <f t="shared" si="69"/>
        <v>0</v>
      </c>
      <c r="V232" s="36" t="e">
        <f t="shared" si="70"/>
        <v>#DIV/0!</v>
      </c>
      <c r="W232" s="36" t="e">
        <f t="shared" si="71"/>
        <v>#DIV/0!</v>
      </c>
      <c r="X232" s="62" t="e">
        <f t="shared" si="77"/>
        <v>#DIV/0!</v>
      </c>
    </row>
    <row r="233" spans="1:24">
      <c r="A233" s="26"/>
      <c r="B233" s="27"/>
      <c r="C233" s="27"/>
      <c r="D233" s="27"/>
      <c r="E233" s="27"/>
      <c r="F233" s="27"/>
      <c r="G233" s="27"/>
      <c r="H233" s="27"/>
      <c r="I233" s="27"/>
      <c r="J233" s="27"/>
      <c r="K233" s="133" t="str">
        <f t="shared" si="65"/>
        <v/>
      </c>
      <c r="L233" s="44" t="str">
        <f t="shared" si="72"/>
        <v/>
      </c>
      <c r="M233" s="44" t="str">
        <f t="shared" si="66"/>
        <v/>
      </c>
      <c r="N233" s="44" t="str">
        <f t="shared" si="73"/>
        <v/>
      </c>
      <c r="O233" s="44" t="str">
        <f t="shared" si="67"/>
        <v/>
      </c>
      <c r="P233" s="44" t="str">
        <f t="shared" si="78"/>
        <v/>
      </c>
      <c r="Q233" s="44" t="str">
        <f t="shared" si="68"/>
        <v/>
      </c>
      <c r="R233" s="44" t="str">
        <f t="shared" si="74"/>
        <v/>
      </c>
      <c r="S233" s="242">
        <f t="shared" si="75"/>
        <v>0</v>
      </c>
      <c r="T233" s="42">
        <f t="shared" si="76"/>
        <v>0</v>
      </c>
      <c r="U233" s="42">
        <f t="shared" si="69"/>
        <v>0</v>
      </c>
      <c r="V233" s="36" t="e">
        <f t="shared" si="70"/>
        <v>#DIV/0!</v>
      </c>
      <c r="W233" s="36" t="e">
        <f t="shared" si="71"/>
        <v>#DIV/0!</v>
      </c>
      <c r="X233" s="62" t="e">
        <f t="shared" si="77"/>
        <v>#DIV/0!</v>
      </c>
    </row>
    <row r="234" spans="1:24">
      <c r="A234" s="26"/>
      <c r="B234" s="27"/>
      <c r="C234" s="27"/>
      <c r="D234" s="27"/>
      <c r="E234" s="27"/>
      <c r="F234" s="27"/>
      <c r="G234" s="27"/>
      <c r="H234" s="27"/>
      <c r="I234" s="27"/>
      <c r="J234" s="27"/>
      <c r="K234" s="133" t="str">
        <f t="shared" si="65"/>
        <v/>
      </c>
      <c r="L234" s="44" t="str">
        <f t="shared" si="72"/>
        <v/>
      </c>
      <c r="M234" s="44" t="str">
        <f t="shared" si="66"/>
        <v/>
      </c>
      <c r="N234" s="44" t="str">
        <f t="shared" si="73"/>
        <v/>
      </c>
      <c r="O234" s="44" t="str">
        <f t="shared" si="67"/>
        <v/>
      </c>
      <c r="P234" s="44" t="str">
        <f t="shared" si="78"/>
        <v/>
      </c>
      <c r="Q234" s="44" t="str">
        <f t="shared" si="68"/>
        <v/>
      </c>
      <c r="R234" s="44" t="str">
        <f t="shared" si="74"/>
        <v/>
      </c>
      <c r="S234" s="242">
        <f t="shared" si="75"/>
        <v>0</v>
      </c>
      <c r="T234" s="42">
        <f t="shared" si="76"/>
        <v>0</v>
      </c>
      <c r="U234" s="42">
        <f t="shared" si="69"/>
        <v>0</v>
      </c>
      <c r="V234" s="36" t="e">
        <f t="shared" si="70"/>
        <v>#DIV/0!</v>
      </c>
      <c r="W234" s="36" t="e">
        <f t="shared" si="71"/>
        <v>#DIV/0!</v>
      </c>
      <c r="X234" s="62" t="e">
        <f t="shared" si="77"/>
        <v>#DIV/0!</v>
      </c>
    </row>
    <row r="235" spans="1:24">
      <c r="A235" s="26"/>
      <c r="B235" s="27"/>
      <c r="C235" s="27"/>
      <c r="D235" s="27"/>
      <c r="E235" s="27"/>
      <c r="F235" s="27"/>
      <c r="G235" s="27"/>
      <c r="H235" s="27"/>
      <c r="I235" s="27"/>
      <c r="J235" s="27"/>
      <c r="K235" s="133" t="str">
        <f t="shared" si="65"/>
        <v/>
      </c>
      <c r="L235" s="44" t="str">
        <f t="shared" si="72"/>
        <v/>
      </c>
      <c r="M235" s="44" t="str">
        <f t="shared" si="66"/>
        <v/>
      </c>
      <c r="N235" s="44" t="str">
        <f t="shared" si="73"/>
        <v/>
      </c>
      <c r="O235" s="44" t="str">
        <f t="shared" si="67"/>
        <v/>
      </c>
      <c r="P235" s="44" t="str">
        <f t="shared" si="78"/>
        <v/>
      </c>
      <c r="Q235" s="44" t="str">
        <f t="shared" si="68"/>
        <v/>
      </c>
      <c r="R235" s="44" t="str">
        <f t="shared" si="74"/>
        <v/>
      </c>
      <c r="S235" s="242">
        <f t="shared" si="75"/>
        <v>0</v>
      </c>
      <c r="T235" s="42">
        <f t="shared" si="76"/>
        <v>0</v>
      </c>
      <c r="U235" s="42">
        <f t="shared" si="69"/>
        <v>0</v>
      </c>
      <c r="V235" s="36" t="e">
        <f t="shared" si="70"/>
        <v>#DIV/0!</v>
      </c>
      <c r="W235" s="36" t="e">
        <f t="shared" si="71"/>
        <v>#DIV/0!</v>
      </c>
      <c r="X235" s="62" t="e">
        <f t="shared" si="77"/>
        <v>#DIV/0!</v>
      </c>
    </row>
    <row r="236" spans="1:24">
      <c r="A236" s="26"/>
      <c r="B236" s="27"/>
      <c r="C236" s="27"/>
      <c r="D236" s="27"/>
      <c r="E236" s="27"/>
      <c r="F236" s="27"/>
      <c r="G236" s="27"/>
      <c r="H236" s="27"/>
      <c r="I236" s="27"/>
      <c r="J236" s="27"/>
      <c r="K236" s="133" t="str">
        <f t="shared" si="65"/>
        <v/>
      </c>
      <c r="L236" s="44" t="str">
        <f t="shared" si="72"/>
        <v/>
      </c>
      <c r="M236" s="44" t="str">
        <f t="shared" si="66"/>
        <v/>
      </c>
      <c r="N236" s="44" t="str">
        <f t="shared" si="73"/>
        <v/>
      </c>
      <c r="O236" s="44" t="str">
        <f t="shared" si="67"/>
        <v/>
      </c>
      <c r="P236" s="44" t="str">
        <f t="shared" si="78"/>
        <v/>
      </c>
      <c r="Q236" s="44" t="str">
        <f t="shared" si="68"/>
        <v/>
      </c>
      <c r="R236" s="44" t="str">
        <f t="shared" si="74"/>
        <v/>
      </c>
      <c r="S236" s="242">
        <f t="shared" si="75"/>
        <v>0</v>
      </c>
      <c r="T236" s="42">
        <f t="shared" si="76"/>
        <v>0</v>
      </c>
      <c r="U236" s="42">
        <f t="shared" si="69"/>
        <v>0</v>
      </c>
      <c r="V236" s="36" t="e">
        <f t="shared" si="70"/>
        <v>#DIV/0!</v>
      </c>
      <c r="W236" s="36" t="e">
        <f t="shared" si="71"/>
        <v>#DIV/0!</v>
      </c>
      <c r="X236" s="62" t="e">
        <f t="shared" si="77"/>
        <v>#DIV/0!</v>
      </c>
    </row>
    <row r="237" spans="1:24">
      <c r="A237" s="26"/>
      <c r="B237" s="27"/>
      <c r="C237" s="27"/>
      <c r="D237" s="27"/>
      <c r="E237" s="27"/>
      <c r="F237" s="27"/>
      <c r="G237" s="27"/>
      <c r="H237" s="27"/>
      <c r="I237" s="27"/>
      <c r="J237" s="27"/>
      <c r="K237" s="133" t="str">
        <f t="shared" si="65"/>
        <v/>
      </c>
      <c r="L237" s="44" t="str">
        <f t="shared" si="72"/>
        <v/>
      </c>
      <c r="M237" s="44" t="str">
        <f t="shared" si="66"/>
        <v/>
      </c>
      <c r="N237" s="44" t="str">
        <f t="shared" si="73"/>
        <v/>
      </c>
      <c r="O237" s="44" t="str">
        <f t="shared" si="67"/>
        <v/>
      </c>
      <c r="P237" s="44" t="str">
        <f t="shared" si="78"/>
        <v/>
      </c>
      <c r="Q237" s="44" t="str">
        <f t="shared" si="68"/>
        <v/>
      </c>
      <c r="R237" s="44" t="str">
        <f t="shared" si="74"/>
        <v/>
      </c>
      <c r="S237" s="242">
        <f t="shared" si="75"/>
        <v>0</v>
      </c>
      <c r="T237" s="42">
        <f t="shared" si="76"/>
        <v>0</v>
      </c>
      <c r="U237" s="42">
        <f t="shared" si="69"/>
        <v>0</v>
      </c>
      <c r="V237" s="36" t="e">
        <f t="shared" si="70"/>
        <v>#DIV/0!</v>
      </c>
      <c r="W237" s="36" t="e">
        <f t="shared" si="71"/>
        <v>#DIV/0!</v>
      </c>
      <c r="X237" s="62" t="e">
        <f t="shared" si="77"/>
        <v>#DIV/0!</v>
      </c>
    </row>
    <row r="238" spans="1:24">
      <c r="A238" s="26"/>
      <c r="B238" s="27"/>
      <c r="C238" s="27"/>
      <c r="D238" s="27"/>
      <c r="E238" s="27"/>
      <c r="F238" s="27"/>
      <c r="G238" s="27"/>
      <c r="H238" s="27"/>
      <c r="I238" s="27"/>
      <c r="J238" s="27"/>
      <c r="K238" s="133" t="str">
        <f t="shared" si="65"/>
        <v/>
      </c>
      <c r="L238" s="44" t="str">
        <f t="shared" si="72"/>
        <v/>
      </c>
      <c r="M238" s="44" t="str">
        <f t="shared" si="66"/>
        <v/>
      </c>
      <c r="N238" s="44" t="str">
        <f t="shared" si="73"/>
        <v/>
      </c>
      <c r="O238" s="44" t="str">
        <f t="shared" si="67"/>
        <v/>
      </c>
      <c r="P238" s="44" t="str">
        <f t="shared" si="78"/>
        <v/>
      </c>
      <c r="Q238" s="44" t="str">
        <f t="shared" si="68"/>
        <v/>
      </c>
      <c r="R238" s="44" t="str">
        <f t="shared" si="74"/>
        <v/>
      </c>
      <c r="S238" s="242">
        <f t="shared" si="75"/>
        <v>0</v>
      </c>
      <c r="T238" s="42">
        <f t="shared" si="76"/>
        <v>0</v>
      </c>
      <c r="U238" s="42">
        <f t="shared" si="69"/>
        <v>0</v>
      </c>
      <c r="V238" s="36" t="e">
        <f t="shared" si="70"/>
        <v>#DIV/0!</v>
      </c>
      <c r="W238" s="36" t="e">
        <f t="shared" si="71"/>
        <v>#DIV/0!</v>
      </c>
      <c r="X238" s="62" t="e">
        <f t="shared" si="77"/>
        <v>#DIV/0!</v>
      </c>
    </row>
    <row r="239" spans="1:24">
      <c r="A239" s="26"/>
      <c r="B239" s="27"/>
      <c r="C239" s="27"/>
      <c r="D239" s="27"/>
      <c r="E239" s="27"/>
      <c r="F239" s="27"/>
      <c r="G239" s="27"/>
      <c r="H239" s="27"/>
      <c r="I239" s="27"/>
      <c r="J239" s="27"/>
      <c r="K239" s="133" t="str">
        <f t="shared" si="65"/>
        <v/>
      </c>
      <c r="L239" s="44" t="str">
        <f t="shared" si="72"/>
        <v/>
      </c>
      <c r="M239" s="44" t="str">
        <f t="shared" si="66"/>
        <v/>
      </c>
      <c r="N239" s="44" t="str">
        <f t="shared" si="73"/>
        <v/>
      </c>
      <c r="O239" s="44" t="str">
        <f t="shared" si="67"/>
        <v/>
      </c>
      <c r="P239" s="44" t="str">
        <f t="shared" si="78"/>
        <v/>
      </c>
      <c r="Q239" s="44" t="str">
        <f t="shared" si="68"/>
        <v/>
      </c>
      <c r="R239" s="44" t="str">
        <f t="shared" si="74"/>
        <v/>
      </c>
      <c r="S239" s="242">
        <f t="shared" si="75"/>
        <v>0</v>
      </c>
      <c r="T239" s="42">
        <f t="shared" si="76"/>
        <v>0</v>
      </c>
      <c r="U239" s="42">
        <f t="shared" si="69"/>
        <v>0</v>
      </c>
      <c r="V239" s="36" t="e">
        <f t="shared" si="70"/>
        <v>#DIV/0!</v>
      </c>
      <c r="W239" s="36" t="e">
        <f t="shared" si="71"/>
        <v>#DIV/0!</v>
      </c>
      <c r="X239" s="62" t="e">
        <f t="shared" si="77"/>
        <v>#DIV/0!</v>
      </c>
    </row>
    <row r="240" spans="1:24">
      <c r="A240" s="26"/>
      <c r="B240" s="27"/>
      <c r="C240" s="27"/>
      <c r="D240" s="27"/>
      <c r="E240" s="27"/>
      <c r="F240" s="27"/>
      <c r="G240" s="27"/>
      <c r="H240" s="27"/>
      <c r="I240" s="27"/>
      <c r="J240" s="27"/>
      <c r="K240" s="133" t="str">
        <f t="shared" si="65"/>
        <v/>
      </c>
      <c r="L240" s="44" t="str">
        <f t="shared" si="72"/>
        <v/>
      </c>
      <c r="M240" s="44" t="str">
        <f t="shared" si="66"/>
        <v/>
      </c>
      <c r="N240" s="44" t="str">
        <f t="shared" si="73"/>
        <v/>
      </c>
      <c r="O240" s="44" t="str">
        <f t="shared" si="67"/>
        <v/>
      </c>
      <c r="P240" s="44" t="str">
        <f t="shared" si="78"/>
        <v/>
      </c>
      <c r="Q240" s="44" t="str">
        <f t="shared" si="68"/>
        <v/>
      </c>
      <c r="R240" s="44" t="str">
        <f t="shared" si="74"/>
        <v/>
      </c>
      <c r="S240" s="242">
        <f t="shared" si="75"/>
        <v>0</v>
      </c>
      <c r="T240" s="42">
        <f t="shared" si="76"/>
        <v>0</v>
      </c>
      <c r="U240" s="42">
        <f t="shared" si="69"/>
        <v>0</v>
      </c>
      <c r="V240" s="36" t="e">
        <f t="shared" si="70"/>
        <v>#DIV/0!</v>
      </c>
      <c r="W240" s="36" t="e">
        <f t="shared" si="71"/>
        <v>#DIV/0!</v>
      </c>
      <c r="X240" s="62" t="e">
        <f t="shared" si="77"/>
        <v>#DIV/0!</v>
      </c>
    </row>
    <row r="241" spans="1:24">
      <c r="A241" s="26"/>
      <c r="B241" s="27"/>
      <c r="C241" s="27"/>
      <c r="D241" s="27"/>
      <c r="E241" s="27"/>
      <c r="F241" s="27"/>
      <c r="G241" s="27"/>
      <c r="H241" s="27"/>
      <c r="I241" s="27"/>
      <c r="J241" s="27"/>
      <c r="K241" s="133" t="str">
        <f t="shared" si="65"/>
        <v/>
      </c>
      <c r="L241" s="44" t="str">
        <f t="shared" si="72"/>
        <v/>
      </c>
      <c r="M241" s="44" t="str">
        <f t="shared" si="66"/>
        <v/>
      </c>
      <c r="N241" s="44" t="str">
        <f t="shared" si="73"/>
        <v/>
      </c>
      <c r="O241" s="44" t="str">
        <f t="shared" si="67"/>
        <v/>
      </c>
      <c r="P241" s="44" t="str">
        <f t="shared" si="78"/>
        <v/>
      </c>
      <c r="Q241" s="44" t="str">
        <f t="shared" si="68"/>
        <v/>
      </c>
      <c r="R241" s="44" t="str">
        <f t="shared" si="74"/>
        <v/>
      </c>
      <c r="S241" s="242">
        <f t="shared" si="75"/>
        <v>0</v>
      </c>
      <c r="T241" s="42">
        <f t="shared" si="76"/>
        <v>0</v>
      </c>
      <c r="U241" s="42">
        <f t="shared" si="69"/>
        <v>0</v>
      </c>
      <c r="V241" s="36" t="e">
        <f t="shared" si="70"/>
        <v>#DIV/0!</v>
      </c>
      <c r="W241" s="36" t="e">
        <f t="shared" si="71"/>
        <v>#DIV/0!</v>
      </c>
      <c r="X241" s="62" t="e">
        <f t="shared" si="77"/>
        <v>#DIV/0!</v>
      </c>
    </row>
    <row r="242" spans="1:24">
      <c r="A242" s="26"/>
      <c r="B242" s="27"/>
      <c r="C242" s="27"/>
      <c r="D242" s="27"/>
      <c r="E242" s="27"/>
      <c r="F242" s="27"/>
      <c r="G242" s="27"/>
      <c r="H242" s="27"/>
      <c r="I242" s="27"/>
      <c r="J242" s="27"/>
      <c r="K242" s="133" t="str">
        <f t="shared" si="65"/>
        <v/>
      </c>
      <c r="L242" s="44" t="str">
        <f t="shared" si="72"/>
        <v/>
      </c>
      <c r="M242" s="44" t="str">
        <f t="shared" si="66"/>
        <v/>
      </c>
      <c r="N242" s="44" t="str">
        <f t="shared" si="73"/>
        <v/>
      </c>
      <c r="O242" s="44" t="str">
        <f t="shared" si="67"/>
        <v/>
      </c>
      <c r="P242" s="44" t="str">
        <f t="shared" si="78"/>
        <v/>
      </c>
      <c r="Q242" s="44" t="str">
        <f t="shared" si="68"/>
        <v/>
      </c>
      <c r="R242" s="44" t="str">
        <f t="shared" si="74"/>
        <v/>
      </c>
      <c r="S242" s="242">
        <f t="shared" si="75"/>
        <v>0</v>
      </c>
      <c r="T242" s="42">
        <f t="shared" si="76"/>
        <v>0</v>
      </c>
      <c r="U242" s="42">
        <f t="shared" si="69"/>
        <v>0</v>
      </c>
      <c r="V242" s="36" t="e">
        <f t="shared" si="70"/>
        <v>#DIV/0!</v>
      </c>
      <c r="W242" s="36" t="e">
        <f t="shared" si="71"/>
        <v>#DIV/0!</v>
      </c>
      <c r="X242" s="62" t="e">
        <f t="shared" si="77"/>
        <v>#DIV/0!</v>
      </c>
    </row>
    <row r="243" spans="1:24">
      <c r="A243" s="26"/>
      <c r="B243" s="27"/>
      <c r="C243" s="27"/>
      <c r="D243" s="27"/>
      <c r="E243" s="27"/>
      <c r="F243" s="27"/>
      <c r="G243" s="27"/>
      <c r="H243" s="27"/>
      <c r="I243" s="27"/>
      <c r="J243" s="27"/>
      <c r="K243" s="133" t="str">
        <f t="shared" si="65"/>
        <v/>
      </c>
      <c r="L243" s="44" t="str">
        <f t="shared" si="72"/>
        <v/>
      </c>
      <c r="M243" s="44" t="str">
        <f t="shared" si="66"/>
        <v/>
      </c>
      <c r="N243" s="44" t="str">
        <f t="shared" si="73"/>
        <v/>
      </c>
      <c r="O243" s="44" t="str">
        <f t="shared" si="67"/>
        <v/>
      </c>
      <c r="P243" s="44" t="str">
        <f t="shared" si="78"/>
        <v/>
      </c>
      <c r="Q243" s="44" t="str">
        <f t="shared" si="68"/>
        <v/>
      </c>
      <c r="R243" s="44" t="str">
        <f t="shared" si="74"/>
        <v/>
      </c>
      <c r="S243" s="242">
        <f t="shared" si="75"/>
        <v>0</v>
      </c>
      <c r="T243" s="42">
        <f t="shared" si="76"/>
        <v>0</v>
      </c>
      <c r="U243" s="42">
        <f t="shared" si="69"/>
        <v>0</v>
      </c>
      <c r="V243" s="36" t="e">
        <f t="shared" si="70"/>
        <v>#DIV/0!</v>
      </c>
      <c r="W243" s="36" t="e">
        <f t="shared" si="71"/>
        <v>#DIV/0!</v>
      </c>
      <c r="X243" s="62" t="e">
        <f t="shared" si="77"/>
        <v>#DIV/0!</v>
      </c>
    </row>
    <row r="244" spans="1:24">
      <c r="A244" s="26"/>
      <c r="B244" s="27"/>
      <c r="C244" s="27"/>
      <c r="D244" s="27"/>
      <c r="E244" s="27"/>
      <c r="F244" s="27"/>
      <c r="G244" s="27"/>
      <c r="H244" s="27"/>
      <c r="I244" s="27"/>
      <c r="J244" s="27"/>
      <c r="K244" s="133" t="str">
        <f t="shared" si="65"/>
        <v/>
      </c>
      <c r="L244" s="44" t="str">
        <f t="shared" si="72"/>
        <v/>
      </c>
      <c r="M244" s="44" t="str">
        <f t="shared" si="66"/>
        <v/>
      </c>
      <c r="N244" s="44" t="str">
        <f t="shared" si="73"/>
        <v/>
      </c>
      <c r="O244" s="44" t="str">
        <f t="shared" si="67"/>
        <v/>
      </c>
      <c r="P244" s="44" t="str">
        <f t="shared" si="78"/>
        <v/>
      </c>
      <c r="Q244" s="44" t="str">
        <f t="shared" si="68"/>
        <v/>
      </c>
      <c r="R244" s="44" t="str">
        <f t="shared" si="74"/>
        <v/>
      </c>
      <c r="S244" s="242">
        <f t="shared" si="75"/>
        <v>0</v>
      </c>
      <c r="T244" s="42">
        <f t="shared" si="76"/>
        <v>0</v>
      </c>
      <c r="U244" s="42">
        <f t="shared" si="69"/>
        <v>0</v>
      </c>
      <c r="V244" s="36" t="e">
        <f t="shared" si="70"/>
        <v>#DIV/0!</v>
      </c>
      <c r="W244" s="36" t="e">
        <f t="shared" si="71"/>
        <v>#DIV/0!</v>
      </c>
      <c r="X244" s="62" t="e">
        <f t="shared" si="77"/>
        <v>#DIV/0!</v>
      </c>
    </row>
    <row r="245" spans="1:24">
      <c r="A245" s="26"/>
      <c r="B245" s="27"/>
      <c r="C245" s="27"/>
      <c r="D245" s="27"/>
      <c r="E245" s="27"/>
      <c r="F245" s="27"/>
      <c r="G245" s="27"/>
      <c r="H245" s="27"/>
      <c r="I245" s="27"/>
      <c r="J245" s="27"/>
      <c r="K245" s="133" t="str">
        <f t="shared" si="65"/>
        <v/>
      </c>
      <c r="L245" s="44" t="str">
        <f t="shared" si="72"/>
        <v/>
      </c>
      <c r="M245" s="44" t="str">
        <f t="shared" si="66"/>
        <v/>
      </c>
      <c r="N245" s="44" t="str">
        <f t="shared" si="73"/>
        <v/>
      </c>
      <c r="O245" s="44" t="str">
        <f t="shared" si="67"/>
        <v/>
      </c>
      <c r="P245" s="44" t="str">
        <f t="shared" si="78"/>
        <v/>
      </c>
      <c r="Q245" s="44" t="str">
        <f t="shared" si="68"/>
        <v/>
      </c>
      <c r="R245" s="44" t="str">
        <f t="shared" si="74"/>
        <v/>
      </c>
      <c r="S245" s="242">
        <f t="shared" si="75"/>
        <v>0</v>
      </c>
      <c r="T245" s="42">
        <f t="shared" si="76"/>
        <v>0</v>
      </c>
      <c r="U245" s="42">
        <f t="shared" si="69"/>
        <v>0</v>
      </c>
      <c r="V245" s="36" t="e">
        <f t="shared" si="70"/>
        <v>#DIV/0!</v>
      </c>
      <c r="W245" s="36" t="e">
        <f t="shared" si="71"/>
        <v>#DIV/0!</v>
      </c>
      <c r="X245" s="62" t="e">
        <f t="shared" si="77"/>
        <v>#DIV/0!</v>
      </c>
    </row>
    <row r="246" spans="1:24">
      <c r="A246" s="26"/>
      <c r="B246" s="27"/>
      <c r="C246" s="27"/>
      <c r="D246" s="27"/>
      <c r="E246" s="27"/>
      <c r="F246" s="27"/>
      <c r="G246" s="27"/>
      <c r="H246" s="27"/>
      <c r="I246" s="27"/>
      <c r="J246" s="27"/>
      <c r="K246" s="133" t="str">
        <f t="shared" ref="K246:K309" si="79">IF(C246="","",VLOOKUP(C246,成本单价,8,0))</f>
        <v/>
      </c>
      <c r="L246" s="44" t="str">
        <f t="shared" si="72"/>
        <v/>
      </c>
      <c r="M246" s="44" t="str">
        <f t="shared" si="66"/>
        <v/>
      </c>
      <c r="N246" s="44" t="str">
        <f t="shared" si="73"/>
        <v/>
      </c>
      <c r="O246" s="44" t="str">
        <f t="shared" si="67"/>
        <v/>
      </c>
      <c r="P246" s="44" t="str">
        <f t="shared" si="78"/>
        <v/>
      </c>
      <c r="Q246" s="44" t="str">
        <f t="shared" si="68"/>
        <v/>
      </c>
      <c r="R246" s="44" t="str">
        <f t="shared" si="74"/>
        <v/>
      </c>
      <c r="S246" s="242">
        <f t="shared" si="75"/>
        <v>0</v>
      </c>
      <c r="T246" s="42">
        <f t="shared" si="76"/>
        <v>0</v>
      </c>
      <c r="U246" s="42">
        <f t="shared" si="69"/>
        <v>0</v>
      </c>
      <c r="V246" s="36" t="e">
        <f t="shared" si="70"/>
        <v>#DIV/0!</v>
      </c>
      <c r="W246" s="36" t="e">
        <f t="shared" si="71"/>
        <v>#DIV/0!</v>
      </c>
      <c r="X246" s="62" t="e">
        <f t="shared" si="77"/>
        <v>#DIV/0!</v>
      </c>
    </row>
    <row r="247" spans="1:24">
      <c r="A247" s="26"/>
      <c r="B247" s="27"/>
      <c r="C247" s="27"/>
      <c r="D247" s="27"/>
      <c r="E247" s="27"/>
      <c r="F247" s="27"/>
      <c r="G247" s="27"/>
      <c r="H247" s="27"/>
      <c r="I247" s="27"/>
      <c r="J247" s="27"/>
      <c r="K247" s="133" t="str">
        <f t="shared" si="79"/>
        <v/>
      </c>
      <c r="L247" s="44" t="str">
        <f t="shared" si="72"/>
        <v/>
      </c>
      <c r="M247" s="44" t="str">
        <f t="shared" si="66"/>
        <v/>
      </c>
      <c r="N247" s="44" t="str">
        <f t="shared" si="73"/>
        <v/>
      </c>
      <c r="O247" s="44" t="str">
        <f t="shared" si="67"/>
        <v/>
      </c>
      <c r="P247" s="44" t="str">
        <f t="shared" si="78"/>
        <v/>
      </c>
      <c r="Q247" s="44" t="str">
        <f t="shared" si="68"/>
        <v/>
      </c>
      <c r="R247" s="44" t="str">
        <f t="shared" si="74"/>
        <v/>
      </c>
      <c r="S247" s="242">
        <f t="shared" si="75"/>
        <v>0</v>
      </c>
      <c r="T247" s="42">
        <f t="shared" si="76"/>
        <v>0</v>
      </c>
      <c r="U247" s="42">
        <f t="shared" si="69"/>
        <v>0</v>
      </c>
      <c r="V247" s="36" t="e">
        <f t="shared" si="70"/>
        <v>#DIV/0!</v>
      </c>
      <c r="W247" s="36" t="e">
        <f t="shared" si="71"/>
        <v>#DIV/0!</v>
      </c>
      <c r="X247" s="62" t="e">
        <f t="shared" si="77"/>
        <v>#DIV/0!</v>
      </c>
    </row>
    <row r="248" spans="1:24">
      <c r="A248" s="26"/>
      <c r="B248" s="27"/>
      <c r="C248" s="27"/>
      <c r="D248" s="27"/>
      <c r="E248" s="27"/>
      <c r="F248" s="27"/>
      <c r="G248" s="27"/>
      <c r="H248" s="27"/>
      <c r="I248" s="27"/>
      <c r="J248" s="27"/>
      <c r="K248" s="133" t="str">
        <f t="shared" si="79"/>
        <v/>
      </c>
      <c r="L248" s="44" t="str">
        <f t="shared" si="72"/>
        <v/>
      </c>
      <c r="M248" s="44" t="str">
        <f t="shared" si="66"/>
        <v/>
      </c>
      <c r="N248" s="44" t="str">
        <f t="shared" si="73"/>
        <v/>
      </c>
      <c r="O248" s="44" t="str">
        <f t="shared" si="67"/>
        <v/>
      </c>
      <c r="P248" s="44" t="str">
        <f t="shared" si="78"/>
        <v/>
      </c>
      <c r="Q248" s="44" t="str">
        <f t="shared" si="68"/>
        <v/>
      </c>
      <c r="R248" s="44" t="str">
        <f t="shared" si="74"/>
        <v/>
      </c>
      <c r="S248" s="242">
        <f t="shared" si="75"/>
        <v>0</v>
      </c>
      <c r="T248" s="42">
        <f t="shared" si="76"/>
        <v>0</v>
      </c>
      <c r="U248" s="42">
        <f t="shared" si="69"/>
        <v>0</v>
      </c>
      <c r="V248" s="36" t="e">
        <f t="shared" si="70"/>
        <v>#DIV/0!</v>
      </c>
      <c r="W248" s="36" t="e">
        <f t="shared" si="71"/>
        <v>#DIV/0!</v>
      </c>
      <c r="X248" s="62" t="e">
        <f t="shared" si="77"/>
        <v>#DIV/0!</v>
      </c>
    </row>
    <row r="249" spans="1:24">
      <c r="A249" s="26"/>
      <c r="B249" s="27"/>
      <c r="C249" s="27"/>
      <c r="D249" s="27"/>
      <c r="E249" s="27"/>
      <c r="F249" s="27"/>
      <c r="G249" s="27"/>
      <c r="H249" s="27"/>
      <c r="I249" s="27"/>
      <c r="J249" s="27"/>
      <c r="K249" s="133" t="str">
        <f t="shared" si="79"/>
        <v/>
      </c>
      <c r="L249" s="44" t="str">
        <f t="shared" si="72"/>
        <v/>
      </c>
      <c r="M249" s="44" t="str">
        <f t="shared" si="66"/>
        <v/>
      </c>
      <c r="N249" s="44" t="str">
        <f t="shared" si="73"/>
        <v/>
      </c>
      <c r="O249" s="44" t="str">
        <f t="shared" si="67"/>
        <v/>
      </c>
      <c r="P249" s="44" t="str">
        <f t="shared" si="78"/>
        <v/>
      </c>
      <c r="Q249" s="44" t="str">
        <f t="shared" si="68"/>
        <v/>
      </c>
      <c r="R249" s="44" t="str">
        <f t="shared" si="74"/>
        <v/>
      </c>
      <c r="S249" s="242">
        <f t="shared" si="75"/>
        <v>0</v>
      </c>
      <c r="T249" s="42">
        <f t="shared" si="76"/>
        <v>0</v>
      </c>
      <c r="U249" s="42">
        <f t="shared" si="69"/>
        <v>0</v>
      </c>
      <c r="V249" s="36" t="e">
        <f t="shared" si="70"/>
        <v>#DIV/0!</v>
      </c>
      <c r="W249" s="36" t="e">
        <f t="shared" si="71"/>
        <v>#DIV/0!</v>
      </c>
      <c r="X249" s="62" t="e">
        <f t="shared" si="77"/>
        <v>#DIV/0!</v>
      </c>
    </row>
    <row r="250" spans="1:24">
      <c r="A250" s="26"/>
      <c r="B250" s="27"/>
      <c r="C250" s="27"/>
      <c r="D250" s="27"/>
      <c r="E250" s="27"/>
      <c r="F250" s="27"/>
      <c r="G250" s="27"/>
      <c r="H250" s="27"/>
      <c r="I250" s="27"/>
      <c r="J250" s="27"/>
      <c r="K250" s="133" t="str">
        <f t="shared" si="79"/>
        <v/>
      </c>
      <c r="L250" s="44" t="str">
        <f t="shared" si="72"/>
        <v/>
      </c>
      <c r="M250" s="44" t="str">
        <f t="shared" si="66"/>
        <v/>
      </c>
      <c r="N250" s="44" t="str">
        <f t="shared" si="73"/>
        <v/>
      </c>
      <c r="O250" s="44" t="str">
        <f t="shared" si="67"/>
        <v/>
      </c>
      <c r="P250" s="44" t="str">
        <f t="shared" si="78"/>
        <v/>
      </c>
      <c r="Q250" s="44" t="str">
        <f t="shared" si="68"/>
        <v/>
      </c>
      <c r="R250" s="44" t="str">
        <f t="shared" si="74"/>
        <v/>
      </c>
      <c r="S250" s="242">
        <f t="shared" si="75"/>
        <v>0</v>
      </c>
      <c r="T250" s="42">
        <f t="shared" si="76"/>
        <v>0</v>
      </c>
      <c r="U250" s="42">
        <f t="shared" si="69"/>
        <v>0</v>
      </c>
      <c r="V250" s="36" t="e">
        <f t="shared" si="70"/>
        <v>#DIV/0!</v>
      </c>
      <c r="W250" s="36" t="e">
        <f t="shared" si="71"/>
        <v>#DIV/0!</v>
      </c>
      <c r="X250" s="62" t="e">
        <f t="shared" si="77"/>
        <v>#DIV/0!</v>
      </c>
    </row>
    <row r="251" spans="1:24">
      <c r="A251" s="26"/>
      <c r="B251" s="27"/>
      <c r="C251" s="27"/>
      <c r="D251" s="27"/>
      <c r="E251" s="27"/>
      <c r="F251" s="27"/>
      <c r="G251" s="27"/>
      <c r="H251" s="27"/>
      <c r="I251" s="27"/>
      <c r="J251" s="27"/>
      <c r="K251" s="133" t="str">
        <f t="shared" si="79"/>
        <v/>
      </c>
      <c r="L251" s="44" t="str">
        <f t="shared" si="72"/>
        <v/>
      </c>
      <c r="M251" s="44" t="str">
        <f t="shared" si="66"/>
        <v/>
      </c>
      <c r="N251" s="44" t="str">
        <f t="shared" si="73"/>
        <v/>
      </c>
      <c r="O251" s="44" t="str">
        <f t="shared" si="67"/>
        <v/>
      </c>
      <c r="P251" s="44" t="str">
        <f t="shared" si="78"/>
        <v/>
      </c>
      <c r="Q251" s="44" t="str">
        <f t="shared" si="68"/>
        <v/>
      </c>
      <c r="R251" s="44" t="str">
        <f t="shared" si="74"/>
        <v/>
      </c>
      <c r="S251" s="242">
        <f t="shared" si="75"/>
        <v>0</v>
      </c>
      <c r="T251" s="42">
        <f t="shared" si="76"/>
        <v>0</v>
      </c>
      <c r="U251" s="42">
        <f t="shared" si="69"/>
        <v>0</v>
      </c>
      <c r="V251" s="36" t="e">
        <f t="shared" si="70"/>
        <v>#DIV/0!</v>
      </c>
      <c r="W251" s="36" t="e">
        <f t="shared" si="71"/>
        <v>#DIV/0!</v>
      </c>
      <c r="X251" s="62" t="e">
        <f t="shared" si="77"/>
        <v>#DIV/0!</v>
      </c>
    </row>
    <row r="252" spans="1:24">
      <c r="A252" s="26"/>
      <c r="B252" s="27"/>
      <c r="C252" s="27"/>
      <c r="D252" s="27"/>
      <c r="E252" s="27"/>
      <c r="F252" s="27"/>
      <c r="G252" s="27"/>
      <c r="H252" s="27"/>
      <c r="I252" s="27"/>
      <c r="J252" s="27"/>
      <c r="K252" s="133" t="str">
        <f t="shared" si="79"/>
        <v/>
      </c>
      <c r="L252" s="44" t="str">
        <f t="shared" si="72"/>
        <v/>
      </c>
      <c r="M252" s="44" t="str">
        <f t="shared" si="66"/>
        <v/>
      </c>
      <c r="N252" s="44" t="str">
        <f t="shared" si="73"/>
        <v/>
      </c>
      <c r="O252" s="44" t="str">
        <f t="shared" si="67"/>
        <v/>
      </c>
      <c r="P252" s="44" t="str">
        <f t="shared" si="78"/>
        <v/>
      </c>
      <c r="Q252" s="44" t="str">
        <f t="shared" si="68"/>
        <v/>
      </c>
      <c r="R252" s="44" t="str">
        <f t="shared" si="74"/>
        <v/>
      </c>
      <c r="S252" s="242">
        <f t="shared" si="75"/>
        <v>0</v>
      </c>
      <c r="T252" s="42">
        <f t="shared" si="76"/>
        <v>0</v>
      </c>
      <c r="U252" s="42">
        <f t="shared" si="69"/>
        <v>0</v>
      </c>
      <c r="V252" s="36" t="e">
        <f t="shared" si="70"/>
        <v>#DIV/0!</v>
      </c>
      <c r="W252" s="36" t="e">
        <f t="shared" si="71"/>
        <v>#DIV/0!</v>
      </c>
      <c r="X252" s="62" t="e">
        <f t="shared" si="77"/>
        <v>#DIV/0!</v>
      </c>
    </row>
    <row r="253" spans="1:24">
      <c r="A253" s="26"/>
      <c r="B253" s="27"/>
      <c r="C253" s="27"/>
      <c r="D253" s="27"/>
      <c r="E253" s="27"/>
      <c r="F253" s="27"/>
      <c r="G253" s="27"/>
      <c r="H253" s="27"/>
      <c r="I253" s="27"/>
      <c r="J253" s="27"/>
      <c r="K253" s="133" t="str">
        <f t="shared" si="79"/>
        <v/>
      </c>
      <c r="L253" s="44" t="str">
        <f t="shared" si="72"/>
        <v/>
      </c>
      <c r="M253" s="44" t="str">
        <f t="shared" si="66"/>
        <v/>
      </c>
      <c r="N253" s="44" t="str">
        <f t="shared" si="73"/>
        <v/>
      </c>
      <c r="O253" s="44" t="str">
        <f t="shared" si="67"/>
        <v/>
      </c>
      <c r="P253" s="44" t="str">
        <f t="shared" si="78"/>
        <v/>
      </c>
      <c r="Q253" s="44" t="str">
        <f t="shared" si="68"/>
        <v/>
      </c>
      <c r="R253" s="44" t="str">
        <f t="shared" si="74"/>
        <v/>
      </c>
      <c r="S253" s="242">
        <f t="shared" si="75"/>
        <v>0</v>
      </c>
      <c r="T253" s="42">
        <f t="shared" si="76"/>
        <v>0</v>
      </c>
      <c r="U253" s="42">
        <f t="shared" si="69"/>
        <v>0</v>
      </c>
      <c r="V253" s="36" t="e">
        <f t="shared" si="70"/>
        <v>#DIV/0!</v>
      </c>
      <c r="W253" s="36" t="e">
        <f t="shared" si="71"/>
        <v>#DIV/0!</v>
      </c>
      <c r="X253" s="62" t="e">
        <f t="shared" si="77"/>
        <v>#DIV/0!</v>
      </c>
    </row>
    <row r="254" spans="1:24">
      <c r="A254" s="26"/>
      <c r="B254" s="27"/>
      <c r="C254" s="27"/>
      <c r="D254" s="27"/>
      <c r="E254" s="27"/>
      <c r="F254" s="27"/>
      <c r="G254" s="27"/>
      <c r="H254" s="27"/>
      <c r="I254" s="27"/>
      <c r="J254" s="27"/>
      <c r="K254" s="133" t="str">
        <f t="shared" si="79"/>
        <v/>
      </c>
      <c r="L254" s="44" t="str">
        <f t="shared" si="72"/>
        <v/>
      </c>
      <c r="M254" s="44" t="str">
        <f t="shared" si="66"/>
        <v/>
      </c>
      <c r="N254" s="44" t="str">
        <f t="shared" si="73"/>
        <v/>
      </c>
      <c r="O254" s="44" t="str">
        <f t="shared" si="67"/>
        <v/>
      </c>
      <c r="P254" s="44" t="str">
        <f t="shared" si="78"/>
        <v/>
      </c>
      <c r="Q254" s="44" t="str">
        <f t="shared" si="68"/>
        <v/>
      </c>
      <c r="R254" s="44" t="str">
        <f t="shared" si="74"/>
        <v/>
      </c>
      <c r="S254" s="242">
        <f t="shared" si="75"/>
        <v>0</v>
      </c>
      <c r="T254" s="42">
        <f t="shared" si="76"/>
        <v>0</v>
      </c>
      <c r="U254" s="42">
        <f t="shared" si="69"/>
        <v>0</v>
      </c>
      <c r="V254" s="36" t="e">
        <f t="shared" si="70"/>
        <v>#DIV/0!</v>
      </c>
      <c r="W254" s="36" t="e">
        <f t="shared" si="71"/>
        <v>#DIV/0!</v>
      </c>
      <c r="X254" s="62" t="e">
        <f t="shared" si="77"/>
        <v>#DIV/0!</v>
      </c>
    </row>
    <row r="255" spans="1:24">
      <c r="A255" s="26"/>
      <c r="B255" s="27"/>
      <c r="C255" s="27"/>
      <c r="D255" s="27"/>
      <c r="E255" s="27"/>
      <c r="F255" s="27"/>
      <c r="G255" s="27"/>
      <c r="H255" s="27"/>
      <c r="I255" s="27"/>
      <c r="J255" s="27"/>
      <c r="K255" s="133" t="str">
        <f t="shared" si="79"/>
        <v/>
      </c>
      <c r="L255" s="44" t="str">
        <f t="shared" si="72"/>
        <v/>
      </c>
      <c r="M255" s="44" t="str">
        <f t="shared" si="66"/>
        <v/>
      </c>
      <c r="N255" s="44" t="str">
        <f t="shared" si="73"/>
        <v/>
      </c>
      <c r="O255" s="44" t="str">
        <f t="shared" si="67"/>
        <v/>
      </c>
      <c r="P255" s="44" t="str">
        <f t="shared" si="78"/>
        <v/>
      </c>
      <c r="Q255" s="44" t="str">
        <f t="shared" si="68"/>
        <v/>
      </c>
      <c r="R255" s="44" t="str">
        <f t="shared" si="74"/>
        <v/>
      </c>
      <c r="S255" s="242">
        <f t="shared" si="75"/>
        <v>0</v>
      </c>
      <c r="T255" s="42">
        <f t="shared" si="76"/>
        <v>0</v>
      </c>
      <c r="U255" s="42">
        <f t="shared" si="69"/>
        <v>0</v>
      </c>
      <c r="V255" s="36" t="e">
        <f t="shared" si="70"/>
        <v>#DIV/0!</v>
      </c>
      <c r="W255" s="36" t="e">
        <f t="shared" si="71"/>
        <v>#DIV/0!</v>
      </c>
      <c r="X255" s="62" t="e">
        <f t="shared" si="77"/>
        <v>#DIV/0!</v>
      </c>
    </row>
    <row r="256" spans="1:24">
      <c r="A256" s="26"/>
      <c r="B256" s="27"/>
      <c r="C256" s="27"/>
      <c r="D256" s="27"/>
      <c r="E256" s="27"/>
      <c r="F256" s="27"/>
      <c r="G256" s="27"/>
      <c r="H256" s="27"/>
      <c r="I256" s="27"/>
      <c r="J256" s="27"/>
      <c r="K256" s="133" t="str">
        <f t="shared" si="79"/>
        <v/>
      </c>
      <c r="L256" s="44" t="str">
        <f t="shared" si="72"/>
        <v/>
      </c>
      <c r="M256" s="44" t="str">
        <f t="shared" si="66"/>
        <v/>
      </c>
      <c r="N256" s="44" t="str">
        <f t="shared" si="73"/>
        <v/>
      </c>
      <c r="O256" s="44" t="str">
        <f t="shared" si="67"/>
        <v/>
      </c>
      <c r="P256" s="44" t="str">
        <f t="shared" si="78"/>
        <v/>
      </c>
      <c r="Q256" s="44" t="str">
        <f t="shared" si="68"/>
        <v/>
      </c>
      <c r="R256" s="44" t="str">
        <f t="shared" si="74"/>
        <v/>
      </c>
      <c r="S256" s="242">
        <f t="shared" si="75"/>
        <v>0</v>
      </c>
      <c r="T256" s="42">
        <f t="shared" si="76"/>
        <v>0</v>
      </c>
      <c r="U256" s="42">
        <f t="shared" si="69"/>
        <v>0</v>
      </c>
      <c r="V256" s="36" t="e">
        <f t="shared" si="70"/>
        <v>#DIV/0!</v>
      </c>
      <c r="W256" s="36" t="e">
        <f t="shared" si="71"/>
        <v>#DIV/0!</v>
      </c>
      <c r="X256" s="62" t="e">
        <f t="shared" si="77"/>
        <v>#DIV/0!</v>
      </c>
    </row>
    <row r="257" spans="1:24">
      <c r="A257" s="26"/>
      <c r="B257" s="27"/>
      <c r="C257" s="27"/>
      <c r="D257" s="27"/>
      <c r="E257" s="27"/>
      <c r="F257" s="27"/>
      <c r="G257" s="27"/>
      <c r="H257" s="27"/>
      <c r="I257" s="27"/>
      <c r="J257" s="27"/>
      <c r="K257" s="133" t="str">
        <f t="shared" si="79"/>
        <v/>
      </c>
      <c r="L257" s="44" t="str">
        <f t="shared" si="72"/>
        <v/>
      </c>
      <c r="M257" s="44" t="str">
        <f t="shared" si="66"/>
        <v/>
      </c>
      <c r="N257" s="44" t="str">
        <f t="shared" si="73"/>
        <v/>
      </c>
      <c r="O257" s="44" t="str">
        <f t="shared" si="67"/>
        <v/>
      </c>
      <c r="P257" s="44" t="str">
        <f t="shared" si="78"/>
        <v/>
      </c>
      <c r="Q257" s="44" t="str">
        <f t="shared" si="68"/>
        <v/>
      </c>
      <c r="R257" s="44" t="str">
        <f t="shared" si="74"/>
        <v/>
      </c>
      <c r="S257" s="242">
        <f t="shared" si="75"/>
        <v>0</v>
      </c>
      <c r="T257" s="42">
        <f t="shared" si="76"/>
        <v>0</v>
      </c>
      <c r="U257" s="42">
        <f t="shared" si="69"/>
        <v>0</v>
      </c>
      <c r="V257" s="36" t="e">
        <f t="shared" si="70"/>
        <v>#DIV/0!</v>
      </c>
      <c r="W257" s="36" t="e">
        <f t="shared" si="71"/>
        <v>#DIV/0!</v>
      </c>
      <c r="X257" s="62" t="e">
        <f t="shared" si="77"/>
        <v>#DIV/0!</v>
      </c>
    </row>
    <row r="258" spans="1:24">
      <c r="A258" s="26"/>
      <c r="B258" s="27"/>
      <c r="C258" s="27"/>
      <c r="D258" s="27"/>
      <c r="E258" s="27"/>
      <c r="F258" s="27"/>
      <c r="G258" s="27"/>
      <c r="H258" s="27"/>
      <c r="I258" s="27"/>
      <c r="J258" s="27"/>
      <c r="K258" s="133" t="str">
        <f t="shared" si="79"/>
        <v/>
      </c>
      <c r="L258" s="44" t="str">
        <f t="shared" si="72"/>
        <v/>
      </c>
      <c r="M258" s="44" t="str">
        <f t="shared" si="66"/>
        <v/>
      </c>
      <c r="N258" s="44" t="str">
        <f t="shared" si="73"/>
        <v/>
      </c>
      <c r="O258" s="44" t="str">
        <f t="shared" si="67"/>
        <v/>
      </c>
      <c r="P258" s="44" t="str">
        <f t="shared" si="78"/>
        <v/>
      </c>
      <c r="Q258" s="44" t="str">
        <f t="shared" si="68"/>
        <v/>
      </c>
      <c r="R258" s="44" t="str">
        <f t="shared" si="74"/>
        <v/>
      </c>
      <c r="S258" s="242">
        <f t="shared" si="75"/>
        <v>0</v>
      </c>
      <c r="T258" s="42">
        <f t="shared" si="76"/>
        <v>0</v>
      </c>
      <c r="U258" s="42">
        <f t="shared" si="69"/>
        <v>0</v>
      </c>
      <c r="V258" s="36" t="e">
        <f t="shared" si="70"/>
        <v>#DIV/0!</v>
      </c>
      <c r="W258" s="36" t="e">
        <f t="shared" si="71"/>
        <v>#DIV/0!</v>
      </c>
      <c r="X258" s="62" t="e">
        <f t="shared" si="77"/>
        <v>#DIV/0!</v>
      </c>
    </row>
    <row r="259" spans="1:24">
      <c r="A259" s="26"/>
      <c r="B259" s="27"/>
      <c r="C259" s="27"/>
      <c r="D259" s="27"/>
      <c r="E259" s="27"/>
      <c r="F259" s="27"/>
      <c r="G259" s="27"/>
      <c r="H259" s="27"/>
      <c r="I259" s="27"/>
      <c r="J259" s="27"/>
      <c r="K259" s="133" t="str">
        <f t="shared" si="79"/>
        <v/>
      </c>
      <c r="L259" s="44" t="str">
        <f t="shared" si="72"/>
        <v/>
      </c>
      <c r="M259" s="44" t="str">
        <f t="shared" si="66"/>
        <v/>
      </c>
      <c r="N259" s="44" t="str">
        <f t="shared" si="73"/>
        <v/>
      </c>
      <c r="O259" s="44" t="str">
        <f t="shared" si="67"/>
        <v/>
      </c>
      <c r="P259" s="44" t="str">
        <f t="shared" si="78"/>
        <v/>
      </c>
      <c r="Q259" s="44" t="str">
        <f t="shared" si="68"/>
        <v/>
      </c>
      <c r="R259" s="44" t="str">
        <f t="shared" si="74"/>
        <v/>
      </c>
      <c r="S259" s="242">
        <f t="shared" si="75"/>
        <v>0</v>
      </c>
      <c r="T259" s="42">
        <f t="shared" si="76"/>
        <v>0</v>
      </c>
      <c r="U259" s="42">
        <f t="shared" si="69"/>
        <v>0</v>
      </c>
      <c r="V259" s="36" t="e">
        <f t="shared" si="70"/>
        <v>#DIV/0!</v>
      </c>
      <c r="W259" s="36" t="e">
        <f t="shared" si="71"/>
        <v>#DIV/0!</v>
      </c>
      <c r="X259" s="62" t="e">
        <f t="shared" si="77"/>
        <v>#DIV/0!</v>
      </c>
    </row>
    <row r="260" spans="1:24">
      <c r="A260" s="26"/>
      <c r="B260" s="27"/>
      <c r="C260" s="27"/>
      <c r="D260" s="27"/>
      <c r="E260" s="27"/>
      <c r="F260" s="27"/>
      <c r="G260" s="27"/>
      <c r="H260" s="27"/>
      <c r="I260" s="27"/>
      <c r="J260" s="27"/>
      <c r="K260" s="133" t="str">
        <f t="shared" si="79"/>
        <v/>
      </c>
      <c r="L260" s="44" t="str">
        <f t="shared" si="72"/>
        <v/>
      </c>
      <c r="M260" s="44" t="str">
        <f t="shared" ref="M260:M323" si="80">IF(E260="","",VLOOKUP(E260,成本单价,8,0))</f>
        <v/>
      </c>
      <c r="N260" s="44" t="str">
        <f t="shared" si="73"/>
        <v/>
      </c>
      <c r="O260" s="44" t="str">
        <f t="shared" ref="O260:O323" si="81">IF(G260="","",VLOOKUP(G260,成本单价,8,0))</f>
        <v/>
      </c>
      <c r="P260" s="44" t="str">
        <f t="shared" si="78"/>
        <v/>
      </c>
      <c r="Q260" s="44" t="str">
        <f t="shared" ref="Q260:Q323" si="82">IF(I260="","",VLOOKUP(I260,成本单价,8,0))</f>
        <v/>
      </c>
      <c r="R260" s="44" t="str">
        <f t="shared" si="74"/>
        <v/>
      </c>
      <c r="S260" s="242">
        <f t="shared" si="75"/>
        <v>0</v>
      </c>
      <c r="T260" s="42">
        <f t="shared" si="76"/>
        <v>0</v>
      </c>
      <c r="U260" s="42">
        <f t="shared" ref="U260:U323" si="83">T260*(1+物料比)</f>
        <v>0</v>
      </c>
      <c r="V260" s="36" t="e">
        <f t="shared" ref="V260:V323" si="84">U260/B260</f>
        <v>#DIV/0!</v>
      </c>
      <c r="W260" s="36" t="e">
        <f t="shared" ref="W260:W323" si="85">D260/B260+F260/B260+H260/B260+J260/B260</f>
        <v>#DIV/0!</v>
      </c>
      <c r="X260" s="62" t="e">
        <f t="shared" si="77"/>
        <v>#DIV/0!</v>
      </c>
    </row>
    <row r="261" spans="1:24">
      <c r="A261" s="26"/>
      <c r="B261" s="27"/>
      <c r="C261" s="27"/>
      <c r="D261" s="27"/>
      <c r="E261" s="27"/>
      <c r="F261" s="27"/>
      <c r="G261" s="27"/>
      <c r="H261" s="27"/>
      <c r="I261" s="27"/>
      <c r="J261" s="27"/>
      <c r="K261" s="133" t="str">
        <f t="shared" si="79"/>
        <v/>
      </c>
      <c r="L261" s="44" t="str">
        <f t="shared" ref="L261:L324" si="86">IFERROR(D261*K261,"")</f>
        <v/>
      </c>
      <c r="M261" s="44" t="str">
        <f t="shared" si="80"/>
        <v/>
      </c>
      <c r="N261" s="44" t="str">
        <f t="shared" ref="N261:N324" si="87">IFERROR(F261*M261,"")</f>
        <v/>
      </c>
      <c r="O261" s="44" t="str">
        <f t="shared" si="81"/>
        <v/>
      </c>
      <c r="P261" s="44" t="str">
        <f t="shared" si="78"/>
        <v/>
      </c>
      <c r="Q261" s="44" t="str">
        <f t="shared" si="82"/>
        <v/>
      </c>
      <c r="R261" s="44" t="str">
        <f t="shared" ref="R261:R324" si="88">IFERROR(J261*Q261,"")</f>
        <v/>
      </c>
      <c r="S261" s="242">
        <f t="shared" ref="S261:S324" si="89">B261*0.2</f>
        <v>0</v>
      </c>
      <c r="T261" s="42">
        <f t="shared" ref="T261:T324" si="90">IFERROR(SUM(L261,N261,P261,R261,S261),"")</f>
        <v>0</v>
      </c>
      <c r="U261" s="42">
        <f t="shared" si="83"/>
        <v>0</v>
      </c>
      <c r="V261" s="36" t="e">
        <f t="shared" si="84"/>
        <v>#DIV/0!</v>
      </c>
      <c r="W261" s="36" t="e">
        <f t="shared" si="85"/>
        <v>#DIV/0!</v>
      </c>
      <c r="X261" s="62" t="e">
        <f t="shared" ref="X261:X324" si="91">ROUNDUP(V261*(1+小吃毛利),1)</f>
        <v>#DIV/0!</v>
      </c>
    </row>
    <row r="262" spans="1:24">
      <c r="A262" s="26"/>
      <c r="B262" s="27"/>
      <c r="C262" s="27"/>
      <c r="D262" s="27"/>
      <c r="E262" s="27"/>
      <c r="F262" s="27"/>
      <c r="G262" s="27"/>
      <c r="H262" s="27"/>
      <c r="I262" s="27"/>
      <c r="J262" s="27"/>
      <c r="K262" s="133" t="str">
        <f t="shared" si="79"/>
        <v/>
      </c>
      <c r="L262" s="44" t="str">
        <f t="shared" si="86"/>
        <v/>
      </c>
      <c r="M262" s="44" t="str">
        <f t="shared" si="80"/>
        <v/>
      </c>
      <c r="N262" s="44" t="str">
        <f t="shared" si="87"/>
        <v/>
      </c>
      <c r="O262" s="44" t="str">
        <f t="shared" si="81"/>
        <v/>
      </c>
      <c r="P262" s="44" t="str">
        <f t="shared" ref="P262:P325" si="92">IFERROR(H262*O262,"")</f>
        <v/>
      </c>
      <c r="Q262" s="44" t="str">
        <f t="shared" si="82"/>
        <v/>
      </c>
      <c r="R262" s="44" t="str">
        <f t="shared" si="88"/>
        <v/>
      </c>
      <c r="S262" s="242">
        <f t="shared" si="89"/>
        <v>0</v>
      </c>
      <c r="T262" s="42">
        <f t="shared" si="90"/>
        <v>0</v>
      </c>
      <c r="U262" s="42">
        <f t="shared" si="83"/>
        <v>0</v>
      </c>
      <c r="V262" s="36" t="e">
        <f t="shared" si="84"/>
        <v>#DIV/0!</v>
      </c>
      <c r="W262" s="36" t="e">
        <f t="shared" si="85"/>
        <v>#DIV/0!</v>
      </c>
      <c r="X262" s="62" t="e">
        <f t="shared" si="91"/>
        <v>#DIV/0!</v>
      </c>
    </row>
    <row r="263" spans="1:24">
      <c r="A263" s="26"/>
      <c r="B263" s="27"/>
      <c r="C263" s="27"/>
      <c r="D263" s="27"/>
      <c r="E263" s="27"/>
      <c r="F263" s="27"/>
      <c r="G263" s="27"/>
      <c r="H263" s="27"/>
      <c r="I263" s="27"/>
      <c r="J263" s="27"/>
      <c r="K263" s="133" t="str">
        <f t="shared" si="79"/>
        <v/>
      </c>
      <c r="L263" s="44" t="str">
        <f t="shared" si="86"/>
        <v/>
      </c>
      <c r="M263" s="44" t="str">
        <f t="shared" si="80"/>
        <v/>
      </c>
      <c r="N263" s="44" t="str">
        <f t="shared" si="87"/>
        <v/>
      </c>
      <c r="O263" s="44" t="str">
        <f t="shared" si="81"/>
        <v/>
      </c>
      <c r="P263" s="44" t="str">
        <f t="shared" si="92"/>
        <v/>
      </c>
      <c r="Q263" s="44" t="str">
        <f t="shared" si="82"/>
        <v/>
      </c>
      <c r="R263" s="44" t="str">
        <f t="shared" si="88"/>
        <v/>
      </c>
      <c r="S263" s="242">
        <f t="shared" si="89"/>
        <v>0</v>
      </c>
      <c r="T263" s="42">
        <f t="shared" si="90"/>
        <v>0</v>
      </c>
      <c r="U263" s="42">
        <f t="shared" si="83"/>
        <v>0</v>
      </c>
      <c r="V263" s="36" t="e">
        <f t="shared" si="84"/>
        <v>#DIV/0!</v>
      </c>
      <c r="W263" s="36" t="e">
        <f t="shared" si="85"/>
        <v>#DIV/0!</v>
      </c>
      <c r="X263" s="62" t="e">
        <f t="shared" si="91"/>
        <v>#DIV/0!</v>
      </c>
    </row>
    <row r="264" spans="1:24">
      <c r="A264" s="26"/>
      <c r="B264" s="27"/>
      <c r="C264" s="27"/>
      <c r="D264" s="27"/>
      <c r="E264" s="27"/>
      <c r="F264" s="27"/>
      <c r="G264" s="27"/>
      <c r="H264" s="27"/>
      <c r="I264" s="27"/>
      <c r="J264" s="27"/>
      <c r="K264" s="133" t="str">
        <f t="shared" si="79"/>
        <v/>
      </c>
      <c r="L264" s="44" t="str">
        <f t="shared" si="86"/>
        <v/>
      </c>
      <c r="M264" s="44" t="str">
        <f t="shared" si="80"/>
        <v/>
      </c>
      <c r="N264" s="44" t="str">
        <f t="shared" si="87"/>
        <v/>
      </c>
      <c r="O264" s="44" t="str">
        <f t="shared" si="81"/>
        <v/>
      </c>
      <c r="P264" s="44" t="str">
        <f t="shared" si="92"/>
        <v/>
      </c>
      <c r="Q264" s="44" t="str">
        <f t="shared" si="82"/>
        <v/>
      </c>
      <c r="R264" s="44" t="str">
        <f t="shared" si="88"/>
        <v/>
      </c>
      <c r="S264" s="242">
        <f t="shared" si="89"/>
        <v>0</v>
      </c>
      <c r="T264" s="42">
        <f t="shared" si="90"/>
        <v>0</v>
      </c>
      <c r="U264" s="42">
        <f t="shared" si="83"/>
        <v>0</v>
      </c>
      <c r="V264" s="36" t="e">
        <f t="shared" si="84"/>
        <v>#DIV/0!</v>
      </c>
      <c r="W264" s="36" t="e">
        <f t="shared" si="85"/>
        <v>#DIV/0!</v>
      </c>
      <c r="X264" s="62" t="e">
        <f t="shared" si="91"/>
        <v>#DIV/0!</v>
      </c>
    </row>
    <row r="265" spans="1:24">
      <c r="A265" s="26"/>
      <c r="B265" s="27"/>
      <c r="C265" s="27"/>
      <c r="D265" s="27"/>
      <c r="E265" s="27"/>
      <c r="F265" s="27"/>
      <c r="G265" s="27"/>
      <c r="H265" s="27"/>
      <c r="I265" s="27"/>
      <c r="J265" s="27"/>
      <c r="K265" s="133" t="str">
        <f t="shared" si="79"/>
        <v/>
      </c>
      <c r="L265" s="44" t="str">
        <f t="shared" si="86"/>
        <v/>
      </c>
      <c r="M265" s="44" t="str">
        <f t="shared" si="80"/>
        <v/>
      </c>
      <c r="N265" s="44" t="str">
        <f t="shared" si="87"/>
        <v/>
      </c>
      <c r="O265" s="44" t="str">
        <f t="shared" si="81"/>
        <v/>
      </c>
      <c r="P265" s="44" t="str">
        <f t="shared" si="92"/>
        <v/>
      </c>
      <c r="Q265" s="44" t="str">
        <f t="shared" si="82"/>
        <v/>
      </c>
      <c r="R265" s="44" t="str">
        <f t="shared" si="88"/>
        <v/>
      </c>
      <c r="S265" s="242">
        <f t="shared" si="89"/>
        <v>0</v>
      </c>
      <c r="T265" s="42">
        <f t="shared" si="90"/>
        <v>0</v>
      </c>
      <c r="U265" s="42">
        <f t="shared" si="83"/>
        <v>0</v>
      </c>
      <c r="V265" s="36" t="e">
        <f t="shared" si="84"/>
        <v>#DIV/0!</v>
      </c>
      <c r="W265" s="36" t="e">
        <f t="shared" si="85"/>
        <v>#DIV/0!</v>
      </c>
      <c r="X265" s="62" t="e">
        <f t="shared" si="91"/>
        <v>#DIV/0!</v>
      </c>
    </row>
    <row r="266" spans="1:24">
      <c r="A266" s="26"/>
      <c r="B266" s="27"/>
      <c r="C266" s="27"/>
      <c r="D266" s="27"/>
      <c r="E266" s="27"/>
      <c r="F266" s="27"/>
      <c r="G266" s="27"/>
      <c r="H266" s="27"/>
      <c r="I266" s="27"/>
      <c r="J266" s="27"/>
      <c r="K266" s="133" t="str">
        <f t="shared" si="79"/>
        <v/>
      </c>
      <c r="L266" s="44" t="str">
        <f t="shared" si="86"/>
        <v/>
      </c>
      <c r="M266" s="44" t="str">
        <f t="shared" si="80"/>
        <v/>
      </c>
      <c r="N266" s="44" t="str">
        <f t="shared" si="87"/>
        <v/>
      </c>
      <c r="O266" s="44" t="str">
        <f t="shared" si="81"/>
        <v/>
      </c>
      <c r="P266" s="44" t="str">
        <f t="shared" si="92"/>
        <v/>
      </c>
      <c r="Q266" s="44" t="str">
        <f t="shared" si="82"/>
        <v/>
      </c>
      <c r="R266" s="44" t="str">
        <f t="shared" si="88"/>
        <v/>
      </c>
      <c r="S266" s="242">
        <f t="shared" si="89"/>
        <v>0</v>
      </c>
      <c r="T266" s="42">
        <f t="shared" si="90"/>
        <v>0</v>
      </c>
      <c r="U266" s="42">
        <f t="shared" si="83"/>
        <v>0</v>
      </c>
      <c r="V266" s="36" t="e">
        <f t="shared" si="84"/>
        <v>#DIV/0!</v>
      </c>
      <c r="W266" s="36" t="e">
        <f t="shared" si="85"/>
        <v>#DIV/0!</v>
      </c>
      <c r="X266" s="62" t="e">
        <f t="shared" si="91"/>
        <v>#DIV/0!</v>
      </c>
    </row>
    <row r="267" spans="1:24">
      <c r="A267" s="26"/>
      <c r="B267" s="27"/>
      <c r="C267" s="27"/>
      <c r="D267" s="27"/>
      <c r="E267" s="27"/>
      <c r="F267" s="27"/>
      <c r="G267" s="27"/>
      <c r="H267" s="27"/>
      <c r="I267" s="27"/>
      <c r="J267" s="27"/>
      <c r="K267" s="133" t="str">
        <f t="shared" si="79"/>
        <v/>
      </c>
      <c r="L267" s="44" t="str">
        <f t="shared" si="86"/>
        <v/>
      </c>
      <c r="M267" s="44" t="str">
        <f t="shared" si="80"/>
        <v/>
      </c>
      <c r="N267" s="44" t="str">
        <f t="shared" si="87"/>
        <v/>
      </c>
      <c r="O267" s="44" t="str">
        <f t="shared" si="81"/>
        <v/>
      </c>
      <c r="P267" s="44" t="str">
        <f t="shared" si="92"/>
        <v/>
      </c>
      <c r="Q267" s="44" t="str">
        <f t="shared" si="82"/>
        <v/>
      </c>
      <c r="R267" s="44" t="str">
        <f t="shared" si="88"/>
        <v/>
      </c>
      <c r="S267" s="242">
        <f t="shared" si="89"/>
        <v>0</v>
      </c>
      <c r="T267" s="42">
        <f t="shared" si="90"/>
        <v>0</v>
      </c>
      <c r="U267" s="42">
        <f t="shared" si="83"/>
        <v>0</v>
      </c>
      <c r="V267" s="36" t="e">
        <f t="shared" si="84"/>
        <v>#DIV/0!</v>
      </c>
      <c r="W267" s="36" t="e">
        <f t="shared" si="85"/>
        <v>#DIV/0!</v>
      </c>
      <c r="X267" s="62" t="e">
        <f t="shared" si="91"/>
        <v>#DIV/0!</v>
      </c>
    </row>
    <row r="268" spans="1:24">
      <c r="A268" s="26"/>
      <c r="B268" s="27"/>
      <c r="C268" s="27"/>
      <c r="D268" s="27"/>
      <c r="E268" s="27"/>
      <c r="F268" s="27"/>
      <c r="G268" s="27"/>
      <c r="H268" s="27"/>
      <c r="I268" s="27"/>
      <c r="J268" s="27"/>
      <c r="K268" s="133" t="str">
        <f t="shared" si="79"/>
        <v/>
      </c>
      <c r="L268" s="44" t="str">
        <f t="shared" si="86"/>
        <v/>
      </c>
      <c r="M268" s="44" t="str">
        <f t="shared" si="80"/>
        <v/>
      </c>
      <c r="N268" s="44" t="str">
        <f t="shared" si="87"/>
        <v/>
      </c>
      <c r="O268" s="44" t="str">
        <f t="shared" si="81"/>
        <v/>
      </c>
      <c r="P268" s="44" t="str">
        <f t="shared" si="92"/>
        <v/>
      </c>
      <c r="Q268" s="44" t="str">
        <f t="shared" si="82"/>
        <v/>
      </c>
      <c r="R268" s="44" t="str">
        <f t="shared" si="88"/>
        <v/>
      </c>
      <c r="S268" s="242">
        <f t="shared" si="89"/>
        <v>0</v>
      </c>
      <c r="T268" s="42">
        <f t="shared" si="90"/>
        <v>0</v>
      </c>
      <c r="U268" s="42">
        <f t="shared" si="83"/>
        <v>0</v>
      </c>
      <c r="V268" s="36" t="e">
        <f t="shared" si="84"/>
        <v>#DIV/0!</v>
      </c>
      <c r="W268" s="36" t="e">
        <f t="shared" si="85"/>
        <v>#DIV/0!</v>
      </c>
      <c r="X268" s="62" t="e">
        <f t="shared" si="91"/>
        <v>#DIV/0!</v>
      </c>
    </row>
    <row r="269" spans="1:24">
      <c r="A269" s="26"/>
      <c r="B269" s="27"/>
      <c r="C269" s="27"/>
      <c r="D269" s="27"/>
      <c r="E269" s="27"/>
      <c r="F269" s="27"/>
      <c r="G269" s="27"/>
      <c r="H269" s="27"/>
      <c r="I269" s="27"/>
      <c r="J269" s="27"/>
      <c r="K269" s="133" t="str">
        <f t="shared" si="79"/>
        <v/>
      </c>
      <c r="L269" s="44" t="str">
        <f t="shared" si="86"/>
        <v/>
      </c>
      <c r="M269" s="44" t="str">
        <f t="shared" si="80"/>
        <v/>
      </c>
      <c r="N269" s="44" t="str">
        <f t="shared" si="87"/>
        <v/>
      </c>
      <c r="O269" s="44" t="str">
        <f t="shared" si="81"/>
        <v/>
      </c>
      <c r="P269" s="44" t="str">
        <f t="shared" si="92"/>
        <v/>
      </c>
      <c r="Q269" s="44" t="str">
        <f t="shared" si="82"/>
        <v/>
      </c>
      <c r="R269" s="44" t="str">
        <f t="shared" si="88"/>
        <v/>
      </c>
      <c r="S269" s="242">
        <f t="shared" si="89"/>
        <v>0</v>
      </c>
      <c r="T269" s="42">
        <f t="shared" si="90"/>
        <v>0</v>
      </c>
      <c r="U269" s="42">
        <f t="shared" si="83"/>
        <v>0</v>
      </c>
      <c r="V269" s="36" t="e">
        <f t="shared" si="84"/>
        <v>#DIV/0!</v>
      </c>
      <c r="W269" s="36" t="e">
        <f t="shared" si="85"/>
        <v>#DIV/0!</v>
      </c>
      <c r="X269" s="62" t="e">
        <f t="shared" si="91"/>
        <v>#DIV/0!</v>
      </c>
    </row>
    <row r="270" spans="1:24">
      <c r="A270" s="26"/>
      <c r="B270" s="27"/>
      <c r="C270" s="27"/>
      <c r="D270" s="27"/>
      <c r="E270" s="27"/>
      <c r="F270" s="27"/>
      <c r="G270" s="27"/>
      <c r="H270" s="27"/>
      <c r="I270" s="27"/>
      <c r="J270" s="27"/>
      <c r="K270" s="133" t="str">
        <f t="shared" si="79"/>
        <v/>
      </c>
      <c r="L270" s="44" t="str">
        <f t="shared" si="86"/>
        <v/>
      </c>
      <c r="M270" s="44" t="str">
        <f t="shared" si="80"/>
        <v/>
      </c>
      <c r="N270" s="44" t="str">
        <f t="shared" si="87"/>
        <v/>
      </c>
      <c r="O270" s="44" t="str">
        <f t="shared" si="81"/>
        <v/>
      </c>
      <c r="P270" s="44" t="str">
        <f t="shared" si="92"/>
        <v/>
      </c>
      <c r="Q270" s="44" t="str">
        <f t="shared" si="82"/>
        <v/>
      </c>
      <c r="R270" s="44" t="str">
        <f t="shared" si="88"/>
        <v/>
      </c>
      <c r="S270" s="242">
        <f t="shared" si="89"/>
        <v>0</v>
      </c>
      <c r="T270" s="42">
        <f t="shared" si="90"/>
        <v>0</v>
      </c>
      <c r="U270" s="42">
        <f t="shared" si="83"/>
        <v>0</v>
      </c>
      <c r="V270" s="36" t="e">
        <f t="shared" si="84"/>
        <v>#DIV/0!</v>
      </c>
      <c r="W270" s="36" t="e">
        <f t="shared" si="85"/>
        <v>#DIV/0!</v>
      </c>
      <c r="X270" s="62" t="e">
        <f t="shared" si="91"/>
        <v>#DIV/0!</v>
      </c>
    </row>
    <row r="271" spans="1:24">
      <c r="A271" s="26"/>
      <c r="B271" s="27"/>
      <c r="C271" s="27"/>
      <c r="D271" s="27"/>
      <c r="E271" s="27"/>
      <c r="F271" s="27"/>
      <c r="G271" s="27"/>
      <c r="H271" s="27"/>
      <c r="I271" s="27"/>
      <c r="J271" s="27"/>
      <c r="K271" s="133" t="str">
        <f t="shared" si="79"/>
        <v/>
      </c>
      <c r="L271" s="44" t="str">
        <f t="shared" si="86"/>
        <v/>
      </c>
      <c r="M271" s="44" t="str">
        <f t="shared" si="80"/>
        <v/>
      </c>
      <c r="N271" s="44" t="str">
        <f t="shared" si="87"/>
        <v/>
      </c>
      <c r="O271" s="44" t="str">
        <f t="shared" si="81"/>
        <v/>
      </c>
      <c r="P271" s="44" t="str">
        <f t="shared" si="92"/>
        <v/>
      </c>
      <c r="Q271" s="44" t="str">
        <f t="shared" si="82"/>
        <v/>
      </c>
      <c r="R271" s="44" t="str">
        <f t="shared" si="88"/>
        <v/>
      </c>
      <c r="S271" s="242">
        <f t="shared" si="89"/>
        <v>0</v>
      </c>
      <c r="T271" s="42">
        <f t="shared" si="90"/>
        <v>0</v>
      </c>
      <c r="U271" s="42">
        <f t="shared" si="83"/>
        <v>0</v>
      </c>
      <c r="V271" s="36" t="e">
        <f t="shared" si="84"/>
        <v>#DIV/0!</v>
      </c>
      <c r="W271" s="36" t="e">
        <f t="shared" si="85"/>
        <v>#DIV/0!</v>
      </c>
      <c r="X271" s="62" t="e">
        <f t="shared" si="91"/>
        <v>#DIV/0!</v>
      </c>
    </row>
    <row r="272" spans="1:24">
      <c r="A272" s="26"/>
      <c r="B272" s="27"/>
      <c r="C272" s="27"/>
      <c r="D272" s="27"/>
      <c r="E272" s="27"/>
      <c r="F272" s="27"/>
      <c r="G272" s="27"/>
      <c r="H272" s="27"/>
      <c r="I272" s="27"/>
      <c r="J272" s="27"/>
      <c r="K272" s="133" t="str">
        <f t="shared" si="79"/>
        <v/>
      </c>
      <c r="L272" s="44" t="str">
        <f t="shared" si="86"/>
        <v/>
      </c>
      <c r="M272" s="44" t="str">
        <f t="shared" si="80"/>
        <v/>
      </c>
      <c r="N272" s="44" t="str">
        <f t="shared" si="87"/>
        <v/>
      </c>
      <c r="O272" s="44" t="str">
        <f t="shared" si="81"/>
        <v/>
      </c>
      <c r="P272" s="44" t="str">
        <f t="shared" si="92"/>
        <v/>
      </c>
      <c r="Q272" s="44" t="str">
        <f t="shared" si="82"/>
        <v/>
      </c>
      <c r="R272" s="44" t="str">
        <f t="shared" si="88"/>
        <v/>
      </c>
      <c r="S272" s="242">
        <f t="shared" si="89"/>
        <v>0</v>
      </c>
      <c r="T272" s="42">
        <f t="shared" si="90"/>
        <v>0</v>
      </c>
      <c r="U272" s="42">
        <f t="shared" si="83"/>
        <v>0</v>
      </c>
      <c r="V272" s="36" t="e">
        <f t="shared" si="84"/>
        <v>#DIV/0!</v>
      </c>
      <c r="W272" s="36" t="e">
        <f t="shared" si="85"/>
        <v>#DIV/0!</v>
      </c>
      <c r="X272" s="62" t="e">
        <f t="shared" si="91"/>
        <v>#DIV/0!</v>
      </c>
    </row>
    <row r="273" spans="1:24">
      <c r="A273" s="26"/>
      <c r="B273" s="27"/>
      <c r="C273" s="27"/>
      <c r="D273" s="27"/>
      <c r="E273" s="27"/>
      <c r="F273" s="27"/>
      <c r="G273" s="27"/>
      <c r="H273" s="27"/>
      <c r="I273" s="27"/>
      <c r="J273" s="27"/>
      <c r="K273" s="133" t="str">
        <f t="shared" si="79"/>
        <v/>
      </c>
      <c r="L273" s="44" t="str">
        <f t="shared" si="86"/>
        <v/>
      </c>
      <c r="M273" s="44" t="str">
        <f t="shared" si="80"/>
        <v/>
      </c>
      <c r="N273" s="44" t="str">
        <f t="shared" si="87"/>
        <v/>
      </c>
      <c r="O273" s="44" t="str">
        <f t="shared" si="81"/>
        <v/>
      </c>
      <c r="P273" s="44" t="str">
        <f t="shared" si="92"/>
        <v/>
      </c>
      <c r="Q273" s="44" t="str">
        <f t="shared" si="82"/>
        <v/>
      </c>
      <c r="R273" s="44" t="str">
        <f t="shared" si="88"/>
        <v/>
      </c>
      <c r="S273" s="242">
        <f t="shared" si="89"/>
        <v>0</v>
      </c>
      <c r="T273" s="42">
        <f t="shared" si="90"/>
        <v>0</v>
      </c>
      <c r="U273" s="42">
        <f t="shared" si="83"/>
        <v>0</v>
      </c>
      <c r="V273" s="36" t="e">
        <f t="shared" si="84"/>
        <v>#DIV/0!</v>
      </c>
      <c r="W273" s="36" t="e">
        <f t="shared" si="85"/>
        <v>#DIV/0!</v>
      </c>
      <c r="X273" s="62" t="e">
        <f t="shared" si="91"/>
        <v>#DIV/0!</v>
      </c>
    </row>
    <row r="274" spans="1:24">
      <c r="A274" s="26"/>
      <c r="B274" s="27"/>
      <c r="C274" s="27"/>
      <c r="D274" s="27"/>
      <c r="E274" s="27"/>
      <c r="F274" s="27"/>
      <c r="G274" s="27"/>
      <c r="H274" s="27"/>
      <c r="I274" s="27"/>
      <c r="J274" s="27"/>
      <c r="K274" s="133" t="str">
        <f t="shared" si="79"/>
        <v/>
      </c>
      <c r="L274" s="44" t="str">
        <f t="shared" si="86"/>
        <v/>
      </c>
      <c r="M274" s="44" t="str">
        <f t="shared" si="80"/>
        <v/>
      </c>
      <c r="N274" s="44" t="str">
        <f t="shared" si="87"/>
        <v/>
      </c>
      <c r="O274" s="44" t="str">
        <f t="shared" si="81"/>
        <v/>
      </c>
      <c r="P274" s="44" t="str">
        <f t="shared" si="92"/>
        <v/>
      </c>
      <c r="Q274" s="44" t="str">
        <f t="shared" si="82"/>
        <v/>
      </c>
      <c r="R274" s="44" t="str">
        <f t="shared" si="88"/>
        <v/>
      </c>
      <c r="S274" s="242">
        <f t="shared" si="89"/>
        <v>0</v>
      </c>
      <c r="T274" s="42">
        <f t="shared" si="90"/>
        <v>0</v>
      </c>
      <c r="U274" s="42">
        <f t="shared" si="83"/>
        <v>0</v>
      </c>
      <c r="V274" s="36" t="e">
        <f t="shared" si="84"/>
        <v>#DIV/0!</v>
      </c>
      <c r="W274" s="36" t="e">
        <f t="shared" si="85"/>
        <v>#DIV/0!</v>
      </c>
      <c r="X274" s="62" t="e">
        <f t="shared" si="91"/>
        <v>#DIV/0!</v>
      </c>
    </row>
    <row r="275" spans="1:24">
      <c r="A275" s="26"/>
      <c r="B275" s="27"/>
      <c r="C275" s="27"/>
      <c r="D275" s="27"/>
      <c r="E275" s="27"/>
      <c r="F275" s="27"/>
      <c r="G275" s="27"/>
      <c r="H275" s="27"/>
      <c r="I275" s="27"/>
      <c r="J275" s="27"/>
      <c r="K275" s="133" t="str">
        <f t="shared" si="79"/>
        <v/>
      </c>
      <c r="L275" s="44" t="str">
        <f t="shared" si="86"/>
        <v/>
      </c>
      <c r="M275" s="44" t="str">
        <f t="shared" si="80"/>
        <v/>
      </c>
      <c r="N275" s="44" t="str">
        <f t="shared" si="87"/>
        <v/>
      </c>
      <c r="O275" s="44" t="str">
        <f t="shared" si="81"/>
        <v/>
      </c>
      <c r="P275" s="44" t="str">
        <f t="shared" si="92"/>
        <v/>
      </c>
      <c r="Q275" s="44" t="str">
        <f t="shared" si="82"/>
        <v/>
      </c>
      <c r="R275" s="44" t="str">
        <f t="shared" si="88"/>
        <v/>
      </c>
      <c r="S275" s="242">
        <f t="shared" si="89"/>
        <v>0</v>
      </c>
      <c r="T275" s="42">
        <f t="shared" si="90"/>
        <v>0</v>
      </c>
      <c r="U275" s="42">
        <f t="shared" si="83"/>
        <v>0</v>
      </c>
      <c r="V275" s="36" t="e">
        <f t="shared" si="84"/>
        <v>#DIV/0!</v>
      </c>
      <c r="W275" s="36" t="e">
        <f t="shared" si="85"/>
        <v>#DIV/0!</v>
      </c>
      <c r="X275" s="62" t="e">
        <f t="shared" si="91"/>
        <v>#DIV/0!</v>
      </c>
    </row>
    <row r="276" spans="1:24">
      <c r="A276" s="26"/>
      <c r="B276" s="27"/>
      <c r="C276" s="27"/>
      <c r="D276" s="27"/>
      <c r="E276" s="27"/>
      <c r="F276" s="27"/>
      <c r="G276" s="27"/>
      <c r="H276" s="27"/>
      <c r="I276" s="27"/>
      <c r="J276" s="27"/>
      <c r="K276" s="133" t="str">
        <f t="shared" si="79"/>
        <v/>
      </c>
      <c r="L276" s="44" t="str">
        <f t="shared" si="86"/>
        <v/>
      </c>
      <c r="M276" s="44" t="str">
        <f t="shared" si="80"/>
        <v/>
      </c>
      <c r="N276" s="44" t="str">
        <f t="shared" si="87"/>
        <v/>
      </c>
      <c r="O276" s="44" t="str">
        <f t="shared" si="81"/>
        <v/>
      </c>
      <c r="P276" s="44" t="str">
        <f t="shared" si="92"/>
        <v/>
      </c>
      <c r="Q276" s="44" t="str">
        <f t="shared" si="82"/>
        <v/>
      </c>
      <c r="R276" s="44" t="str">
        <f t="shared" si="88"/>
        <v/>
      </c>
      <c r="S276" s="242">
        <f t="shared" si="89"/>
        <v>0</v>
      </c>
      <c r="T276" s="42">
        <f t="shared" si="90"/>
        <v>0</v>
      </c>
      <c r="U276" s="42">
        <f t="shared" si="83"/>
        <v>0</v>
      </c>
      <c r="V276" s="36" t="e">
        <f t="shared" si="84"/>
        <v>#DIV/0!</v>
      </c>
      <c r="W276" s="36" t="e">
        <f t="shared" si="85"/>
        <v>#DIV/0!</v>
      </c>
      <c r="X276" s="62" t="e">
        <f t="shared" si="91"/>
        <v>#DIV/0!</v>
      </c>
    </row>
    <row r="277" spans="1:24">
      <c r="A277" s="26"/>
      <c r="B277" s="27"/>
      <c r="C277" s="27"/>
      <c r="D277" s="27"/>
      <c r="E277" s="27"/>
      <c r="F277" s="27"/>
      <c r="G277" s="27"/>
      <c r="H277" s="27"/>
      <c r="I277" s="27"/>
      <c r="J277" s="27"/>
      <c r="K277" s="133" t="str">
        <f t="shared" si="79"/>
        <v/>
      </c>
      <c r="L277" s="44" t="str">
        <f t="shared" si="86"/>
        <v/>
      </c>
      <c r="M277" s="44" t="str">
        <f t="shared" si="80"/>
        <v/>
      </c>
      <c r="N277" s="44" t="str">
        <f t="shared" si="87"/>
        <v/>
      </c>
      <c r="O277" s="44" t="str">
        <f t="shared" si="81"/>
        <v/>
      </c>
      <c r="P277" s="44" t="str">
        <f t="shared" si="92"/>
        <v/>
      </c>
      <c r="Q277" s="44" t="str">
        <f t="shared" si="82"/>
        <v/>
      </c>
      <c r="R277" s="44" t="str">
        <f t="shared" si="88"/>
        <v/>
      </c>
      <c r="S277" s="242">
        <f t="shared" si="89"/>
        <v>0</v>
      </c>
      <c r="T277" s="42">
        <f t="shared" si="90"/>
        <v>0</v>
      </c>
      <c r="U277" s="42">
        <f t="shared" si="83"/>
        <v>0</v>
      </c>
      <c r="V277" s="36" t="e">
        <f t="shared" si="84"/>
        <v>#DIV/0!</v>
      </c>
      <c r="W277" s="36" t="e">
        <f t="shared" si="85"/>
        <v>#DIV/0!</v>
      </c>
      <c r="X277" s="62" t="e">
        <f t="shared" si="91"/>
        <v>#DIV/0!</v>
      </c>
    </row>
    <row r="278" spans="1:24">
      <c r="A278" s="26"/>
      <c r="B278" s="27"/>
      <c r="C278" s="27"/>
      <c r="D278" s="27"/>
      <c r="E278" s="27"/>
      <c r="F278" s="27"/>
      <c r="G278" s="27"/>
      <c r="H278" s="27"/>
      <c r="I278" s="27"/>
      <c r="J278" s="27"/>
      <c r="K278" s="133" t="str">
        <f t="shared" si="79"/>
        <v/>
      </c>
      <c r="L278" s="44" t="str">
        <f t="shared" si="86"/>
        <v/>
      </c>
      <c r="M278" s="44" t="str">
        <f t="shared" si="80"/>
        <v/>
      </c>
      <c r="N278" s="44" t="str">
        <f t="shared" si="87"/>
        <v/>
      </c>
      <c r="O278" s="44" t="str">
        <f t="shared" si="81"/>
        <v/>
      </c>
      <c r="P278" s="44" t="str">
        <f t="shared" si="92"/>
        <v/>
      </c>
      <c r="Q278" s="44" t="str">
        <f t="shared" si="82"/>
        <v/>
      </c>
      <c r="R278" s="44" t="str">
        <f t="shared" si="88"/>
        <v/>
      </c>
      <c r="S278" s="242">
        <f t="shared" si="89"/>
        <v>0</v>
      </c>
      <c r="T278" s="42">
        <f t="shared" si="90"/>
        <v>0</v>
      </c>
      <c r="U278" s="42">
        <f t="shared" si="83"/>
        <v>0</v>
      </c>
      <c r="V278" s="36" t="e">
        <f t="shared" si="84"/>
        <v>#DIV/0!</v>
      </c>
      <c r="W278" s="36" t="e">
        <f t="shared" si="85"/>
        <v>#DIV/0!</v>
      </c>
      <c r="X278" s="62" t="e">
        <f t="shared" si="91"/>
        <v>#DIV/0!</v>
      </c>
    </row>
    <row r="279" spans="1:24">
      <c r="A279" s="26"/>
      <c r="B279" s="27"/>
      <c r="C279" s="27"/>
      <c r="D279" s="27"/>
      <c r="E279" s="27"/>
      <c r="F279" s="27"/>
      <c r="G279" s="27"/>
      <c r="H279" s="27"/>
      <c r="I279" s="27"/>
      <c r="J279" s="27"/>
      <c r="K279" s="133" t="str">
        <f t="shared" si="79"/>
        <v/>
      </c>
      <c r="L279" s="44" t="str">
        <f t="shared" si="86"/>
        <v/>
      </c>
      <c r="M279" s="44" t="str">
        <f t="shared" si="80"/>
        <v/>
      </c>
      <c r="N279" s="44" t="str">
        <f t="shared" si="87"/>
        <v/>
      </c>
      <c r="O279" s="44" t="str">
        <f t="shared" si="81"/>
        <v/>
      </c>
      <c r="P279" s="44" t="str">
        <f t="shared" si="92"/>
        <v/>
      </c>
      <c r="Q279" s="44" t="str">
        <f t="shared" si="82"/>
        <v/>
      </c>
      <c r="R279" s="44" t="str">
        <f t="shared" si="88"/>
        <v/>
      </c>
      <c r="S279" s="242">
        <f t="shared" si="89"/>
        <v>0</v>
      </c>
      <c r="T279" s="42">
        <f t="shared" si="90"/>
        <v>0</v>
      </c>
      <c r="U279" s="42">
        <f t="shared" si="83"/>
        <v>0</v>
      </c>
      <c r="V279" s="36" t="e">
        <f t="shared" si="84"/>
        <v>#DIV/0!</v>
      </c>
      <c r="W279" s="36" t="e">
        <f t="shared" si="85"/>
        <v>#DIV/0!</v>
      </c>
      <c r="X279" s="62" t="e">
        <f t="shared" si="91"/>
        <v>#DIV/0!</v>
      </c>
    </row>
    <row r="280" spans="1:24">
      <c r="A280" s="26"/>
      <c r="B280" s="27"/>
      <c r="C280" s="27"/>
      <c r="D280" s="27"/>
      <c r="E280" s="27"/>
      <c r="F280" s="27"/>
      <c r="G280" s="27"/>
      <c r="H280" s="27"/>
      <c r="I280" s="27"/>
      <c r="J280" s="27"/>
      <c r="K280" s="133" t="str">
        <f t="shared" si="79"/>
        <v/>
      </c>
      <c r="L280" s="44" t="str">
        <f t="shared" si="86"/>
        <v/>
      </c>
      <c r="M280" s="44" t="str">
        <f t="shared" si="80"/>
        <v/>
      </c>
      <c r="N280" s="44" t="str">
        <f t="shared" si="87"/>
        <v/>
      </c>
      <c r="O280" s="44" t="str">
        <f t="shared" si="81"/>
        <v/>
      </c>
      <c r="P280" s="44" t="str">
        <f t="shared" si="92"/>
        <v/>
      </c>
      <c r="Q280" s="44" t="str">
        <f t="shared" si="82"/>
        <v/>
      </c>
      <c r="R280" s="44" t="str">
        <f t="shared" si="88"/>
        <v/>
      </c>
      <c r="S280" s="242">
        <f t="shared" si="89"/>
        <v>0</v>
      </c>
      <c r="T280" s="42">
        <f t="shared" si="90"/>
        <v>0</v>
      </c>
      <c r="U280" s="42">
        <f t="shared" si="83"/>
        <v>0</v>
      </c>
      <c r="V280" s="36" t="e">
        <f t="shared" si="84"/>
        <v>#DIV/0!</v>
      </c>
      <c r="W280" s="36" t="e">
        <f t="shared" si="85"/>
        <v>#DIV/0!</v>
      </c>
      <c r="X280" s="62" t="e">
        <f t="shared" si="91"/>
        <v>#DIV/0!</v>
      </c>
    </row>
    <row r="281" spans="1:24">
      <c r="A281" s="26"/>
      <c r="B281" s="27"/>
      <c r="C281" s="27"/>
      <c r="D281" s="27"/>
      <c r="E281" s="27"/>
      <c r="F281" s="27"/>
      <c r="G281" s="27"/>
      <c r="H281" s="27"/>
      <c r="I281" s="27"/>
      <c r="J281" s="27"/>
      <c r="K281" s="133" t="str">
        <f t="shared" si="79"/>
        <v/>
      </c>
      <c r="L281" s="44" t="str">
        <f t="shared" si="86"/>
        <v/>
      </c>
      <c r="M281" s="44" t="str">
        <f t="shared" si="80"/>
        <v/>
      </c>
      <c r="N281" s="44" t="str">
        <f t="shared" si="87"/>
        <v/>
      </c>
      <c r="O281" s="44" t="str">
        <f t="shared" si="81"/>
        <v/>
      </c>
      <c r="P281" s="44" t="str">
        <f t="shared" si="92"/>
        <v/>
      </c>
      <c r="Q281" s="44" t="str">
        <f t="shared" si="82"/>
        <v/>
      </c>
      <c r="R281" s="44" t="str">
        <f t="shared" si="88"/>
        <v/>
      </c>
      <c r="S281" s="242">
        <f t="shared" si="89"/>
        <v>0</v>
      </c>
      <c r="T281" s="42">
        <f t="shared" si="90"/>
        <v>0</v>
      </c>
      <c r="U281" s="42">
        <f t="shared" si="83"/>
        <v>0</v>
      </c>
      <c r="V281" s="36" t="e">
        <f t="shared" si="84"/>
        <v>#DIV/0!</v>
      </c>
      <c r="W281" s="36" t="e">
        <f t="shared" si="85"/>
        <v>#DIV/0!</v>
      </c>
      <c r="X281" s="62" t="e">
        <f t="shared" si="91"/>
        <v>#DIV/0!</v>
      </c>
    </row>
    <row r="282" spans="1:24">
      <c r="A282" s="26"/>
      <c r="B282" s="27"/>
      <c r="C282" s="27"/>
      <c r="D282" s="27"/>
      <c r="E282" s="27"/>
      <c r="F282" s="27"/>
      <c r="G282" s="27"/>
      <c r="H282" s="27"/>
      <c r="I282" s="27"/>
      <c r="J282" s="27"/>
      <c r="K282" s="133" t="str">
        <f t="shared" si="79"/>
        <v/>
      </c>
      <c r="L282" s="44" t="str">
        <f t="shared" si="86"/>
        <v/>
      </c>
      <c r="M282" s="44" t="str">
        <f t="shared" si="80"/>
        <v/>
      </c>
      <c r="N282" s="44" t="str">
        <f t="shared" si="87"/>
        <v/>
      </c>
      <c r="O282" s="44" t="str">
        <f t="shared" si="81"/>
        <v/>
      </c>
      <c r="P282" s="44" t="str">
        <f t="shared" si="92"/>
        <v/>
      </c>
      <c r="Q282" s="44" t="str">
        <f t="shared" si="82"/>
        <v/>
      </c>
      <c r="R282" s="44" t="str">
        <f t="shared" si="88"/>
        <v/>
      </c>
      <c r="S282" s="242">
        <f t="shared" si="89"/>
        <v>0</v>
      </c>
      <c r="T282" s="42">
        <f t="shared" si="90"/>
        <v>0</v>
      </c>
      <c r="U282" s="42">
        <f t="shared" si="83"/>
        <v>0</v>
      </c>
      <c r="V282" s="36" t="e">
        <f t="shared" si="84"/>
        <v>#DIV/0!</v>
      </c>
      <c r="W282" s="36" t="e">
        <f t="shared" si="85"/>
        <v>#DIV/0!</v>
      </c>
      <c r="X282" s="62" t="e">
        <f t="shared" si="91"/>
        <v>#DIV/0!</v>
      </c>
    </row>
    <row r="283" spans="1:24">
      <c r="A283" s="26"/>
      <c r="B283" s="27"/>
      <c r="C283" s="27"/>
      <c r="D283" s="27"/>
      <c r="E283" s="27"/>
      <c r="F283" s="27"/>
      <c r="G283" s="27"/>
      <c r="H283" s="27"/>
      <c r="I283" s="27"/>
      <c r="J283" s="27"/>
      <c r="K283" s="133" t="str">
        <f t="shared" si="79"/>
        <v/>
      </c>
      <c r="L283" s="44" t="str">
        <f t="shared" si="86"/>
        <v/>
      </c>
      <c r="M283" s="44" t="str">
        <f t="shared" si="80"/>
        <v/>
      </c>
      <c r="N283" s="44" t="str">
        <f t="shared" si="87"/>
        <v/>
      </c>
      <c r="O283" s="44" t="str">
        <f t="shared" si="81"/>
        <v/>
      </c>
      <c r="P283" s="44" t="str">
        <f t="shared" si="92"/>
        <v/>
      </c>
      <c r="Q283" s="44" t="str">
        <f t="shared" si="82"/>
        <v/>
      </c>
      <c r="R283" s="44" t="str">
        <f t="shared" si="88"/>
        <v/>
      </c>
      <c r="S283" s="242">
        <f t="shared" si="89"/>
        <v>0</v>
      </c>
      <c r="T283" s="42">
        <f t="shared" si="90"/>
        <v>0</v>
      </c>
      <c r="U283" s="42">
        <f t="shared" si="83"/>
        <v>0</v>
      </c>
      <c r="V283" s="36" t="e">
        <f t="shared" si="84"/>
        <v>#DIV/0!</v>
      </c>
      <c r="W283" s="36" t="e">
        <f t="shared" si="85"/>
        <v>#DIV/0!</v>
      </c>
      <c r="X283" s="62" t="e">
        <f t="shared" si="91"/>
        <v>#DIV/0!</v>
      </c>
    </row>
    <row r="284" spans="1:24">
      <c r="A284" s="26"/>
      <c r="B284" s="27"/>
      <c r="C284" s="27"/>
      <c r="D284" s="27"/>
      <c r="E284" s="27"/>
      <c r="F284" s="27"/>
      <c r="G284" s="27"/>
      <c r="H284" s="27"/>
      <c r="I284" s="27"/>
      <c r="J284" s="27"/>
      <c r="K284" s="133" t="str">
        <f t="shared" si="79"/>
        <v/>
      </c>
      <c r="L284" s="44" t="str">
        <f t="shared" si="86"/>
        <v/>
      </c>
      <c r="M284" s="44" t="str">
        <f t="shared" si="80"/>
        <v/>
      </c>
      <c r="N284" s="44" t="str">
        <f t="shared" si="87"/>
        <v/>
      </c>
      <c r="O284" s="44" t="str">
        <f t="shared" si="81"/>
        <v/>
      </c>
      <c r="P284" s="44" t="str">
        <f t="shared" si="92"/>
        <v/>
      </c>
      <c r="Q284" s="44" t="str">
        <f t="shared" si="82"/>
        <v/>
      </c>
      <c r="R284" s="44" t="str">
        <f t="shared" si="88"/>
        <v/>
      </c>
      <c r="S284" s="242">
        <f t="shared" si="89"/>
        <v>0</v>
      </c>
      <c r="T284" s="42">
        <f t="shared" si="90"/>
        <v>0</v>
      </c>
      <c r="U284" s="42">
        <f t="shared" si="83"/>
        <v>0</v>
      </c>
      <c r="V284" s="36" t="e">
        <f t="shared" si="84"/>
        <v>#DIV/0!</v>
      </c>
      <c r="W284" s="36" t="e">
        <f t="shared" si="85"/>
        <v>#DIV/0!</v>
      </c>
      <c r="X284" s="62" t="e">
        <f t="shared" si="91"/>
        <v>#DIV/0!</v>
      </c>
    </row>
    <row r="285" spans="1:24">
      <c r="A285" s="26"/>
      <c r="B285" s="27"/>
      <c r="C285" s="27"/>
      <c r="D285" s="27"/>
      <c r="E285" s="27"/>
      <c r="F285" s="27"/>
      <c r="G285" s="27"/>
      <c r="H285" s="27"/>
      <c r="I285" s="27"/>
      <c r="J285" s="27"/>
      <c r="K285" s="133" t="str">
        <f t="shared" si="79"/>
        <v/>
      </c>
      <c r="L285" s="44" t="str">
        <f t="shared" si="86"/>
        <v/>
      </c>
      <c r="M285" s="44" t="str">
        <f t="shared" si="80"/>
        <v/>
      </c>
      <c r="N285" s="44" t="str">
        <f t="shared" si="87"/>
        <v/>
      </c>
      <c r="O285" s="44" t="str">
        <f t="shared" si="81"/>
        <v/>
      </c>
      <c r="P285" s="44" t="str">
        <f t="shared" si="92"/>
        <v/>
      </c>
      <c r="Q285" s="44" t="str">
        <f t="shared" si="82"/>
        <v/>
      </c>
      <c r="R285" s="44" t="str">
        <f t="shared" si="88"/>
        <v/>
      </c>
      <c r="S285" s="242">
        <f t="shared" si="89"/>
        <v>0</v>
      </c>
      <c r="T285" s="42">
        <f t="shared" si="90"/>
        <v>0</v>
      </c>
      <c r="U285" s="42">
        <f t="shared" si="83"/>
        <v>0</v>
      </c>
      <c r="V285" s="36" t="e">
        <f t="shared" si="84"/>
        <v>#DIV/0!</v>
      </c>
      <c r="W285" s="36" t="e">
        <f t="shared" si="85"/>
        <v>#DIV/0!</v>
      </c>
      <c r="X285" s="62" t="e">
        <f t="shared" si="91"/>
        <v>#DIV/0!</v>
      </c>
    </row>
    <row r="286" spans="1:24">
      <c r="A286" s="26"/>
      <c r="B286" s="27"/>
      <c r="C286" s="27"/>
      <c r="D286" s="27"/>
      <c r="E286" s="27"/>
      <c r="F286" s="27"/>
      <c r="G286" s="27"/>
      <c r="H286" s="27"/>
      <c r="I286" s="27"/>
      <c r="J286" s="27"/>
      <c r="K286" s="133" t="str">
        <f t="shared" si="79"/>
        <v/>
      </c>
      <c r="L286" s="44" t="str">
        <f t="shared" si="86"/>
        <v/>
      </c>
      <c r="M286" s="44" t="str">
        <f t="shared" si="80"/>
        <v/>
      </c>
      <c r="N286" s="44" t="str">
        <f t="shared" si="87"/>
        <v/>
      </c>
      <c r="O286" s="44" t="str">
        <f t="shared" si="81"/>
        <v/>
      </c>
      <c r="P286" s="44" t="str">
        <f t="shared" si="92"/>
        <v/>
      </c>
      <c r="Q286" s="44" t="str">
        <f t="shared" si="82"/>
        <v/>
      </c>
      <c r="R286" s="44" t="str">
        <f t="shared" si="88"/>
        <v/>
      </c>
      <c r="S286" s="242">
        <f t="shared" si="89"/>
        <v>0</v>
      </c>
      <c r="T286" s="42">
        <f t="shared" si="90"/>
        <v>0</v>
      </c>
      <c r="U286" s="42">
        <f t="shared" si="83"/>
        <v>0</v>
      </c>
      <c r="V286" s="36" t="e">
        <f t="shared" si="84"/>
        <v>#DIV/0!</v>
      </c>
      <c r="W286" s="36" t="e">
        <f t="shared" si="85"/>
        <v>#DIV/0!</v>
      </c>
      <c r="X286" s="62" t="e">
        <f t="shared" si="91"/>
        <v>#DIV/0!</v>
      </c>
    </row>
    <row r="287" spans="1:24">
      <c r="A287" s="26"/>
      <c r="B287" s="27"/>
      <c r="C287" s="27"/>
      <c r="D287" s="27"/>
      <c r="E287" s="27"/>
      <c r="F287" s="27"/>
      <c r="G287" s="27"/>
      <c r="H287" s="27"/>
      <c r="I287" s="27"/>
      <c r="J287" s="27"/>
      <c r="K287" s="133" t="str">
        <f t="shared" si="79"/>
        <v/>
      </c>
      <c r="L287" s="44" t="str">
        <f t="shared" si="86"/>
        <v/>
      </c>
      <c r="M287" s="44" t="str">
        <f t="shared" si="80"/>
        <v/>
      </c>
      <c r="N287" s="44" t="str">
        <f t="shared" si="87"/>
        <v/>
      </c>
      <c r="O287" s="44" t="str">
        <f t="shared" si="81"/>
        <v/>
      </c>
      <c r="P287" s="44" t="str">
        <f t="shared" si="92"/>
        <v/>
      </c>
      <c r="Q287" s="44" t="str">
        <f t="shared" si="82"/>
        <v/>
      </c>
      <c r="R287" s="44" t="str">
        <f t="shared" si="88"/>
        <v/>
      </c>
      <c r="S287" s="242">
        <f t="shared" si="89"/>
        <v>0</v>
      </c>
      <c r="T287" s="42">
        <f t="shared" si="90"/>
        <v>0</v>
      </c>
      <c r="U287" s="42">
        <f t="shared" si="83"/>
        <v>0</v>
      </c>
      <c r="V287" s="36" t="e">
        <f t="shared" si="84"/>
        <v>#DIV/0!</v>
      </c>
      <c r="W287" s="36" t="e">
        <f t="shared" si="85"/>
        <v>#DIV/0!</v>
      </c>
      <c r="X287" s="62" t="e">
        <f t="shared" si="91"/>
        <v>#DIV/0!</v>
      </c>
    </row>
    <row r="288" spans="1:24">
      <c r="A288" s="26"/>
      <c r="B288" s="27"/>
      <c r="C288" s="27"/>
      <c r="D288" s="27"/>
      <c r="E288" s="27"/>
      <c r="F288" s="27"/>
      <c r="G288" s="27"/>
      <c r="H288" s="27"/>
      <c r="I288" s="27"/>
      <c r="J288" s="27"/>
      <c r="K288" s="133" t="str">
        <f t="shared" si="79"/>
        <v/>
      </c>
      <c r="L288" s="44" t="str">
        <f t="shared" si="86"/>
        <v/>
      </c>
      <c r="M288" s="44" t="str">
        <f t="shared" si="80"/>
        <v/>
      </c>
      <c r="N288" s="44" t="str">
        <f t="shared" si="87"/>
        <v/>
      </c>
      <c r="O288" s="44" t="str">
        <f t="shared" si="81"/>
        <v/>
      </c>
      <c r="P288" s="44" t="str">
        <f t="shared" si="92"/>
        <v/>
      </c>
      <c r="Q288" s="44" t="str">
        <f t="shared" si="82"/>
        <v/>
      </c>
      <c r="R288" s="44" t="str">
        <f t="shared" si="88"/>
        <v/>
      </c>
      <c r="S288" s="242">
        <f t="shared" si="89"/>
        <v>0</v>
      </c>
      <c r="T288" s="42">
        <f t="shared" si="90"/>
        <v>0</v>
      </c>
      <c r="U288" s="42">
        <f t="shared" si="83"/>
        <v>0</v>
      </c>
      <c r="V288" s="36" t="e">
        <f t="shared" si="84"/>
        <v>#DIV/0!</v>
      </c>
      <c r="W288" s="36" t="e">
        <f t="shared" si="85"/>
        <v>#DIV/0!</v>
      </c>
      <c r="X288" s="62" t="e">
        <f t="shared" si="91"/>
        <v>#DIV/0!</v>
      </c>
    </row>
    <row r="289" spans="1:24">
      <c r="A289" s="26"/>
      <c r="B289" s="27"/>
      <c r="C289" s="27"/>
      <c r="D289" s="27"/>
      <c r="E289" s="27"/>
      <c r="F289" s="27"/>
      <c r="G289" s="27"/>
      <c r="H289" s="27"/>
      <c r="I289" s="27"/>
      <c r="J289" s="27"/>
      <c r="K289" s="133" t="str">
        <f t="shared" si="79"/>
        <v/>
      </c>
      <c r="L289" s="44" t="str">
        <f t="shared" si="86"/>
        <v/>
      </c>
      <c r="M289" s="44" t="str">
        <f t="shared" si="80"/>
        <v/>
      </c>
      <c r="N289" s="44" t="str">
        <f t="shared" si="87"/>
        <v/>
      </c>
      <c r="O289" s="44" t="str">
        <f t="shared" si="81"/>
        <v/>
      </c>
      <c r="P289" s="44" t="str">
        <f t="shared" si="92"/>
        <v/>
      </c>
      <c r="Q289" s="44" t="str">
        <f t="shared" si="82"/>
        <v/>
      </c>
      <c r="R289" s="44" t="str">
        <f t="shared" si="88"/>
        <v/>
      </c>
      <c r="S289" s="242">
        <f t="shared" si="89"/>
        <v>0</v>
      </c>
      <c r="T289" s="42">
        <f t="shared" si="90"/>
        <v>0</v>
      </c>
      <c r="U289" s="42">
        <f t="shared" si="83"/>
        <v>0</v>
      </c>
      <c r="V289" s="36" t="e">
        <f t="shared" si="84"/>
        <v>#DIV/0!</v>
      </c>
      <c r="W289" s="36" t="e">
        <f t="shared" si="85"/>
        <v>#DIV/0!</v>
      </c>
      <c r="X289" s="62" t="e">
        <f t="shared" si="91"/>
        <v>#DIV/0!</v>
      </c>
    </row>
    <row r="290" spans="1:24">
      <c r="A290" s="26"/>
      <c r="B290" s="27"/>
      <c r="C290" s="27"/>
      <c r="D290" s="27"/>
      <c r="E290" s="27"/>
      <c r="F290" s="27"/>
      <c r="G290" s="27"/>
      <c r="H290" s="27"/>
      <c r="I290" s="27"/>
      <c r="J290" s="27"/>
      <c r="K290" s="133" t="str">
        <f t="shared" si="79"/>
        <v/>
      </c>
      <c r="L290" s="44" t="str">
        <f t="shared" si="86"/>
        <v/>
      </c>
      <c r="M290" s="44" t="str">
        <f t="shared" si="80"/>
        <v/>
      </c>
      <c r="N290" s="44" t="str">
        <f t="shared" si="87"/>
        <v/>
      </c>
      <c r="O290" s="44" t="str">
        <f t="shared" si="81"/>
        <v/>
      </c>
      <c r="P290" s="44" t="str">
        <f t="shared" si="92"/>
        <v/>
      </c>
      <c r="Q290" s="44" t="str">
        <f t="shared" si="82"/>
        <v/>
      </c>
      <c r="R290" s="44" t="str">
        <f t="shared" si="88"/>
        <v/>
      </c>
      <c r="S290" s="242">
        <f t="shared" si="89"/>
        <v>0</v>
      </c>
      <c r="T290" s="42">
        <f t="shared" si="90"/>
        <v>0</v>
      </c>
      <c r="U290" s="42">
        <f t="shared" si="83"/>
        <v>0</v>
      </c>
      <c r="V290" s="36" t="e">
        <f t="shared" si="84"/>
        <v>#DIV/0!</v>
      </c>
      <c r="W290" s="36" t="e">
        <f t="shared" si="85"/>
        <v>#DIV/0!</v>
      </c>
      <c r="X290" s="62" t="e">
        <f t="shared" si="91"/>
        <v>#DIV/0!</v>
      </c>
    </row>
    <row r="291" spans="1:24">
      <c r="A291" s="26"/>
      <c r="B291" s="27"/>
      <c r="C291" s="27"/>
      <c r="D291" s="27"/>
      <c r="E291" s="27"/>
      <c r="F291" s="27"/>
      <c r="G291" s="27"/>
      <c r="H291" s="27"/>
      <c r="I291" s="27"/>
      <c r="J291" s="27"/>
      <c r="K291" s="133" t="str">
        <f t="shared" si="79"/>
        <v/>
      </c>
      <c r="L291" s="44" t="str">
        <f t="shared" si="86"/>
        <v/>
      </c>
      <c r="M291" s="44" t="str">
        <f t="shared" si="80"/>
        <v/>
      </c>
      <c r="N291" s="44" t="str">
        <f t="shared" si="87"/>
        <v/>
      </c>
      <c r="O291" s="44" t="str">
        <f t="shared" si="81"/>
        <v/>
      </c>
      <c r="P291" s="44" t="str">
        <f t="shared" si="92"/>
        <v/>
      </c>
      <c r="Q291" s="44" t="str">
        <f t="shared" si="82"/>
        <v/>
      </c>
      <c r="R291" s="44" t="str">
        <f t="shared" si="88"/>
        <v/>
      </c>
      <c r="S291" s="242">
        <f t="shared" si="89"/>
        <v>0</v>
      </c>
      <c r="T291" s="42">
        <f t="shared" si="90"/>
        <v>0</v>
      </c>
      <c r="U291" s="42">
        <f t="shared" si="83"/>
        <v>0</v>
      </c>
      <c r="V291" s="36" t="e">
        <f t="shared" si="84"/>
        <v>#DIV/0!</v>
      </c>
      <c r="W291" s="36" t="e">
        <f t="shared" si="85"/>
        <v>#DIV/0!</v>
      </c>
      <c r="X291" s="62" t="e">
        <f t="shared" si="91"/>
        <v>#DIV/0!</v>
      </c>
    </row>
    <row r="292" spans="1:24">
      <c r="A292" s="26"/>
      <c r="B292" s="27"/>
      <c r="C292" s="27"/>
      <c r="D292" s="27"/>
      <c r="E292" s="27"/>
      <c r="F292" s="27"/>
      <c r="G292" s="27"/>
      <c r="H292" s="27"/>
      <c r="I292" s="27"/>
      <c r="J292" s="27"/>
      <c r="K292" s="133" t="str">
        <f t="shared" si="79"/>
        <v/>
      </c>
      <c r="L292" s="44" t="str">
        <f t="shared" si="86"/>
        <v/>
      </c>
      <c r="M292" s="44" t="str">
        <f t="shared" si="80"/>
        <v/>
      </c>
      <c r="N292" s="44" t="str">
        <f t="shared" si="87"/>
        <v/>
      </c>
      <c r="O292" s="44" t="str">
        <f t="shared" si="81"/>
        <v/>
      </c>
      <c r="P292" s="44" t="str">
        <f t="shared" si="92"/>
        <v/>
      </c>
      <c r="Q292" s="44" t="str">
        <f t="shared" si="82"/>
        <v/>
      </c>
      <c r="R292" s="44" t="str">
        <f t="shared" si="88"/>
        <v/>
      </c>
      <c r="S292" s="242">
        <f t="shared" si="89"/>
        <v>0</v>
      </c>
      <c r="T292" s="42">
        <f t="shared" si="90"/>
        <v>0</v>
      </c>
      <c r="U292" s="42">
        <f t="shared" si="83"/>
        <v>0</v>
      </c>
      <c r="V292" s="36" t="e">
        <f t="shared" si="84"/>
        <v>#DIV/0!</v>
      </c>
      <c r="W292" s="36" t="e">
        <f t="shared" si="85"/>
        <v>#DIV/0!</v>
      </c>
      <c r="X292" s="62" t="e">
        <f t="shared" si="91"/>
        <v>#DIV/0!</v>
      </c>
    </row>
    <row r="293" spans="1:24">
      <c r="A293" s="26"/>
      <c r="B293" s="27"/>
      <c r="C293" s="27"/>
      <c r="D293" s="27"/>
      <c r="E293" s="27"/>
      <c r="F293" s="27"/>
      <c r="G293" s="27"/>
      <c r="H293" s="27"/>
      <c r="I293" s="27"/>
      <c r="J293" s="27"/>
      <c r="K293" s="133" t="str">
        <f t="shared" si="79"/>
        <v/>
      </c>
      <c r="L293" s="44" t="str">
        <f t="shared" si="86"/>
        <v/>
      </c>
      <c r="M293" s="44" t="str">
        <f t="shared" si="80"/>
        <v/>
      </c>
      <c r="N293" s="44" t="str">
        <f t="shared" si="87"/>
        <v/>
      </c>
      <c r="O293" s="44" t="str">
        <f t="shared" si="81"/>
        <v/>
      </c>
      <c r="P293" s="44" t="str">
        <f t="shared" si="92"/>
        <v/>
      </c>
      <c r="Q293" s="44" t="str">
        <f t="shared" si="82"/>
        <v/>
      </c>
      <c r="R293" s="44" t="str">
        <f t="shared" si="88"/>
        <v/>
      </c>
      <c r="S293" s="242">
        <f t="shared" si="89"/>
        <v>0</v>
      </c>
      <c r="T293" s="42">
        <f t="shared" si="90"/>
        <v>0</v>
      </c>
      <c r="U293" s="42">
        <f t="shared" si="83"/>
        <v>0</v>
      </c>
      <c r="V293" s="36" t="e">
        <f t="shared" si="84"/>
        <v>#DIV/0!</v>
      </c>
      <c r="W293" s="36" t="e">
        <f t="shared" si="85"/>
        <v>#DIV/0!</v>
      </c>
      <c r="X293" s="62" t="e">
        <f t="shared" si="91"/>
        <v>#DIV/0!</v>
      </c>
    </row>
    <row r="294" spans="1:24">
      <c r="A294" s="26"/>
      <c r="B294" s="27"/>
      <c r="C294" s="27"/>
      <c r="D294" s="27"/>
      <c r="E294" s="27"/>
      <c r="F294" s="27"/>
      <c r="G294" s="27"/>
      <c r="H294" s="27"/>
      <c r="I294" s="27"/>
      <c r="J294" s="27"/>
      <c r="K294" s="133" t="str">
        <f t="shared" si="79"/>
        <v/>
      </c>
      <c r="L294" s="44" t="str">
        <f t="shared" si="86"/>
        <v/>
      </c>
      <c r="M294" s="44" t="str">
        <f t="shared" si="80"/>
        <v/>
      </c>
      <c r="N294" s="44" t="str">
        <f t="shared" si="87"/>
        <v/>
      </c>
      <c r="O294" s="44" t="str">
        <f t="shared" si="81"/>
        <v/>
      </c>
      <c r="P294" s="44" t="str">
        <f t="shared" si="92"/>
        <v/>
      </c>
      <c r="Q294" s="44" t="str">
        <f t="shared" si="82"/>
        <v/>
      </c>
      <c r="R294" s="44" t="str">
        <f t="shared" si="88"/>
        <v/>
      </c>
      <c r="S294" s="242">
        <f t="shared" si="89"/>
        <v>0</v>
      </c>
      <c r="T294" s="42">
        <f t="shared" si="90"/>
        <v>0</v>
      </c>
      <c r="U294" s="42">
        <f t="shared" si="83"/>
        <v>0</v>
      </c>
      <c r="V294" s="36" t="e">
        <f t="shared" si="84"/>
        <v>#DIV/0!</v>
      </c>
      <c r="W294" s="36" t="e">
        <f t="shared" si="85"/>
        <v>#DIV/0!</v>
      </c>
      <c r="X294" s="62" t="e">
        <f t="shared" si="91"/>
        <v>#DIV/0!</v>
      </c>
    </row>
    <row r="295" spans="1:24">
      <c r="A295" s="26"/>
      <c r="B295" s="27"/>
      <c r="C295" s="27"/>
      <c r="D295" s="27"/>
      <c r="E295" s="27"/>
      <c r="F295" s="27"/>
      <c r="G295" s="27"/>
      <c r="H295" s="27"/>
      <c r="I295" s="27"/>
      <c r="J295" s="27"/>
      <c r="K295" s="133" t="str">
        <f t="shared" si="79"/>
        <v/>
      </c>
      <c r="L295" s="44" t="str">
        <f t="shared" si="86"/>
        <v/>
      </c>
      <c r="M295" s="44" t="str">
        <f t="shared" si="80"/>
        <v/>
      </c>
      <c r="N295" s="44" t="str">
        <f t="shared" si="87"/>
        <v/>
      </c>
      <c r="O295" s="44" t="str">
        <f t="shared" si="81"/>
        <v/>
      </c>
      <c r="P295" s="44" t="str">
        <f t="shared" si="92"/>
        <v/>
      </c>
      <c r="Q295" s="44" t="str">
        <f t="shared" si="82"/>
        <v/>
      </c>
      <c r="R295" s="44" t="str">
        <f t="shared" si="88"/>
        <v/>
      </c>
      <c r="S295" s="242">
        <f t="shared" si="89"/>
        <v>0</v>
      </c>
      <c r="T295" s="42">
        <f t="shared" si="90"/>
        <v>0</v>
      </c>
      <c r="U295" s="42">
        <f t="shared" si="83"/>
        <v>0</v>
      </c>
      <c r="V295" s="36" t="e">
        <f t="shared" si="84"/>
        <v>#DIV/0!</v>
      </c>
      <c r="W295" s="36" t="e">
        <f t="shared" si="85"/>
        <v>#DIV/0!</v>
      </c>
      <c r="X295" s="62" t="e">
        <f t="shared" si="91"/>
        <v>#DIV/0!</v>
      </c>
    </row>
    <row r="296" spans="1:24">
      <c r="A296" s="26"/>
      <c r="B296" s="27"/>
      <c r="C296" s="27"/>
      <c r="D296" s="27"/>
      <c r="E296" s="27"/>
      <c r="F296" s="27"/>
      <c r="G296" s="27"/>
      <c r="H296" s="27"/>
      <c r="I296" s="27"/>
      <c r="J296" s="27"/>
      <c r="K296" s="133" t="str">
        <f t="shared" si="79"/>
        <v/>
      </c>
      <c r="L296" s="44" t="str">
        <f t="shared" si="86"/>
        <v/>
      </c>
      <c r="M296" s="44" t="str">
        <f t="shared" si="80"/>
        <v/>
      </c>
      <c r="N296" s="44" t="str">
        <f t="shared" si="87"/>
        <v/>
      </c>
      <c r="O296" s="44" t="str">
        <f t="shared" si="81"/>
        <v/>
      </c>
      <c r="P296" s="44" t="str">
        <f t="shared" si="92"/>
        <v/>
      </c>
      <c r="Q296" s="44" t="str">
        <f t="shared" si="82"/>
        <v/>
      </c>
      <c r="R296" s="44" t="str">
        <f t="shared" si="88"/>
        <v/>
      </c>
      <c r="S296" s="242">
        <f t="shared" si="89"/>
        <v>0</v>
      </c>
      <c r="T296" s="42">
        <f t="shared" si="90"/>
        <v>0</v>
      </c>
      <c r="U296" s="42">
        <f t="shared" si="83"/>
        <v>0</v>
      </c>
      <c r="V296" s="36" t="e">
        <f t="shared" si="84"/>
        <v>#DIV/0!</v>
      </c>
      <c r="W296" s="36" t="e">
        <f t="shared" si="85"/>
        <v>#DIV/0!</v>
      </c>
      <c r="X296" s="62" t="e">
        <f t="shared" si="91"/>
        <v>#DIV/0!</v>
      </c>
    </row>
    <row r="297" spans="1:24">
      <c r="A297" s="26"/>
      <c r="B297" s="27"/>
      <c r="C297" s="27"/>
      <c r="D297" s="27"/>
      <c r="E297" s="27"/>
      <c r="F297" s="27"/>
      <c r="G297" s="27"/>
      <c r="H297" s="27"/>
      <c r="I297" s="27"/>
      <c r="J297" s="27"/>
      <c r="K297" s="133" t="str">
        <f t="shared" si="79"/>
        <v/>
      </c>
      <c r="L297" s="44" t="str">
        <f t="shared" si="86"/>
        <v/>
      </c>
      <c r="M297" s="44" t="str">
        <f t="shared" si="80"/>
        <v/>
      </c>
      <c r="N297" s="44" t="str">
        <f t="shared" si="87"/>
        <v/>
      </c>
      <c r="O297" s="44" t="str">
        <f t="shared" si="81"/>
        <v/>
      </c>
      <c r="P297" s="44" t="str">
        <f t="shared" si="92"/>
        <v/>
      </c>
      <c r="Q297" s="44" t="str">
        <f t="shared" si="82"/>
        <v/>
      </c>
      <c r="R297" s="44" t="str">
        <f t="shared" si="88"/>
        <v/>
      </c>
      <c r="S297" s="242">
        <f t="shared" si="89"/>
        <v>0</v>
      </c>
      <c r="T297" s="42">
        <f t="shared" si="90"/>
        <v>0</v>
      </c>
      <c r="U297" s="42">
        <f t="shared" si="83"/>
        <v>0</v>
      </c>
      <c r="V297" s="36" t="e">
        <f t="shared" si="84"/>
        <v>#DIV/0!</v>
      </c>
      <c r="W297" s="36" t="e">
        <f t="shared" si="85"/>
        <v>#DIV/0!</v>
      </c>
      <c r="X297" s="62" t="e">
        <f t="shared" si="91"/>
        <v>#DIV/0!</v>
      </c>
    </row>
    <row r="298" spans="1:24">
      <c r="A298" s="26"/>
      <c r="B298" s="27"/>
      <c r="C298" s="27"/>
      <c r="D298" s="27"/>
      <c r="E298" s="27"/>
      <c r="F298" s="27"/>
      <c r="G298" s="27"/>
      <c r="H298" s="27"/>
      <c r="I298" s="27"/>
      <c r="J298" s="27"/>
      <c r="K298" s="133" t="str">
        <f t="shared" si="79"/>
        <v/>
      </c>
      <c r="L298" s="44" t="str">
        <f t="shared" si="86"/>
        <v/>
      </c>
      <c r="M298" s="44" t="str">
        <f t="shared" si="80"/>
        <v/>
      </c>
      <c r="N298" s="44" t="str">
        <f t="shared" si="87"/>
        <v/>
      </c>
      <c r="O298" s="44" t="str">
        <f t="shared" si="81"/>
        <v/>
      </c>
      <c r="P298" s="44" t="str">
        <f t="shared" si="92"/>
        <v/>
      </c>
      <c r="Q298" s="44" t="str">
        <f t="shared" si="82"/>
        <v/>
      </c>
      <c r="R298" s="44" t="str">
        <f t="shared" si="88"/>
        <v/>
      </c>
      <c r="S298" s="242">
        <f t="shared" si="89"/>
        <v>0</v>
      </c>
      <c r="T298" s="42">
        <f t="shared" si="90"/>
        <v>0</v>
      </c>
      <c r="U298" s="42">
        <f t="shared" si="83"/>
        <v>0</v>
      </c>
      <c r="V298" s="36" t="e">
        <f t="shared" si="84"/>
        <v>#DIV/0!</v>
      </c>
      <c r="W298" s="36" t="e">
        <f t="shared" si="85"/>
        <v>#DIV/0!</v>
      </c>
      <c r="X298" s="62" t="e">
        <f t="shared" si="91"/>
        <v>#DIV/0!</v>
      </c>
    </row>
    <row r="299" spans="1:24">
      <c r="A299" s="26"/>
      <c r="B299" s="27"/>
      <c r="C299" s="27"/>
      <c r="D299" s="27"/>
      <c r="E299" s="27"/>
      <c r="F299" s="27"/>
      <c r="G299" s="27"/>
      <c r="H299" s="27"/>
      <c r="I299" s="27"/>
      <c r="J299" s="27"/>
      <c r="K299" s="133" t="str">
        <f t="shared" si="79"/>
        <v/>
      </c>
      <c r="L299" s="44" t="str">
        <f t="shared" si="86"/>
        <v/>
      </c>
      <c r="M299" s="44" t="str">
        <f t="shared" si="80"/>
        <v/>
      </c>
      <c r="N299" s="44" t="str">
        <f t="shared" si="87"/>
        <v/>
      </c>
      <c r="O299" s="44" t="str">
        <f t="shared" si="81"/>
        <v/>
      </c>
      <c r="P299" s="44" t="str">
        <f t="shared" si="92"/>
        <v/>
      </c>
      <c r="Q299" s="44" t="str">
        <f t="shared" si="82"/>
        <v/>
      </c>
      <c r="R299" s="44" t="str">
        <f t="shared" si="88"/>
        <v/>
      </c>
      <c r="S299" s="242">
        <f t="shared" si="89"/>
        <v>0</v>
      </c>
      <c r="T299" s="42">
        <f t="shared" si="90"/>
        <v>0</v>
      </c>
      <c r="U299" s="42">
        <f t="shared" si="83"/>
        <v>0</v>
      </c>
      <c r="V299" s="36" t="e">
        <f t="shared" si="84"/>
        <v>#DIV/0!</v>
      </c>
      <c r="W299" s="36" t="e">
        <f t="shared" si="85"/>
        <v>#DIV/0!</v>
      </c>
      <c r="X299" s="62" t="e">
        <f t="shared" si="91"/>
        <v>#DIV/0!</v>
      </c>
    </row>
    <row r="300" spans="1:24">
      <c r="A300" s="26"/>
      <c r="B300" s="27"/>
      <c r="C300" s="27"/>
      <c r="D300" s="27"/>
      <c r="E300" s="27"/>
      <c r="F300" s="27"/>
      <c r="G300" s="27"/>
      <c r="H300" s="27"/>
      <c r="I300" s="27"/>
      <c r="J300" s="27"/>
      <c r="K300" s="133" t="str">
        <f t="shared" si="79"/>
        <v/>
      </c>
      <c r="L300" s="44" t="str">
        <f t="shared" si="86"/>
        <v/>
      </c>
      <c r="M300" s="44" t="str">
        <f t="shared" si="80"/>
        <v/>
      </c>
      <c r="N300" s="44" t="str">
        <f t="shared" si="87"/>
        <v/>
      </c>
      <c r="O300" s="44" t="str">
        <f t="shared" si="81"/>
        <v/>
      </c>
      <c r="P300" s="44" t="str">
        <f t="shared" si="92"/>
        <v/>
      </c>
      <c r="Q300" s="44" t="str">
        <f t="shared" si="82"/>
        <v/>
      </c>
      <c r="R300" s="44" t="str">
        <f t="shared" si="88"/>
        <v/>
      </c>
      <c r="S300" s="242">
        <f t="shared" si="89"/>
        <v>0</v>
      </c>
      <c r="T300" s="42">
        <f t="shared" si="90"/>
        <v>0</v>
      </c>
      <c r="U300" s="42">
        <f t="shared" si="83"/>
        <v>0</v>
      </c>
      <c r="V300" s="36" t="e">
        <f t="shared" si="84"/>
        <v>#DIV/0!</v>
      </c>
      <c r="W300" s="36" t="e">
        <f t="shared" si="85"/>
        <v>#DIV/0!</v>
      </c>
      <c r="X300" s="62" t="e">
        <f t="shared" si="91"/>
        <v>#DIV/0!</v>
      </c>
    </row>
    <row r="301" spans="1:24">
      <c r="A301" s="26"/>
      <c r="B301" s="27"/>
      <c r="C301" s="27"/>
      <c r="D301" s="27"/>
      <c r="E301" s="27"/>
      <c r="F301" s="27"/>
      <c r="G301" s="27"/>
      <c r="H301" s="27"/>
      <c r="I301" s="27"/>
      <c r="J301" s="27"/>
      <c r="K301" s="133" t="str">
        <f t="shared" si="79"/>
        <v/>
      </c>
      <c r="L301" s="44" t="str">
        <f t="shared" si="86"/>
        <v/>
      </c>
      <c r="M301" s="44" t="str">
        <f t="shared" si="80"/>
        <v/>
      </c>
      <c r="N301" s="44" t="str">
        <f t="shared" si="87"/>
        <v/>
      </c>
      <c r="O301" s="44" t="str">
        <f t="shared" si="81"/>
        <v/>
      </c>
      <c r="P301" s="44" t="str">
        <f t="shared" si="92"/>
        <v/>
      </c>
      <c r="Q301" s="44" t="str">
        <f t="shared" si="82"/>
        <v/>
      </c>
      <c r="R301" s="44" t="str">
        <f t="shared" si="88"/>
        <v/>
      </c>
      <c r="S301" s="242">
        <f t="shared" si="89"/>
        <v>0</v>
      </c>
      <c r="T301" s="42">
        <f t="shared" si="90"/>
        <v>0</v>
      </c>
      <c r="U301" s="42">
        <f t="shared" si="83"/>
        <v>0</v>
      </c>
      <c r="V301" s="36" t="e">
        <f t="shared" si="84"/>
        <v>#DIV/0!</v>
      </c>
      <c r="W301" s="36" t="e">
        <f t="shared" si="85"/>
        <v>#DIV/0!</v>
      </c>
      <c r="X301" s="62" t="e">
        <f t="shared" si="91"/>
        <v>#DIV/0!</v>
      </c>
    </row>
    <row r="302" spans="1:24">
      <c r="A302" s="26"/>
      <c r="B302" s="27"/>
      <c r="C302" s="27"/>
      <c r="D302" s="27"/>
      <c r="E302" s="27"/>
      <c r="F302" s="27"/>
      <c r="G302" s="27"/>
      <c r="H302" s="27"/>
      <c r="I302" s="27"/>
      <c r="J302" s="27"/>
      <c r="K302" s="133" t="str">
        <f t="shared" si="79"/>
        <v/>
      </c>
      <c r="L302" s="44" t="str">
        <f t="shared" si="86"/>
        <v/>
      </c>
      <c r="M302" s="44" t="str">
        <f t="shared" si="80"/>
        <v/>
      </c>
      <c r="N302" s="44" t="str">
        <f t="shared" si="87"/>
        <v/>
      </c>
      <c r="O302" s="44" t="str">
        <f t="shared" si="81"/>
        <v/>
      </c>
      <c r="P302" s="44" t="str">
        <f t="shared" si="92"/>
        <v/>
      </c>
      <c r="Q302" s="44" t="str">
        <f t="shared" si="82"/>
        <v/>
      </c>
      <c r="R302" s="44" t="str">
        <f t="shared" si="88"/>
        <v/>
      </c>
      <c r="S302" s="242">
        <f t="shared" si="89"/>
        <v>0</v>
      </c>
      <c r="T302" s="42">
        <f t="shared" si="90"/>
        <v>0</v>
      </c>
      <c r="U302" s="42">
        <f t="shared" si="83"/>
        <v>0</v>
      </c>
      <c r="V302" s="36" t="e">
        <f t="shared" si="84"/>
        <v>#DIV/0!</v>
      </c>
      <c r="W302" s="36" t="e">
        <f t="shared" si="85"/>
        <v>#DIV/0!</v>
      </c>
      <c r="X302" s="62" t="e">
        <f t="shared" si="91"/>
        <v>#DIV/0!</v>
      </c>
    </row>
    <row r="303" spans="1:24">
      <c r="A303" s="26"/>
      <c r="B303" s="27"/>
      <c r="C303" s="27"/>
      <c r="D303" s="27"/>
      <c r="E303" s="27"/>
      <c r="F303" s="27"/>
      <c r="G303" s="27"/>
      <c r="H303" s="27"/>
      <c r="I303" s="27"/>
      <c r="J303" s="27"/>
      <c r="K303" s="133" t="str">
        <f t="shared" si="79"/>
        <v/>
      </c>
      <c r="L303" s="44" t="str">
        <f t="shared" si="86"/>
        <v/>
      </c>
      <c r="M303" s="44" t="str">
        <f t="shared" si="80"/>
        <v/>
      </c>
      <c r="N303" s="44" t="str">
        <f t="shared" si="87"/>
        <v/>
      </c>
      <c r="O303" s="44" t="str">
        <f t="shared" si="81"/>
        <v/>
      </c>
      <c r="P303" s="44" t="str">
        <f t="shared" si="92"/>
        <v/>
      </c>
      <c r="Q303" s="44" t="str">
        <f t="shared" si="82"/>
        <v/>
      </c>
      <c r="R303" s="44" t="str">
        <f t="shared" si="88"/>
        <v/>
      </c>
      <c r="S303" s="242">
        <f t="shared" si="89"/>
        <v>0</v>
      </c>
      <c r="T303" s="42">
        <f t="shared" si="90"/>
        <v>0</v>
      </c>
      <c r="U303" s="42">
        <f t="shared" si="83"/>
        <v>0</v>
      </c>
      <c r="V303" s="36" t="e">
        <f t="shared" si="84"/>
        <v>#DIV/0!</v>
      </c>
      <c r="W303" s="36" t="e">
        <f t="shared" si="85"/>
        <v>#DIV/0!</v>
      </c>
      <c r="X303" s="62" t="e">
        <f t="shared" si="91"/>
        <v>#DIV/0!</v>
      </c>
    </row>
    <row r="304" spans="1:24">
      <c r="A304" s="26"/>
      <c r="B304" s="27"/>
      <c r="C304" s="27"/>
      <c r="D304" s="27"/>
      <c r="E304" s="27"/>
      <c r="F304" s="27"/>
      <c r="G304" s="27"/>
      <c r="H304" s="27"/>
      <c r="I304" s="27"/>
      <c r="J304" s="27"/>
      <c r="K304" s="133" t="str">
        <f t="shared" si="79"/>
        <v/>
      </c>
      <c r="L304" s="44" t="str">
        <f t="shared" si="86"/>
        <v/>
      </c>
      <c r="M304" s="44" t="str">
        <f t="shared" si="80"/>
        <v/>
      </c>
      <c r="N304" s="44" t="str">
        <f t="shared" si="87"/>
        <v/>
      </c>
      <c r="O304" s="44" t="str">
        <f t="shared" si="81"/>
        <v/>
      </c>
      <c r="P304" s="44" t="str">
        <f t="shared" si="92"/>
        <v/>
      </c>
      <c r="Q304" s="44" t="str">
        <f t="shared" si="82"/>
        <v/>
      </c>
      <c r="R304" s="44" t="str">
        <f t="shared" si="88"/>
        <v/>
      </c>
      <c r="S304" s="242">
        <f t="shared" si="89"/>
        <v>0</v>
      </c>
      <c r="T304" s="42">
        <f t="shared" si="90"/>
        <v>0</v>
      </c>
      <c r="U304" s="42">
        <f t="shared" si="83"/>
        <v>0</v>
      </c>
      <c r="V304" s="36" t="e">
        <f t="shared" si="84"/>
        <v>#DIV/0!</v>
      </c>
      <c r="W304" s="36" t="e">
        <f t="shared" si="85"/>
        <v>#DIV/0!</v>
      </c>
      <c r="X304" s="62" t="e">
        <f t="shared" si="91"/>
        <v>#DIV/0!</v>
      </c>
    </row>
    <row r="305" spans="1:24">
      <c r="A305" s="26"/>
      <c r="B305" s="27"/>
      <c r="C305" s="27"/>
      <c r="D305" s="27"/>
      <c r="E305" s="27"/>
      <c r="F305" s="27"/>
      <c r="G305" s="27"/>
      <c r="H305" s="27"/>
      <c r="I305" s="27"/>
      <c r="J305" s="27"/>
      <c r="K305" s="133" t="str">
        <f t="shared" si="79"/>
        <v/>
      </c>
      <c r="L305" s="44" t="str">
        <f t="shared" si="86"/>
        <v/>
      </c>
      <c r="M305" s="44" t="str">
        <f t="shared" si="80"/>
        <v/>
      </c>
      <c r="N305" s="44" t="str">
        <f t="shared" si="87"/>
        <v/>
      </c>
      <c r="O305" s="44" t="str">
        <f t="shared" si="81"/>
        <v/>
      </c>
      <c r="P305" s="44" t="str">
        <f t="shared" si="92"/>
        <v/>
      </c>
      <c r="Q305" s="44" t="str">
        <f t="shared" si="82"/>
        <v/>
      </c>
      <c r="R305" s="44" t="str">
        <f t="shared" si="88"/>
        <v/>
      </c>
      <c r="S305" s="242">
        <f t="shared" si="89"/>
        <v>0</v>
      </c>
      <c r="T305" s="42">
        <f t="shared" si="90"/>
        <v>0</v>
      </c>
      <c r="U305" s="42">
        <f t="shared" si="83"/>
        <v>0</v>
      </c>
      <c r="V305" s="36" t="e">
        <f t="shared" si="84"/>
        <v>#DIV/0!</v>
      </c>
      <c r="W305" s="36" t="e">
        <f t="shared" si="85"/>
        <v>#DIV/0!</v>
      </c>
      <c r="X305" s="62" t="e">
        <f t="shared" si="91"/>
        <v>#DIV/0!</v>
      </c>
    </row>
    <row r="306" spans="1:24">
      <c r="A306" s="26"/>
      <c r="B306" s="27"/>
      <c r="C306" s="27"/>
      <c r="D306" s="27"/>
      <c r="E306" s="27"/>
      <c r="F306" s="27"/>
      <c r="G306" s="27"/>
      <c r="H306" s="27"/>
      <c r="I306" s="27"/>
      <c r="J306" s="27"/>
      <c r="K306" s="133" t="str">
        <f t="shared" si="79"/>
        <v/>
      </c>
      <c r="L306" s="44" t="str">
        <f t="shared" si="86"/>
        <v/>
      </c>
      <c r="M306" s="44" t="str">
        <f t="shared" si="80"/>
        <v/>
      </c>
      <c r="N306" s="44" t="str">
        <f t="shared" si="87"/>
        <v/>
      </c>
      <c r="O306" s="44" t="str">
        <f t="shared" si="81"/>
        <v/>
      </c>
      <c r="P306" s="44" t="str">
        <f t="shared" si="92"/>
        <v/>
      </c>
      <c r="Q306" s="44" t="str">
        <f t="shared" si="82"/>
        <v/>
      </c>
      <c r="R306" s="44" t="str">
        <f t="shared" si="88"/>
        <v/>
      </c>
      <c r="S306" s="242">
        <f t="shared" si="89"/>
        <v>0</v>
      </c>
      <c r="T306" s="42">
        <f t="shared" si="90"/>
        <v>0</v>
      </c>
      <c r="U306" s="42">
        <f t="shared" si="83"/>
        <v>0</v>
      </c>
      <c r="V306" s="36" t="e">
        <f t="shared" si="84"/>
        <v>#DIV/0!</v>
      </c>
      <c r="W306" s="36" t="e">
        <f t="shared" si="85"/>
        <v>#DIV/0!</v>
      </c>
      <c r="X306" s="62" t="e">
        <f t="shared" si="91"/>
        <v>#DIV/0!</v>
      </c>
    </row>
    <row r="307" spans="1:24">
      <c r="A307" s="26"/>
      <c r="B307" s="27"/>
      <c r="C307" s="27"/>
      <c r="D307" s="27"/>
      <c r="E307" s="27"/>
      <c r="F307" s="27"/>
      <c r="G307" s="27"/>
      <c r="H307" s="27"/>
      <c r="I307" s="27"/>
      <c r="J307" s="27"/>
      <c r="K307" s="133" t="str">
        <f t="shared" si="79"/>
        <v/>
      </c>
      <c r="L307" s="44" t="str">
        <f t="shared" si="86"/>
        <v/>
      </c>
      <c r="M307" s="44" t="str">
        <f t="shared" si="80"/>
        <v/>
      </c>
      <c r="N307" s="44" t="str">
        <f t="shared" si="87"/>
        <v/>
      </c>
      <c r="O307" s="44" t="str">
        <f t="shared" si="81"/>
        <v/>
      </c>
      <c r="P307" s="44" t="str">
        <f t="shared" si="92"/>
        <v/>
      </c>
      <c r="Q307" s="44" t="str">
        <f t="shared" si="82"/>
        <v/>
      </c>
      <c r="R307" s="44" t="str">
        <f t="shared" si="88"/>
        <v/>
      </c>
      <c r="S307" s="242">
        <f t="shared" si="89"/>
        <v>0</v>
      </c>
      <c r="T307" s="42">
        <f t="shared" si="90"/>
        <v>0</v>
      </c>
      <c r="U307" s="42">
        <f t="shared" si="83"/>
        <v>0</v>
      </c>
      <c r="V307" s="36" t="e">
        <f t="shared" si="84"/>
        <v>#DIV/0!</v>
      </c>
      <c r="W307" s="36" t="e">
        <f t="shared" si="85"/>
        <v>#DIV/0!</v>
      </c>
      <c r="X307" s="62" t="e">
        <f t="shared" si="91"/>
        <v>#DIV/0!</v>
      </c>
    </row>
    <row r="308" spans="1:24">
      <c r="A308" s="26"/>
      <c r="B308" s="27"/>
      <c r="C308" s="27"/>
      <c r="D308" s="27"/>
      <c r="E308" s="27"/>
      <c r="F308" s="27"/>
      <c r="G308" s="27"/>
      <c r="H308" s="27"/>
      <c r="I308" s="27"/>
      <c r="J308" s="27"/>
      <c r="K308" s="133" t="str">
        <f t="shared" si="79"/>
        <v/>
      </c>
      <c r="L308" s="44" t="str">
        <f t="shared" si="86"/>
        <v/>
      </c>
      <c r="M308" s="44" t="str">
        <f t="shared" si="80"/>
        <v/>
      </c>
      <c r="N308" s="44" t="str">
        <f t="shared" si="87"/>
        <v/>
      </c>
      <c r="O308" s="44" t="str">
        <f t="shared" si="81"/>
        <v/>
      </c>
      <c r="P308" s="44" t="str">
        <f t="shared" si="92"/>
        <v/>
      </c>
      <c r="Q308" s="44" t="str">
        <f t="shared" si="82"/>
        <v/>
      </c>
      <c r="R308" s="44" t="str">
        <f t="shared" si="88"/>
        <v/>
      </c>
      <c r="S308" s="242">
        <f t="shared" si="89"/>
        <v>0</v>
      </c>
      <c r="T308" s="42">
        <f t="shared" si="90"/>
        <v>0</v>
      </c>
      <c r="U308" s="42">
        <f t="shared" si="83"/>
        <v>0</v>
      </c>
      <c r="V308" s="36" t="e">
        <f t="shared" si="84"/>
        <v>#DIV/0!</v>
      </c>
      <c r="W308" s="36" t="e">
        <f t="shared" si="85"/>
        <v>#DIV/0!</v>
      </c>
      <c r="X308" s="62" t="e">
        <f t="shared" si="91"/>
        <v>#DIV/0!</v>
      </c>
    </row>
    <row r="309" spans="1:24">
      <c r="A309" s="26"/>
      <c r="B309" s="27"/>
      <c r="C309" s="27"/>
      <c r="D309" s="27"/>
      <c r="E309" s="27"/>
      <c r="F309" s="27"/>
      <c r="G309" s="27"/>
      <c r="H309" s="27"/>
      <c r="I309" s="27"/>
      <c r="J309" s="27"/>
      <c r="K309" s="133" t="str">
        <f t="shared" si="79"/>
        <v/>
      </c>
      <c r="L309" s="44" t="str">
        <f t="shared" si="86"/>
        <v/>
      </c>
      <c r="M309" s="44" t="str">
        <f t="shared" si="80"/>
        <v/>
      </c>
      <c r="N309" s="44" t="str">
        <f t="shared" si="87"/>
        <v/>
      </c>
      <c r="O309" s="44" t="str">
        <f t="shared" si="81"/>
        <v/>
      </c>
      <c r="P309" s="44" t="str">
        <f t="shared" si="92"/>
        <v/>
      </c>
      <c r="Q309" s="44" t="str">
        <f t="shared" si="82"/>
        <v/>
      </c>
      <c r="R309" s="44" t="str">
        <f t="shared" si="88"/>
        <v/>
      </c>
      <c r="S309" s="242">
        <f t="shared" si="89"/>
        <v>0</v>
      </c>
      <c r="T309" s="42">
        <f t="shared" si="90"/>
        <v>0</v>
      </c>
      <c r="U309" s="42">
        <f t="shared" si="83"/>
        <v>0</v>
      </c>
      <c r="V309" s="36" t="e">
        <f t="shared" si="84"/>
        <v>#DIV/0!</v>
      </c>
      <c r="W309" s="36" t="e">
        <f t="shared" si="85"/>
        <v>#DIV/0!</v>
      </c>
      <c r="X309" s="62" t="e">
        <f t="shared" si="91"/>
        <v>#DIV/0!</v>
      </c>
    </row>
    <row r="310" spans="1:24">
      <c r="A310" s="26"/>
      <c r="B310" s="27"/>
      <c r="C310" s="27"/>
      <c r="D310" s="27"/>
      <c r="E310" s="27"/>
      <c r="F310" s="27"/>
      <c r="G310" s="27"/>
      <c r="H310" s="27"/>
      <c r="I310" s="27"/>
      <c r="J310" s="27"/>
      <c r="K310" s="133" t="str">
        <f t="shared" ref="K310:K373" si="93">IF(C310="","",VLOOKUP(C310,成本单价,8,0))</f>
        <v/>
      </c>
      <c r="L310" s="44" t="str">
        <f t="shared" si="86"/>
        <v/>
      </c>
      <c r="M310" s="44" t="str">
        <f t="shared" si="80"/>
        <v/>
      </c>
      <c r="N310" s="44" t="str">
        <f t="shared" si="87"/>
        <v/>
      </c>
      <c r="O310" s="44" t="str">
        <f t="shared" si="81"/>
        <v/>
      </c>
      <c r="P310" s="44" t="str">
        <f t="shared" si="92"/>
        <v/>
      </c>
      <c r="Q310" s="44" t="str">
        <f t="shared" si="82"/>
        <v/>
      </c>
      <c r="R310" s="44" t="str">
        <f t="shared" si="88"/>
        <v/>
      </c>
      <c r="S310" s="242">
        <f t="shared" si="89"/>
        <v>0</v>
      </c>
      <c r="T310" s="42">
        <f t="shared" si="90"/>
        <v>0</v>
      </c>
      <c r="U310" s="42">
        <f t="shared" si="83"/>
        <v>0</v>
      </c>
      <c r="V310" s="36" t="e">
        <f t="shared" si="84"/>
        <v>#DIV/0!</v>
      </c>
      <c r="W310" s="36" t="e">
        <f t="shared" si="85"/>
        <v>#DIV/0!</v>
      </c>
      <c r="X310" s="62" t="e">
        <f t="shared" si="91"/>
        <v>#DIV/0!</v>
      </c>
    </row>
    <row r="311" spans="1:24">
      <c r="A311" s="26"/>
      <c r="B311" s="27"/>
      <c r="C311" s="27"/>
      <c r="D311" s="27"/>
      <c r="E311" s="27"/>
      <c r="F311" s="27"/>
      <c r="G311" s="27"/>
      <c r="H311" s="27"/>
      <c r="I311" s="27"/>
      <c r="J311" s="27"/>
      <c r="K311" s="133" t="str">
        <f t="shared" si="93"/>
        <v/>
      </c>
      <c r="L311" s="44" t="str">
        <f t="shared" si="86"/>
        <v/>
      </c>
      <c r="M311" s="44" t="str">
        <f t="shared" si="80"/>
        <v/>
      </c>
      <c r="N311" s="44" t="str">
        <f t="shared" si="87"/>
        <v/>
      </c>
      <c r="O311" s="44" t="str">
        <f t="shared" si="81"/>
        <v/>
      </c>
      <c r="P311" s="44" t="str">
        <f t="shared" si="92"/>
        <v/>
      </c>
      <c r="Q311" s="44" t="str">
        <f t="shared" si="82"/>
        <v/>
      </c>
      <c r="R311" s="44" t="str">
        <f t="shared" si="88"/>
        <v/>
      </c>
      <c r="S311" s="242">
        <f t="shared" si="89"/>
        <v>0</v>
      </c>
      <c r="T311" s="42">
        <f t="shared" si="90"/>
        <v>0</v>
      </c>
      <c r="U311" s="42">
        <f t="shared" si="83"/>
        <v>0</v>
      </c>
      <c r="V311" s="36" t="e">
        <f t="shared" si="84"/>
        <v>#DIV/0!</v>
      </c>
      <c r="W311" s="36" t="e">
        <f t="shared" si="85"/>
        <v>#DIV/0!</v>
      </c>
      <c r="X311" s="62" t="e">
        <f t="shared" si="91"/>
        <v>#DIV/0!</v>
      </c>
    </row>
    <row r="312" spans="1:24">
      <c r="A312" s="26"/>
      <c r="B312" s="27"/>
      <c r="C312" s="27"/>
      <c r="D312" s="27"/>
      <c r="E312" s="27"/>
      <c r="F312" s="27"/>
      <c r="G312" s="27"/>
      <c r="H312" s="27"/>
      <c r="I312" s="27"/>
      <c r="J312" s="27"/>
      <c r="K312" s="133" t="str">
        <f t="shared" si="93"/>
        <v/>
      </c>
      <c r="L312" s="44" t="str">
        <f t="shared" si="86"/>
        <v/>
      </c>
      <c r="M312" s="44" t="str">
        <f t="shared" si="80"/>
        <v/>
      </c>
      <c r="N312" s="44" t="str">
        <f t="shared" si="87"/>
        <v/>
      </c>
      <c r="O312" s="44" t="str">
        <f t="shared" si="81"/>
        <v/>
      </c>
      <c r="P312" s="44" t="str">
        <f t="shared" si="92"/>
        <v/>
      </c>
      <c r="Q312" s="44" t="str">
        <f t="shared" si="82"/>
        <v/>
      </c>
      <c r="R312" s="44" t="str">
        <f t="shared" si="88"/>
        <v/>
      </c>
      <c r="S312" s="242">
        <f t="shared" si="89"/>
        <v>0</v>
      </c>
      <c r="T312" s="42">
        <f t="shared" si="90"/>
        <v>0</v>
      </c>
      <c r="U312" s="42">
        <f t="shared" si="83"/>
        <v>0</v>
      </c>
      <c r="V312" s="36" t="e">
        <f t="shared" si="84"/>
        <v>#DIV/0!</v>
      </c>
      <c r="W312" s="36" t="e">
        <f t="shared" si="85"/>
        <v>#DIV/0!</v>
      </c>
      <c r="X312" s="62" t="e">
        <f t="shared" si="91"/>
        <v>#DIV/0!</v>
      </c>
    </row>
    <row r="313" spans="1:24">
      <c r="A313" s="26"/>
      <c r="B313" s="27"/>
      <c r="C313" s="27"/>
      <c r="D313" s="27"/>
      <c r="E313" s="27"/>
      <c r="F313" s="27"/>
      <c r="G313" s="27"/>
      <c r="H313" s="27"/>
      <c r="I313" s="27"/>
      <c r="J313" s="27"/>
      <c r="K313" s="133" t="str">
        <f t="shared" si="93"/>
        <v/>
      </c>
      <c r="L313" s="44" t="str">
        <f t="shared" si="86"/>
        <v/>
      </c>
      <c r="M313" s="44" t="str">
        <f t="shared" si="80"/>
        <v/>
      </c>
      <c r="N313" s="44" t="str">
        <f t="shared" si="87"/>
        <v/>
      </c>
      <c r="O313" s="44" t="str">
        <f t="shared" si="81"/>
        <v/>
      </c>
      <c r="P313" s="44" t="str">
        <f t="shared" si="92"/>
        <v/>
      </c>
      <c r="Q313" s="44" t="str">
        <f t="shared" si="82"/>
        <v/>
      </c>
      <c r="R313" s="44" t="str">
        <f t="shared" si="88"/>
        <v/>
      </c>
      <c r="S313" s="242">
        <f t="shared" si="89"/>
        <v>0</v>
      </c>
      <c r="T313" s="42">
        <f t="shared" si="90"/>
        <v>0</v>
      </c>
      <c r="U313" s="42">
        <f t="shared" si="83"/>
        <v>0</v>
      </c>
      <c r="V313" s="36" t="e">
        <f t="shared" si="84"/>
        <v>#DIV/0!</v>
      </c>
      <c r="W313" s="36" t="e">
        <f t="shared" si="85"/>
        <v>#DIV/0!</v>
      </c>
      <c r="X313" s="62" t="e">
        <f t="shared" si="91"/>
        <v>#DIV/0!</v>
      </c>
    </row>
    <row r="314" spans="1:24">
      <c r="A314" s="26"/>
      <c r="B314" s="27"/>
      <c r="C314" s="27"/>
      <c r="D314" s="27"/>
      <c r="E314" s="27"/>
      <c r="F314" s="27"/>
      <c r="G314" s="27"/>
      <c r="H314" s="27"/>
      <c r="I314" s="27"/>
      <c r="J314" s="27"/>
      <c r="K314" s="133" t="str">
        <f t="shared" si="93"/>
        <v/>
      </c>
      <c r="L314" s="44" t="str">
        <f t="shared" si="86"/>
        <v/>
      </c>
      <c r="M314" s="44" t="str">
        <f t="shared" si="80"/>
        <v/>
      </c>
      <c r="N314" s="44" t="str">
        <f t="shared" si="87"/>
        <v/>
      </c>
      <c r="O314" s="44" t="str">
        <f t="shared" si="81"/>
        <v/>
      </c>
      <c r="P314" s="44" t="str">
        <f t="shared" si="92"/>
        <v/>
      </c>
      <c r="Q314" s="44" t="str">
        <f t="shared" si="82"/>
        <v/>
      </c>
      <c r="R314" s="44" t="str">
        <f t="shared" si="88"/>
        <v/>
      </c>
      <c r="S314" s="242">
        <f t="shared" si="89"/>
        <v>0</v>
      </c>
      <c r="T314" s="42">
        <f t="shared" si="90"/>
        <v>0</v>
      </c>
      <c r="U314" s="42">
        <f t="shared" si="83"/>
        <v>0</v>
      </c>
      <c r="V314" s="36" t="e">
        <f t="shared" si="84"/>
        <v>#DIV/0!</v>
      </c>
      <c r="W314" s="36" t="e">
        <f t="shared" si="85"/>
        <v>#DIV/0!</v>
      </c>
      <c r="X314" s="62" t="e">
        <f t="shared" si="91"/>
        <v>#DIV/0!</v>
      </c>
    </row>
    <row r="315" spans="1:24">
      <c r="A315" s="26"/>
      <c r="B315" s="27"/>
      <c r="C315" s="27"/>
      <c r="D315" s="27"/>
      <c r="E315" s="27"/>
      <c r="F315" s="27"/>
      <c r="G315" s="27"/>
      <c r="H315" s="27"/>
      <c r="I315" s="27"/>
      <c r="J315" s="27"/>
      <c r="K315" s="133" t="str">
        <f t="shared" si="93"/>
        <v/>
      </c>
      <c r="L315" s="44" t="str">
        <f t="shared" si="86"/>
        <v/>
      </c>
      <c r="M315" s="44" t="str">
        <f t="shared" si="80"/>
        <v/>
      </c>
      <c r="N315" s="44" t="str">
        <f t="shared" si="87"/>
        <v/>
      </c>
      <c r="O315" s="44" t="str">
        <f t="shared" si="81"/>
        <v/>
      </c>
      <c r="P315" s="44" t="str">
        <f t="shared" si="92"/>
        <v/>
      </c>
      <c r="Q315" s="44" t="str">
        <f t="shared" si="82"/>
        <v/>
      </c>
      <c r="R315" s="44" t="str">
        <f t="shared" si="88"/>
        <v/>
      </c>
      <c r="S315" s="242">
        <f t="shared" si="89"/>
        <v>0</v>
      </c>
      <c r="T315" s="42">
        <f t="shared" si="90"/>
        <v>0</v>
      </c>
      <c r="U315" s="42">
        <f t="shared" si="83"/>
        <v>0</v>
      </c>
      <c r="V315" s="36" t="e">
        <f t="shared" si="84"/>
        <v>#DIV/0!</v>
      </c>
      <c r="W315" s="36" t="e">
        <f t="shared" si="85"/>
        <v>#DIV/0!</v>
      </c>
      <c r="X315" s="62" t="e">
        <f t="shared" si="91"/>
        <v>#DIV/0!</v>
      </c>
    </row>
    <row r="316" spans="1:24">
      <c r="A316" s="26"/>
      <c r="B316" s="27"/>
      <c r="C316" s="27"/>
      <c r="D316" s="27"/>
      <c r="E316" s="27"/>
      <c r="F316" s="27"/>
      <c r="G316" s="27"/>
      <c r="H316" s="27"/>
      <c r="I316" s="27"/>
      <c r="J316" s="27"/>
      <c r="K316" s="133" t="str">
        <f t="shared" si="93"/>
        <v/>
      </c>
      <c r="L316" s="44" t="str">
        <f t="shared" si="86"/>
        <v/>
      </c>
      <c r="M316" s="44" t="str">
        <f t="shared" si="80"/>
        <v/>
      </c>
      <c r="N316" s="44" t="str">
        <f t="shared" si="87"/>
        <v/>
      </c>
      <c r="O316" s="44" t="str">
        <f t="shared" si="81"/>
        <v/>
      </c>
      <c r="P316" s="44" t="str">
        <f t="shared" si="92"/>
        <v/>
      </c>
      <c r="Q316" s="44" t="str">
        <f t="shared" si="82"/>
        <v/>
      </c>
      <c r="R316" s="44" t="str">
        <f t="shared" si="88"/>
        <v/>
      </c>
      <c r="S316" s="242">
        <f t="shared" si="89"/>
        <v>0</v>
      </c>
      <c r="T316" s="42">
        <f t="shared" si="90"/>
        <v>0</v>
      </c>
      <c r="U316" s="42">
        <f t="shared" si="83"/>
        <v>0</v>
      </c>
      <c r="V316" s="36" t="e">
        <f t="shared" si="84"/>
        <v>#DIV/0!</v>
      </c>
      <c r="W316" s="36" t="e">
        <f t="shared" si="85"/>
        <v>#DIV/0!</v>
      </c>
      <c r="X316" s="62" t="e">
        <f t="shared" si="91"/>
        <v>#DIV/0!</v>
      </c>
    </row>
    <row r="317" spans="1:24">
      <c r="A317" s="26"/>
      <c r="B317" s="27"/>
      <c r="C317" s="27"/>
      <c r="D317" s="27"/>
      <c r="E317" s="27"/>
      <c r="F317" s="27"/>
      <c r="G317" s="27"/>
      <c r="H317" s="27"/>
      <c r="I317" s="27"/>
      <c r="J317" s="27"/>
      <c r="K317" s="133" t="str">
        <f t="shared" si="93"/>
        <v/>
      </c>
      <c r="L317" s="44" t="str">
        <f t="shared" si="86"/>
        <v/>
      </c>
      <c r="M317" s="44" t="str">
        <f t="shared" si="80"/>
        <v/>
      </c>
      <c r="N317" s="44" t="str">
        <f t="shared" si="87"/>
        <v/>
      </c>
      <c r="O317" s="44" t="str">
        <f t="shared" si="81"/>
        <v/>
      </c>
      <c r="P317" s="44" t="str">
        <f t="shared" si="92"/>
        <v/>
      </c>
      <c r="Q317" s="44" t="str">
        <f t="shared" si="82"/>
        <v/>
      </c>
      <c r="R317" s="44" t="str">
        <f t="shared" si="88"/>
        <v/>
      </c>
      <c r="S317" s="242">
        <f t="shared" si="89"/>
        <v>0</v>
      </c>
      <c r="T317" s="42">
        <f t="shared" si="90"/>
        <v>0</v>
      </c>
      <c r="U317" s="42">
        <f t="shared" si="83"/>
        <v>0</v>
      </c>
      <c r="V317" s="36" t="e">
        <f t="shared" si="84"/>
        <v>#DIV/0!</v>
      </c>
      <c r="W317" s="36" t="e">
        <f t="shared" si="85"/>
        <v>#DIV/0!</v>
      </c>
      <c r="X317" s="62" t="e">
        <f t="shared" si="91"/>
        <v>#DIV/0!</v>
      </c>
    </row>
    <row r="318" spans="1:24">
      <c r="A318" s="26"/>
      <c r="B318" s="27"/>
      <c r="C318" s="27"/>
      <c r="D318" s="27"/>
      <c r="E318" s="27"/>
      <c r="F318" s="27"/>
      <c r="G318" s="27"/>
      <c r="H318" s="27"/>
      <c r="I318" s="27"/>
      <c r="J318" s="27"/>
      <c r="K318" s="133" t="str">
        <f t="shared" si="93"/>
        <v/>
      </c>
      <c r="L318" s="44" t="str">
        <f t="shared" si="86"/>
        <v/>
      </c>
      <c r="M318" s="44" t="str">
        <f t="shared" si="80"/>
        <v/>
      </c>
      <c r="N318" s="44" t="str">
        <f t="shared" si="87"/>
        <v/>
      </c>
      <c r="O318" s="44" t="str">
        <f t="shared" si="81"/>
        <v/>
      </c>
      <c r="P318" s="44" t="str">
        <f t="shared" si="92"/>
        <v/>
      </c>
      <c r="Q318" s="44" t="str">
        <f t="shared" si="82"/>
        <v/>
      </c>
      <c r="R318" s="44" t="str">
        <f t="shared" si="88"/>
        <v/>
      </c>
      <c r="S318" s="242">
        <f t="shared" si="89"/>
        <v>0</v>
      </c>
      <c r="T318" s="42">
        <f t="shared" si="90"/>
        <v>0</v>
      </c>
      <c r="U318" s="42">
        <f t="shared" si="83"/>
        <v>0</v>
      </c>
      <c r="V318" s="36" t="e">
        <f t="shared" si="84"/>
        <v>#DIV/0!</v>
      </c>
      <c r="W318" s="36" t="e">
        <f t="shared" si="85"/>
        <v>#DIV/0!</v>
      </c>
      <c r="X318" s="62" t="e">
        <f t="shared" si="91"/>
        <v>#DIV/0!</v>
      </c>
    </row>
    <row r="319" spans="1:24">
      <c r="A319" s="26"/>
      <c r="B319" s="27"/>
      <c r="C319" s="27"/>
      <c r="D319" s="27"/>
      <c r="E319" s="27"/>
      <c r="F319" s="27"/>
      <c r="G319" s="27"/>
      <c r="H319" s="27"/>
      <c r="I319" s="27"/>
      <c r="J319" s="27"/>
      <c r="K319" s="133" t="str">
        <f t="shared" si="93"/>
        <v/>
      </c>
      <c r="L319" s="44" t="str">
        <f t="shared" si="86"/>
        <v/>
      </c>
      <c r="M319" s="44" t="str">
        <f t="shared" si="80"/>
        <v/>
      </c>
      <c r="N319" s="44" t="str">
        <f t="shared" si="87"/>
        <v/>
      </c>
      <c r="O319" s="44" t="str">
        <f t="shared" si="81"/>
        <v/>
      </c>
      <c r="P319" s="44" t="str">
        <f t="shared" si="92"/>
        <v/>
      </c>
      <c r="Q319" s="44" t="str">
        <f t="shared" si="82"/>
        <v/>
      </c>
      <c r="R319" s="44" t="str">
        <f t="shared" si="88"/>
        <v/>
      </c>
      <c r="S319" s="242">
        <f t="shared" si="89"/>
        <v>0</v>
      </c>
      <c r="T319" s="42">
        <f t="shared" si="90"/>
        <v>0</v>
      </c>
      <c r="U319" s="42">
        <f t="shared" si="83"/>
        <v>0</v>
      </c>
      <c r="V319" s="36" t="e">
        <f t="shared" si="84"/>
        <v>#DIV/0!</v>
      </c>
      <c r="W319" s="36" t="e">
        <f t="shared" si="85"/>
        <v>#DIV/0!</v>
      </c>
      <c r="X319" s="62" t="e">
        <f t="shared" si="91"/>
        <v>#DIV/0!</v>
      </c>
    </row>
    <row r="320" spans="1:24">
      <c r="A320" s="26"/>
      <c r="B320" s="27"/>
      <c r="C320" s="27"/>
      <c r="D320" s="27"/>
      <c r="E320" s="27"/>
      <c r="F320" s="27"/>
      <c r="G320" s="27"/>
      <c r="H320" s="27"/>
      <c r="I320" s="27"/>
      <c r="J320" s="27"/>
      <c r="K320" s="133" t="str">
        <f t="shared" si="93"/>
        <v/>
      </c>
      <c r="L320" s="44" t="str">
        <f t="shared" si="86"/>
        <v/>
      </c>
      <c r="M320" s="44" t="str">
        <f t="shared" si="80"/>
        <v/>
      </c>
      <c r="N320" s="44" t="str">
        <f t="shared" si="87"/>
        <v/>
      </c>
      <c r="O320" s="44" t="str">
        <f t="shared" si="81"/>
        <v/>
      </c>
      <c r="P320" s="44" t="str">
        <f t="shared" si="92"/>
        <v/>
      </c>
      <c r="Q320" s="44" t="str">
        <f t="shared" si="82"/>
        <v/>
      </c>
      <c r="R320" s="44" t="str">
        <f t="shared" si="88"/>
        <v/>
      </c>
      <c r="S320" s="242">
        <f t="shared" si="89"/>
        <v>0</v>
      </c>
      <c r="T320" s="42">
        <f t="shared" si="90"/>
        <v>0</v>
      </c>
      <c r="U320" s="42">
        <f t="shared" si="83"/>
        <v>0</v>
      </c>
      <c r="V320" s="36" t="e">
        <f t="shared" si="84"/>
        <v>#DIV/0!</v>
      </c>
      <c r="W320" s="36" t="e">
        <f t="shared" si="85"/>
        <v>#DIV/0!</v>
      </c>
      <c r="X320" s="62" t="e">
        <f t="shared" si="91"/>
        <v>#DIV/0!</v>
      </c>
    </row>
    <row r="321" spans="1:24">
      <c r="A321" s="26"/>
      <c r="B321" s="27"/>
      <c r="C321" s="27"/>
      <c r="D321" s="27"/>
      <c r="E321" s="27"/>
      <c r="F321" s="27"/>
      <c r="G321" s="27"/>
      <c r="H321" s="27"/>
      <c r="I321" s="27"/>
      <c r="J321" s="27"/>
      <c r="K321" s="133" t="str">
        <f t="shared" si="93"/>
        <v/>
      </c>
      <c r="L321" s="44" t="str">
        <f t="shared" si="86"/>
        <v/>
      </c>
      <c r="M321" s="44" t="str">
        <f t="shared" si="80"/>
        <v/>
      </c>
      <c r="N321" s="44" t="str">
        <f t="shared" si="87"/>
        <v/>
      </c>
      <c r="O321" s="44" t="str">
        <f t="shared" si="81"/>
        <v/>
      </c>
      <c r="P321" s="44" t="str">
        <f t="shared" si="92"/>
        <v/>
      </c>
      <c r="Q321" s="44" t="str">
        <f t="shared" si="82"/>
        <v/>
      </c>
      <c r="R321" s="44" t="str">
        <f t="shared" si="88"/>
        <v/>
      </c>
      <c r="S321" s="242">
        <f t="shared" si="89"/>
        <v>0</v>
      </c>
      <c r="T321" s="42">
        <f t="shared" si="90"/>
        <v>0</v>
      </c>
      <c r="U321" s="42">
        <f t="shared" si="83"/>
        <v>0</v>
      </c>
      <c r="V321" s="36" t="e">
        <f t="shared" si="84"/>
        <v>#DIV/0!</v>
      </c>
      <c r="W321" s="36" t="e">
        <f t="shared" si="85"/>
        <v>#DIV/0!</v>
      </c>
      <c r="X321" s="62" t="e">
        <f t="shared" si="91"/>
        <v>#DIV/0!</v>
      </c>
    </row>
    <row r="322" spans="1:24">
      <c r="A322" s="26"/>
      <c r="B322" s="27"/>
      <c r="C322" s="27"/>
      <c r="D322" s="27"/>
      <c r="E322" s="27"/>
      <c r="F322" s="27"/>
      <c r="G322" s="27"/>
      <c r="H322" s="27"/>
      <c r="I322" s="27"/>
      <c r="J322" s="27"/>
      <c r="K322" s="133" t="str">
        <f t="shared" si="93"/>
        <v/>
      </c>
      <c r="L322" s="44" t="str">
        <f t="shared" si="86"/>
        <v/>
      </c>
      <c r="M322" s="44" t="str">
        <f t="shared" si="80"/>
        <v/>
      </c>
      <c r="N322" s="44" t="str">
        <f t="shared" si="87"/>
        <v/>
      </c>
      <c r="O322" s="44" t="str">
        <f t="shared" si="81"/>
        <v/>
      </c>
      <c r="P322" s="44" t="str">
        <f t="shared" si="92"/>
        <v/>
      </c>
      <c r="Q322" s="44" t="str">
        <f t="shared" si="82"/>
        <v/>
      </c>
      <c r="R322" s="44" t="str">
        <f t="shared" si="88"/>
        <v/>
      </c>
      <c r="S322" s="242">
        <f t="shared" si="89"/>
        <v>0</v>
      </c>
      <c r="T322" s="42">
        <f t="shared" si="90"/>
        <v>0</v>
      </c>
      <c r="U322" s="42">
        <f t="shared" si="83"/>
        <v>0</v>
      </c>
      <c r="V322" s="36" t="e">
        <f t="shared" si="84"/>
        <v>#DIV/0!</v>
      </c>
      <c r="W322" s="36" t="e">
        <f t="shared" si="85"/>
        <v>#DIV/0!</v>
      </c>
      <c r="X322" s="62" t="e">
        <f t="shared" si="91"/>
        <v>#DIV/0!</v>
      </c>
    </row>
    <row r="323" spans="1:24">
      <c r="A323" s="26"/>
      <c r="B323" s="27"/>
      <c r="C323" s="27"/>
      <c r="D323" s="27"/>
      <c r="E323" s="27"/>
      <c r="F323" s="27"/>
      <c r="G323" s="27"/>
      <c r="H323" s="27"/>
      <c r="I323" s="27"/>
      <c r="J323" s="27"/>
      <c r="K323" s="133" t="str">
        <f t="shared" si="93"/>
        <v/>
      </c>
      <c r="L323" s="44" t="str">
        <f t="shared" si="86"/>
        <v/>
      </c>
      <c r="M323" s="44" t="str">
        <f t="shared" si="80"/>
        <v/>
      </c>
      <c r="N323" s="44" t="str">
        <f t="shared" si="87"/>
        <v/>
      </c>
      <c r="O323" s="44" t="str">
        <f t="shared" si="81"/>
        <v/>
      </c>
      <c r="P323" s="44" t="str">
        <f t="shared" si="92"/>
        <v/>
      </c>
      <c r="Q323" s="44" t="str">
        <f t="shared" si="82"/>
        <v/>
      </c>
      <c r="R323" s="44" t="str">
        <f t="shared" si="88"/>
        <v/>
      </c>
      <c r="S323" s="242">
        <f t="shared" si="89"/>
        <v>0</v>
      </c>
      <c r="T323" s="42">
        <f t="shared" si="90"/>
        <v>0</v>
      </c>
      <c r="U323" s="42">
        <f t="shared" si="83"/>
        <v>0</v>
      </c>
      <c r="V323" s="36" t="e">
        <f t="shared" si="84"/>
        <v>#DIV/0!</v>
      </c>
      <c r="W323" s="36" t="e">
        <f t="shared" si="85"/>
        <v>#DIV/0!</v>
      </c>
      <c r="X323" s="62" t="e">
        <f t="shared" si="91"/>
        <v>#DIV/0!</v>
      </c>
    </row>
    <row r="324" spans="1:24">
      <c r="A324" s="26"/>
      <c r="B324" s="27"/>
      <c r="C324" s="27"/>
      <c r="D324" s="27"/>
      <c r="E324" s="27"/>
      <c r="F324" s="27"/>
      <c r="G324" s="27"/>
      <c r="H324" s="27"/>
      <c r="I324" s="27"/>
      <c r="J324" s="27"/>
      <c r="K324" s="133" t="str">
        <f t="shared" si="93"/>
        <v/>
      </c>
      <c r="L324" s="44" t="str">
        <f t="shared" si="86"/>
        <v/>
      </c>
      <c r="M324" s="44" t="str">
        <f t="shared" ref="M324:M387" si="94">IF(E324="","",VLOOKUP(E324,成本单价,8,0))</f>
        <v/>
      </c>
      <c r="N324" s="44" t="str">
        <f t="shared" si="87"/>
        <v/>
      </c>
      <c r="O324" s="44" t="str">
        <f t="shared" ref="O324:O387" si="95">IF(G324="","",VLOOKUP(G324,成本单价,8,0))</f>
        <v/>
      </c>
      <c r="P324" s="44" t="str">
        <f t="shared" si="92"/>
        <v/>
      </c>
      <c r="Q324" s="44" t="str">
        <f t="shared" ref="Q324:Q387" si="96">IF(I324="","",VLOOKUP(I324,成本单价,8,0))</f>
        <v/>
      </c>
      <c r="R324" s="44" t="str">
        <f t="shared" si="88"/>
        <v/>
      </c>
      <c r="S324" s="242">
        <f t="shared" si="89"/>
        <v>0</v>
      </c>
      <c r="T324" s="42">
        <f t="shared" si="90"/>
        <v>0</v>
      </c>
      <c r="U324" s="42">
        <f t="shared" ref="U324:U387" si="97">T324*(1+物料比)</f>
        <v>0</v>
      </c>
      <c r="V324" s="36" t="e">
        <f t="shared" ref="V324:V387" si="98">U324/B324</f>
        <v>#DIV/0!</v>
      </c>
      <c r="W324" s="36" t="e">
        <f t="shared" ref="W324:W387" si="99">D324/B324+F324/B324+H324/B324+J324/B324</f>
        <v>#DIV/0!</v>
      </c>
      <c r="X324" s="62" t="e">
        <f t="shared" si="91"/>
        <v>#DIV/0!</v>
      </c>
    </row>
    <row r="325" spans="1:24">
      <c r="A325" s="26"/>
      <c r="B325" s="27"/>
      <c r="C325" s="27"/>
      <c r="D325" s="27"/>
      <c r="E325" s="27"/>
      <c r="F325" s="27"/>
      <c r="G325" s="27"/>
      <c r="H325" s="27"/>
      <c r="I325" s="27"/>
      <c r="J325" s="27"/>
      <c r="K325" s="133" t="str">
        <f t="shared" si="93"/>
        <v/>
      </c>
      <c r="L325" s="44" t="str">
        <f t="shared" ref="L325:L388" si="100">IFERROR(D325*K325,"")</f>
        <v/>
      </c>
      <c r="M325" s="44" t="str">
        <f t="shared" si="94"/>
        <v/>
      </c>
      <c r="N325" s="44" t="str">
        <f t="shared" ref="N325:N388" si="101">IFERROR(F325*M325,"")</f>
        <v/>
      </c>
      <c r="O325" s="44" t="str">
        <f t="shared" si="95"/>
        <v/>
      </c>
      <c r="P325" s="44" t="str">
        <f t="shared" si="92"/>
        <v/>
      </c>
      <c r="Q325" s="44" t="str">
        <f t="shared" si="96"/>
        <v/>
      </c>
      <c r="R325" s="44" t="str">
        <f t="shared" ref="R325:R388" si="102">IFERROR(J325*Q325,"")</f>
        <v/>
      </c>
      <c r="S325" s="242">
        <f t="shared" ref="S325:S388" si="103">B325*0.2</f>
        <v>0</v>
      </c>
      <c r="T325" s="42">
        <f t="shared" ref="T325:T388" si="104">IFERROR(SUM(L325,N325,P325,R325,S325),"")</f>
        <v>0</v>
      </c>
      <c r="U325" s="42">
        <f t="shared" si="97"/>
        <v>0</v>
      </c>
      <c r="V325" s="36" t="e">
        <f t="shared" si="98"/>
        <v>#DIV/0!</v>
      </c>
      <c r="W325" s="36" t="e">
        <f t="shared" si="99"/>
        <v>#DIV/0!</v>
      </c>
      <c r="X325" s="62" t="e">
        <f t="shared" ref="X325:X388" si="105">ROUNDUP(V325*(1+小吃毛利),1)</f>
        <v>#DIV/0!</v>
      </c>
    </row>
    <row r="326" spans="1:24">
      <c r="A326" s="26"/>
      <c r="B326" s="27"/>
      <c r="C326" s="27"/>
      <c r="D326" s="27"/>
      <c r="E326" s="27"/>
      <c r="F326" s="27"/>
      <c r="G326" s="27"/>
      <c r="H326" s="27"/>
      <c r="I326" s="27"/>
      <c r="J326" s="27"/>
      <c r="K326" s="133" t="str">
        <f t="shared" si="93"/>
        <v/>
      </c>
      <c r="L326" s="44" t="str">
        <f t="shared" si="100"/>
        <v/>
      </c>
      <c r="M326" s="44" t="str">
        <f t="shared" si="94"/>
        <v/>
      </c>
      <c r="N326" s="44" t="str">
        <f t="shared" si="101"/>
        <v/>
      </c>
      <c r="O326" s="44" t="str">
        <f t="shared" si="95"/>
        <v/>
      </c>
      <c r="P326" s="44" t="str">
        <f t="shared" ref="P326:P389" si="106">IFERROR(H326*O326,"")</f>
        <v/>
      </c>
      <c r="Q326" s="44" t="str">
        <f t="shared" si="96"/>
        <v/>
      </c>
      <c r="R326" s="44" t="str">
        <f t="shared" si="102"/>
        <v/>
      </c>
      <c r="S326" s="242">
        <f t="shared" si="103"/>
        <v>0</v>
      </c>
      <c r="T326" s="42">
        <f t="shared" si="104"/>
        <v>0</v>
      </c>
      <c r="U326" s="42">
        <f t="shared" si="97"/>
        <v>0</v>
      </c>
      <c r="V326" s="36" t="e">
        <f t="shared" si="98"/>
        <v>#DIV/0!</v>
      </c>
      <c r="W326" s="36" t="e">
        <f t="shared" si="99"/>
        <v>#DIV/0!</v>
      </c>
      <c r="X326" s="62" t="e">
        <f t="shared" si="105"/>
        <v>#DIV/0!</v>
      </c>
    </row>
    <row r="327" spans="1:24">
      <c r="A327" s="26"/>
      <c r="B327" s="27"/>
      <c r="C327" s="27"/>
      <c r="D327" s="27"/>
      <c r="E327" s="27"/>
      <c r="F327" s="27"/>
      <c r="G327" s="27"/>
      <c r="H327" s="27"/>
      <c r="I327" s="27"/>
      <c r="J327" s="27"/>
      <c r="K327" s="133" t="str">
        <f t="shared" si="93"/>
        <v/>
      </c>
      <c r="L327" s="44" t="str">
        <f t="shared" si="100"/>
        <v/>
      </c>
      <c r="M327" s="44" t="str">
        <f t="shared" si="94"/>
        <v/>
      </c>
      <c r="N327" s="44" t="str">
        <f t="shared" si="101"/>
        <v/>
      </c>
      <c r="O327" s="44" t="str">
        <f t="shared" si="95"/>
        <v/>
      </c>
      <c r="P327" s="44" t="str">
        <f t="shared" si="106"/>
        <v/>
      </c>
      <c r="Q327" s="44" t="str">
        <f t="shared" si="96"/>
        <v/>
      </c>
      <c r="R327" s="44" t="str">
        <f t="shared" si="102"/>
        <v/>
      </c>
      <c r="S327" s="242">
        <f t="shared" si="103"/>
        <v>0</v>
      </c>
      <c r="T327" s="42">
        <f t="shared" si="104"/>
        <v>0</v>
      </c>
      <c r="U327" s="42">
        <f t="shared" si="97"/>
        <v>0</v>
      </c>
      <c r="V327" s="36" t="e">
        <f t="shared" si="98"/>
        <v>#DIV/0!</v>
      </c>
      <c r="W327" s="36" t="e">
        <f t="shared" si="99"/>
        <v>#DIV/0!</v>
      </c>
      <c r="X327" s="62" t="e">
        <f t="shared" si="105"/>
        <v>#DIV/0!</v>
      </c>
    </row>
    <row r="328" spans="1:24">
      <c r="A328" s="26"/>
      <c r="B328" s="27"/>
      <c r="C328" s="27"/>
      <c r="D328" s="27"/>
      <c r="E328" s="27"/>
      <c r="F328" s="27"/>
      <c r="G328" s="27"/>
      <c r="H328" s="27"/>
      <c r="I328" s="27"/>
      <c r="J328" s="27"/>
      <c r="K328" s="133" t="str">
        <f t="shared" si="93"/>
        <v/>
      </c>
      <c r="L328" s="44" t="str">
        <f t="shared" si="100"/>
        <v/>
      </c>
      <c r="M328" s="44" t="str">
        <f t="shared" si="94"/>
        <v/>
      </c>
      <c r="N328" s="44" t="str">
        <f t="shared" si="101"/>
        <v/>
      </c>
      <c r="O328" s="44" t="str">
        <f t="shared" si="95"/>
        <v/>
      </c>
      <c r="P328" s="44" t="str">
        <f t="shared" si="106"/>
        <v/>
      </c>
      <c r="Q328" s="44" t="str">
        <f t="shared" si="96"/>
        <v/>
      </c>
      <c r="R328" s="44" t="str">
        <f t="shared" si="102"/>
        <v/>
      </c>
      <c r="S328" s="242">
        <f t="shared" si="103"/>
        <v>0</v>
      </c>
      <c r="T328" s="42">
        <f t="shared" si="104"/>
        <v>0</v>
      </c>
      <c r="U328" s="42">
        <f t="shared" si="97"/>
        <v>0</v>
      </c>
      <c r="V328" s="36" t="e">
        <f t="shared" si="98"/>
        <v>#DIV/0!</v>
      </c>
      <c r="W328" s="36" t="e">
        <f t="shared" si="99"/>
        <v>#DIV/0!</v>
      </c>
      <c r="X328" s="62" t="e">
        <f t="shared" si="105"/>
        <v>#DIV/0!</v>
      </c>
    </row>
    <row r="329" spans="1:24">
      <c r="A329" s="26"/>
      <c r="B329" s="27"/>
      <c r="C329" s="27"/>
      <c r="D329" s="27"/>
      <c r="E329" s="27"/>
      <c r="F329" s="27"/>
      <c r="G329" s="27"/>
      <c r="H329" s="27"/>
      <c r="I329" s="27"/>
      <c r="J329" s="27"/>
      <c r="K329" s="133" t="str">
        <f t="shared" si="93"/>
        <v/>
      </c>
      <c r="L329" s="44" t="str">
        <f t="shared" si="100"/>
        <v/>
      </c>
      <c r="M329" s="44" t="str">
        <f t="shared" si="94"/>
        <v/>
      </c>
      <c r="N329" s="44" t="str">
        <f t="shared" si="101"/>
        <v/>
      </c>
      <c r="O329" s="44" t="str">
        <f t="shared" si="95"/>
        <v/>
      </c>
      <c r="P329" s="44" t="str">
        <f t="shared" si="106"/>
        <v/>
      </c>
      <c r="Q329" s="44" t="str">
        <f t="shared" si="96"/>
        <v/>
      </c>
      <c r="R329" s="44" t="str">
        <f t="shared" si="102"/>
        <v/>
      </c>
      <c r="S329" s="242">
        <f t="shared" si="103"/>
        <v>0</v>
      </c>
      <c r="T329" s="42">
        <f t="shared" si="104"/>
        <v>0</v>
      </c>
      <c r="U329" s="42">
        <f t="shared" si="97"/>
        <v>0</v>
      </c>
      <c r="V329" s="36" t="e">
        <f t="shared" si="98"/>
        <v>#DIV/0!</v>
      </c>
      <c r="W329" s="36" t="e">
        <f t="shared" si="99"/>
        <v>#DIV/0!</v>
      </c>
      <c r="X329" s="62" t="e">
        <f t="shared" si="105"/>
        <v>#DIV/0!</v>
      </c>
    </row>
    <row r="330" spans="1:24">
      <c r="A330" s="26"/>
      <c r="B330" s="27"/>
      <c r="C330" s="27"/>
      <c r="D330" s="27"/>
      <c r="E330" s="27"/>
      <c r="F330" s="27"/>
      <c r="G330" s="27"/>
      <c r="H330" s="27"/>
      <c r="I330" s="27"/>
      <c r="J330" s="27"/>
      <c r="K330" s="133" t="str">
        <f t="shared" si="93"/>
        <v/>
      </c>
      <c r="L330" s="44" t="str">
        <f t="shared" si="100"/>
        <v/>
      </c>
      <c r="M330" s="44" t="str">
        <f t="shared" si="94"/>
        <v/>
      </c>
      <c r="N330" s="44" t="str">
        <f t="shared" si="101"/>
        <v/>
      </c>
      <c r="O330" s="44" t="str">
        <f t="shared" si="95"/>
        <v/>
      </c>
      <c r="P330" s="44" t="str">
        <f t="shared" si="106"/>
        <v/>
      </c>
      <c r="Q330" s="44" t="str">
        <f t="shared" si="96"/>
        <v/>
      </c>
      <c r="R330" s="44" t="str">
        <f t="shared" si="102"/>
        <v/>
      </c>
      <c r="S330" s="242">
        <f t="shared" si="103"/>
        <v>0</v>
      </c>
      <c r="T330" s="42">
        <f t="shared" si="104"/>
        <v>0</v>
      </c>
      <c r="U330" s="42">
        <f t="shared" si="97"/>
        <v>0</v>
      </c>
      <c r="V330" s="36" t="e">
        <f t="shared" si="98"/>
        <v>#DIV/0!</v>
      </c>
      <c r="W330" s="36" t="e">
        <f t="shared" si="99"/>
        <v>#DIV/0!</v>
      </c>
      <c r="X330" s="62" t="e">
        <f t="shared" si="105"/>
        <v>#DIV/0!</v>
      </c>
    </row>
    <row r="331" spans="1:24">
      <c r="A331" s="26"/>
      <c r="B331" s="27"/>
      <c r="C331" s="27"/>
      <c r="D331" s="27"/>
      <c r="E331" s="27"/>
      <c r="F331" s="27"/>
      <c r="G331" s="27"/>
      <c r="H331" s="27"/>
      <c r="I331" s="27"/>
      <c r="J331" s="27"/>
      <c r="K331" s="133" t="str">
        <f t="shared" si="93"/>
        <v/>
      </c>
      <c r="L331" s="44" t="str">
        <f t="shared" si="100"/>
        <v/>
      </c>
      <c r="M331" s="44" t="str">
        <f t="shared" si="94"/>
        <v/>
      </c>
      <c r="N331" s="44" t="str">
        <f t="shared" si="101"/>
        <v/>
      </c>
      <c r="O331" s="44" t="str">
        <f t="shared" si="95"/>
        <v/>
      </c>
      <c r="P331" s="44" t="str">
        <f t="shared" si="106"/>
        <v/>
      </c>
      <c r="Q331" s="44" t="str">
        <f t="shared" si="96"/>
        <v/>
      </c>
      <c r="R331" s="44" t="str">
        <f t="shared" si="102"/>
        <v/>
      </c>
      <c r="S331" s="242">
        <f t="shared" si="103"/>
        <v>0</v>
      </c>
      <c r="T331" s="42">
        <f t="shared" si="104"/>
        <v>0</v>
      </c>
      <c r="U331" s="42">
        <f t="shared" si="97"/>
        <v>0</v>
      </c>
      <c r="V331" s="36" t="e">
        <f t="shared" si="98"/>
        <v>#DIV/0!</v>
      </c>
      <c r="W331" s="36" t="e">
        <f t="shared" si="99"/>
        <v>#DIV/0!</v>
      </c>
      <c r="X331" s="62" t="e">
        <f t="shared" si="105"/>
        <v>#DIV/0!</v>
      </c>
    </row>
    <row r="332" spans="1:24">
      <c r="A332" s="26"/>
      <c r="B332" s="27"/>
      <c r="C332" s="27"/>
      <c r="D332" s="27"/>
      <c r="E332" s="27"/>
      <c r="F332" s="27"/>
      <c r="G332" s="27"/>
      <c r="H332" s="27"/>
      <c r="I332" s="27"/>
      <c r="J332" s="27"/>
      <c r="K332" s="133" t="str">
        <f t="shared" si="93"/>
        <v/>
      </c>
      <c r="L332" s="44" t="str">
        <f t="shared" si="100"/>
        <v/>
      </c>
      <c r="M332" s="44" t="str">
        <f t="shared" si="94"/>
        <v/>
      </c>
      <c r="N332" s="44" t="str">
        <f t="shared" si="101"/>
        <v/>
      </c>
      <c r="O332" s="44" t="str">
        <f t="shared" si="95"/>
        <v/>
      </c>
      <c r="P332" s="44" t="str">
        <f t="shared" si="106"/>
        <v/>
      </c>
      <c r="Q332" s="44" t="str">
        <f t="shared" si="96"/>
        <v/>
      </c>
      <c r="R332" s="44" t="str">
        <f t="shared" si="102"/>
        <v/>
      </c>
      <c r="S332" s="242">
        <f t="shared" si="103"/>
        <v>0</v>
      </c>
      <c r="T332" s="42">
        <f t="shared" si="104"/>
        <v>0</v>
      </c>
      <c r="U332" s="42">
        <f t="shared" si="97"/>
        <v>0</v>
      </c>
      <c r="V332" s="36" t="e">
        <f t="shared" si="98"/>
        <v>#DIV/0!</v>
      </c>
      <c r="W332" s="36" t="e">
        <f t="shared" si="99"/>
        <v>#DIV/0!</v>
      </c>
      <c r="X332" s="62" t="e">
        <f t="shared" si="105"/>
        <v>#DIV/0!</v>
      </c>
    </row>
    <row r="333" spans="1:24">
      <c r="A333" s="26"/>
      <c r="B333" s="27"/>
      <c r="C333" s="27"/>
      <c r="D333" s="27"/>
      <c r="E333" s="27"/>
      <c r="F333" s="27"/>
      <c r="G333" s="27"/>
      <c r="H333" s="27"/>
      <c r="I333" s="27"/>
      <c r="J333" s="27"/>
      <c r="K333" s="133" t="str">
        <f t="shared" si="93"/>
        <v/>
      </c>
      <c r="L333" s="44" t="str">
        <f t="shared" si="100"/>
        <v/>
      </c>
      <c r="M333" s="44" t="str">
        <f t="shared" si="94"/>
        <v/>
      </c>
      <c r="N333" s="44" t="str">
        <f t="shared" si="101"/>
        <v/>
      </c>
      <c r="O333" s="44" t="str">
        <f t="shared" si="95"/>
        <v/>
      </c>
      <c r="P333" s="44" t="str">
        <f t="shared" si="106"/>
        <v/>
      </c>
      <c r="Q333" s="44" t="str">
        <f t="shared" si="96"/>
        <v/>
      </c>
      <c r="R333" s="44" t="str">
        <f t="shared" si="102"/>
        <v/>
      </c>
      <c r="S333" s="242">
        <f t="shared" si="103"/>
        <v>0</v>
      </c>
      <c r="T333" s="42">
        <f t="shared" si="104"/>
        <v>0</v>
      </c>
      <c r="U333" s="42">
        <f t="shared" si="97"/>
        <v>0</v>
      </c>
      <c r="V333" s="36" t="e">
        <f t="shared" si="98"/>
        <v>#DIV/0!</v>
      </c>
      <c r="W333" s="36" t="e">
        <f t="shared" si="99"/>
        <v>#DIV/0!</v>
      </c>
      <c r="X333" s="62" t="e">
        <f t="shared" si="105"/>
        <v>#DIV/0!</v>
      </c>
    </row>
    <row r="334" spans="1:24">
      <c r="A334" s="26"/>
      <c r="B334" s="27"/>
      <c r="C334" s="27"/>
      <c r="D334" s="27"/>
      <c r="E334" s="27"/>
      <c r="F334" s="27"/>
      <c r="G334" s="27"/>
      <c r="H334" s="27"/>
      <c r="I334" s="27"/>
      <c r="J334" s="27"/>
      <c r="K334" s="133" t="str">
        <f t="shared" si="93"/>
        <v/>
      </c>
      <c r="L334" s="44" t="str">
        <f t="shared" si="100"/>
        <v/>
      </c>
      <c r="M334" s="44" t="str">
        <f t="shared" si="94"/>
        <v/>
      </c>
      <c r="N334" s="44" t="str">
        <f t="shared" si="101"/>
        <v/>
      </c>
      <c r="O334" s="44" t="str">
        <f t="shared" si="95"/>
        <v/>
      </c>
      <c r="P334" s="44" t="str">
        <f t="shared" si="106"/>
        <v/>
      </c>
      <c r="Q334" s="44" t="str">
        <f t="shared" si="96"/>
        <v/>
      </c>
      <c r="R334" s="44" t="str">
        <f t="shared" si="102"/>
        <v/>
      </c>
      <c r="S334" s="242">
        <f t="shared" si="103"/>
        <v>0</v>
      </c>
      <c r="T334" s="42">
        <f t="shared" si="104"/>
        <v>0</v>
      </c>
      <c r="U334" s="42">
        <f t="shared" si="97"/>
        <v>0</v>
      </c>
      <c r="V334" s="36" t="e">
        <f t="shared" si="98"/>
        <v>#DIV/0!</v>
      </c>
      <c r="W334" s="36" t="e">
        <f t="shared" si="99"/>
        <v>#DIV/0!</v>
      </c>
      <c r="X334" s="62" t="e">
        <f t="shared" si="105"/>
        <v>#DIV/0!</v>
      </c>
    </row>
    <row r="335" spans="1:24">
      <c r="A335" s="26"/>
      <c r="B335" s="27"/>
      <c r="C335" s="27"/>
      <c r="D335" s="27"/>
      <c r="E335" s="27"/>
      <c r="F335" s="27"/>
      <c r="G335" s="27"/>
      <c r="H335" s="27"/>
      <c r="I335" s="27"/>
      <c r="J335" s="27"/>
      <c r="K335" s="133" t="str">
        <f t="shared" si="93"/>
        <v/>
      </c>
      <c r="L335" s="44" t="str">
        <f t="shared" si="100"/>
        <v/>
      </c>
      <c r="M335" s="44" t="str">
        <f t="shared" si="94"/>
        <v/>
      </c>
      <c r="N335" s="44" t="str">
        <f t="shared" si="101"/>
        <v/>
      </c>
      <c r="O335" s="44" t="str">
        <f t="shared" si="95"/>
        <v/>
      </c>
      <c r="P335" s="44" t="str">
        <f t="shared" si="106"/>
        <v/>
      </c>
      <c r="Q335" s="44" t="str">
        <f t="shared" si="96"/>
        <v/>
      </c>
      <c r="R335" s="44" t="str">
        <f t="shared" si="102"/>
        <v/>
      </c>
      <c r="S335" s="242">
        <f t="shared" si="103"/>
        <v>0</v>
      </c>
      <c r="T335" s="42">
        <f t="shared" si="104"/>
        <v>0</v>
      </c>
      <c r="U335" s="42">
        <f t="shared" si="97"/>
        <v>0</v>
      </c>
      <c r="V335" s="36" t="e">
        <f t="shared" si="98"/>
        <v>#DIV/0!</v>
      </c>
      <c r="W335" s="36" t="e">
        <f t="shared" si="99"/>
        <v>#DIV/0!</v>
      </c>
      <c r="X335" s="62" t="e">
        <f t="shared" si="105"/>
        <v>#DIV/0!</v>
      </c>
    </row>
    <row r="336" spans="1:24">
      <c r="A336" s="26"/>
      <c r="B336" s="27"/>
      <c r="C336" s="27"/>
      <c r="D336" s="27"/>
      <c r="E336" s="27"/>
      <c r="F336" s="27"/>
      <c r="G336" s="27"/>
      <c r="H336" s="27"/>
      <c r="I336" s="27"/>
      <c r="J336" s="27"/>
      <c r="K336" s="133" t="str">
        <f t="shared" si="93"/>
        <v/>
      </c>
      <c r="L336" s="44" t="str">
        <f t="shared" si="100"/>
        <v/>
      </c>
      <c r="M336" s="44" t="str">
        <f t="shared" si="94"/>
        <v/>
      </c>
      <c r="N336" s="44" t="str">
        <f t="shared" si="101"/>
        <v/>
      </c>
      <c r="O336" s="44" t="str">
        <f t="shared" si="95"/>
        <v/>
      </c>
      <c r="P336" s="44" t="str">
        <f t="shared" si="106"/>
        <v/>
      </c>
      <c r="Q336" s="44" t="str">
        <f t="shared" si="96"/>
        <v/>
      </c>
      <c r="R336" s="44" t="str">
        <f t="shared" si="102"/>
        <v/>
      </c>
      <c r="S336" s="242">
        <f t="shared" si="103"/>
        <v>0</v>
      </c>
      <c r="T336" s="42">
        <f t="shared" si="104"/>
        <v>0</v>
      </c>
      <c r="U336" s="42">
        <f t="shared" si="97"/>
        <v>0</v>
      </c>
      <c r="V336" s="36" t="e">
        <f t="shared" si="98"/>
        <v>#DIV/0!</v>
      </c>
      <c r="W336" s="36" t="e">
        <f t="shared" si="99"/>
        <v>#DIV/0!</v>
      </c>
      <c r="X336" s="62" t="e">
        <f t="shared" si="105"/>
        <v>#DIV/0!</v>
      </c>
    </row>
    <row r="337" spans="1:24">
      <c r="A337" s="26"/>
      <c r="B337" s="27"/>
      <c r="C337" s="27"/>
      <c r="D337" s="27"/>
      <c r="E337" s="27"/>
      <c r="F337" s="27"/>
      <c r="G337" s="27"/>
      <c r="H337" s="27"/>
      <c r="I337" s="27"/>
      <c r="J337" s="27"/>
      <c r="K337" s="133" t="str">
        <f t="shared" si="93"/>
        <v/>
      </c>
      <c r="L337" s="44" t="str">
        <f t="shared" si="100"/>
        <v/>
      </c>
      <c r="M337" s="44" t="str">
        <f t="shared" si="94"/>
        <v/>
      </c>
      <c r="N337" s="44" t="str">
        <f t="shared" si="101"/>
        <v/>
      </c>
      <c r="O337" s="44" t="str">
        <f t="shared" si="95"/>
        <v/>
      </c>
      <c r="P337" s="44" t="str">
        <f t="shared" si="106"/>
        <v/>
      </c>
      <c r="Q337" s="44" t="str">
        <f t="shared" si="96"/>
        <v/>
      </c>
      <c r="R337" s="44" t="str">
        <f t="shared" si="102"/>
        <v/>
      </c>
      <c r="S337" s="242">
        <f t="shared" si="103"/>
        <v>0</v>
      </c>
      <c r="T337" s="42">
        <f t="shared" si="104"/>
        <v>0</v>
      </c>
      <c r="U337" s="42">
        <f t="shared" si="97"/>
        <v>0</v>
      </c>
      <c r="V337" s="36" t="e">
        <f t="shared" si="98"/>
        <v>#DIV/0!</v>
      </c>
      <c r="W337" s="36" t="e">
        <f t="shared" si="99"/>
        <v>#DIV/0!</v>
      </c>
      <c r="X337" s="62" t="e">
        <f t="shared" si="105"/>
        <v>#DIV/0!</v>
      </c>
    </row>
    <row r="338" spans="1:24">
      <c r="A338" s="26"/>
      <c r="B338" s="27"/>
      <c r="C338" s="27"/>
      <c r="D338" s="27"/>
      <c r="E338" s="27"/>
      <c r="F338" s="27"/>
      <c r="G338" s="27"/>
      <c r="H338" s="27"/>
      <c r="I338" s="27"/>
      <c r="J338" s="27"/>
      <c r="K338" s="133" t="str">
        <f t="shared" si="93"/>
        <v/>
      </c>
      <c r="L338" s="44" t="str">
        <f t="shared" si="100"/>
        <v/>
      </c>
      <c r="M338" s="44" t="str">
        <f t="shared" si="94"/>
        <v/>
      </c>
      <c r="N338" s="44" t="str">
        <f t="shared" si="101"/>
        <v/>
      </c>
      <c r="O338" s="44" t="str">
        <f t="shared" si="95"/>
        <v/>
      </c>
      <c r="P338" s="44" t="str">
        <f t="shared" si="106"/>
        <v/>
      </c>
      <c r="Q338" s="44" t="str">
        <f t="shared" si="96"/>
        <v/>
      </c>
      <c r="R338" s="44" t="str">
        <f t="shared" si="102"/>
        <v/>
      </c>
      <c r="S338" s="242">
        <f t="shared" si="103"/>
        <v>0</v>
      </c>
      <c r="T338" s="42">
        <f t="shared" si="104"/>
        <v>0</v>
      </c>
      <c r="U338" s="42">
        <f t="shared" si="97"/>
        <v>0</v>
      </c>
      <c r="V338" s="36" t="e">
        <f t="shared" si="98"/>
        <v>#DIV/0!</v>
      </c>
      <c r="W338" s="36" t="e">
        <f t="shared" si="99"/>
        <v>#DIV/0!</v>
      </c>
      <c r="X338" s="62" t="e">
        <f t="shared" si="105"/>
        <v>#DIV/0!</v>
      </c>
    </row>
    <row r="339" spans="1:24">
      <c r="A339" s="26"/>
      <c r="B339" s="27"/>
      <c r="C339" s="27"/>
      <c r="D339" s="27"/>
      <c r="E339" s="27"/>
      <c r="F339" s="27"/>
      <c r="G339" s="27"/>
      <c r="H339" s="27"/>
      <c r="I339" s="27"/>
      <c r="J339" s="27"/>
      <c r="K339" s="133" t="str">
        <f t="shared" si="93"/>
        <v/>
      </c>
      <c r="L339" s="44" t="str">
        <f t="shared" si="100"/>
        <v/>
      </c>
      <c r="M339" s="44" t="str">
        <f t="shared" si="94"/>
        <v/>
      </c>
      <c r="N339" s="44" t="str">
        <f t="shared" si="101"/>
        <v/>
      </c>
      <c r="O339" s="44" t="str">
        <f t="shared" si="95"/>
        <v/>
      </c>
      <c r="P339" s="44" t="str">
        <f t="shared" si="106"/>
        <v/>
      </c>
      <c r="Q339" s="44" t="str">
        <f t="shared" si="96"/>
        <v/>
      </c>
      <c r="R339" s="44" t="str">
        <f t="shared" si="102"/>
        <v/>
      </c>
      <c r="S339" s="242">
        <f t="shared" si="103"/>
        <v>0</v>
      </c>
      <c r="T339" s="42">
        <f t="shared" si="104"/>
        <v>0</v>
      </c>
      <c r="U339" s="42">
        <f t="shared" si="97"/>
        <v>0</v>
      </c>
      <c r="V339" s="36" t="e">
        <f t="shared" si="98"/>
        <v>#DIV/0!</v>
      </c>
      <c r="W339" s="36" t="e">
        <f t="shared" si="99"/>
        <v>#DIV/0!</v>
      </c>
      <c r="X339" s="62" t="e">
        <f t="shared" si="105"/>
        <v>#DIV/0!</v>
      </c>
    </row>
    <row r="340" spans="1:24">
      <c r="A340" s="26"/>
      <c r="B340" s="27"/>
      <c r="C340" s="27"/>
      <c r="D340" s="27"/>
      <c r="E340" s="27"/>
      <c r="F340" s="27"/>
      <c r="G340" s="27"/>
      <c r="H340" s="27"/>
      <c r="I340" s="27"/>
      <c r="J340" s="27"/>
      <c r="K340" s="133" t="str">
        <f t="shared" si="93"/>
        <v/>
      </c>
      <c r="L340" s="44" t="str">
        <f t="shared" si="100"/>
        <v/>
      </c>
      <c r="M340" s="44" t="str">
        <f t="shared" si="94"/>
        <v/>
      </c>
      <c r="N340" s="44" t="str">
        <f t="shared" si="101"/>
        <v/>
      </c>
      <c r="O340" s="44" t="str">
        <f t="shared" si="95"/>
        <v/>
      </c>
      <c r="P340" s="44" t="str">
        <f t="shared" si="106"/>
        <v/>
      </c>
      <c r="Q340" s="44" t="str">
        <f t="shared" si="96"/>
        <v/>
      </c>
      <c r="R340" s="44" t="str">
        <f t="shared" si="102"/>
        <v/>
      </c>
      <c r="S340" s="242">
        <f t="shared" si="103"/>
        <v>0</v>
      </c>
      <c r="T340" s="42">
        <f t="shared" si="104"/>
        <v>0</v>
      </c>
      <c r="U340" s="42">
        <f t="shared" si="97"/>
        <v>0</v>
      </c>
      <c r="V340" s="36" t="e">
        <f t="shared" si="98"/>
        <v>#DIV/0!</v>
      </c>
      <c r="W340" s="36" t="e">
        <f t="shared" si="99"/>
        <v>#DIV/0!</v>
      </c>
      <c r="X340" s="62" t="e">
        <f t="shared" si="105"/>
        <v>#DIV/0!</v>
      </c>
    </row>
    <row r="341" spans="1:24">
      <c r="A341" s="26"/>
      <c r="B341" s="27"/>
      <c r="C341" s="27"/>
      <c r="D341" s="27"/>
      <c r="E341" s="27"/>
      <c r="F341" s="27"/>
      <c r="G341" s="27"/>
      <c r="H341" s="27"/>
      <c r="I341" s="27"/>
      <c r="J341" s="27"/>
      <c r="K341" s="133" t="str">
        <f t="shared" si="93"/>
        <v/>
      </c>
      <c r="L341" s="44" t="str">
        <f t="shared" si="100"/>
        <v/>
      </c>
      <c r="M341" s="44" t="str">
        <f t="shared" si="94"/>
        <v/>
      </c>
      <c r="N341" s="44" t="str">
        <f t="shared" si="101"/>
        <v/>
      </c>
      <c r="O341" s="44" t="str">
        <f t="shared" si="95"/>
        <v/>
      </c>
      <c r="P341" s="44" t="str">
        <f t="shared" si="106"/>
        <v/>
      </c>
      <c r="Q341" s="44" t="str">
        <f t="shared" si="96"/>
        <v/>
      </c>
      <c r="R341" s="44" t="str">
        <f t="shared" si="102"/>
        <v/>
      </c>
      <c r="S341" s="242">
        <f t="shared" si="103"/>
        <v>0</v>
      </c>
      <c r="T341" s="42">
        <f t="shared" si="104"/>
        <v>0</v>
      </c>
      <c r="U341" s="42">
        <f t="shared" si="97"/>
        <v>0</v>
      </c>
      <c r="V341" s="36" t="e">
        <f t="shared" si="98"/>
        <v>#DIV/0!</v>
      </c>
      <c r="W341" s="36" t="e">
        <f t="shared" si="99"/>
        <v>#DIV/0!</v>
      </c>
      <c r="X341" s="62" t="e">
        <f t="shared" si="105"/>
        <v>#DIV/0!</v>
      </c>
    </row>
    <row r="342" spans="1:24">
      <c r="A342" s="26"/>
      <c r="B342" s="27"/>
      <c r="C342" s="27"/>
      <c r="D342" s="27"/>
      <c r="E342" s="27"/>
      <c r="F342" s="27"/>
      <c r="G342" s="27"/>
      <c r="H342" s="27"/>
      <c r="I342" s="27"/>
      <c r="J342" s="27"/>
      <c r="K342" s="133" t="str">
        <f t="shared" si="93"/>
        <v/>
      </c>
      <c r="L342" s="44" t="str">
        <f t="shared" si="100"/>
        <v/>
      </c>
      <c r="M342" s="44" t="str">
        <f t="shared" si="94"/>
        <v/>
      </c>
      <c r="N342" s="44" t="str">
        <f t="shared" si="101"/>
        <v/>
      </c>
      <c r="O342" s="44" t="str">
        <f t="shared" si="95"/>
        <v/>
      </c>
      <c r="P342" s="44" t="str">
        <f t="shared" si="106"/>
        <v/>
      </c>
      <c r="Q342" s="44" t="str">
        <f t="shared" si="96"/>
        <v/>
      </c>
      <c r="R342" s="44" t="str">
        <f t="shared" si="102"/>
        <v/>
      </c>
      <c r="S342" s="242">
        <f t="shared" si="103"/>
        <v>0</v>
      </c>
      <c r="T342" s="42">
        <f t="shared" si="104"/>
        <v>0</v>
      </c>
      <c r="U342" s="42">
        <f t="shared" si="97"/>
        <v>0</v>
      </c>
      <c r="V342" s="36" t="e">
        <f t="shared" si="98"/>
        <v>#DIV/0!</v>
      </c>
      <c r="W342" s="36" t="e">
        <f t="shared" si="99"/>
        <v>#DIV/0!</v>
      </c>
      <c r="X342" s="62" t="e">
        <f t="shared" si="105"/>
        <v>#DIV/0!</v>
      </c>
    </row>
    <row r="343" spans="1:24">
      <c r="A343" s="26"/>
      <c r="B343" s="27"/>
      <c r="C343" s="27"/>
      <c r="D343" s="27"/>
      <c r="E343" s="27"/>
      <c r="F343" s="27"/>
      <c r="G343" s="27"/>
      <c r="H343" s="27"/>
      <c r="I343" s="27"/>
      <c r="J343" s="27"/>
      <c r="K343" s="133" t="str">
        <f t="shared" si="93"/>
        <v/>
      </c>
      <c r="L343" s="44" t="str">
        <f t="shared" si="100"/>
        <v/>
      </c>
      <c r="M343" s="44" t="str">
        <f t="shared" si="94"/>
        <v/>
      </c>
      <c r="N343" s="44" t="str">
        <f t="shared" si="101"/>
        <v/>
      </c>
      <c r="O343" s="44" t="str">
        <f t="shared" si="95"/>
        <v/>
      </c>
      <c r="P343" s="44" t="str">
        <f t="shared" si="106"/>
        <v/>
      </c>
      <c r="Q343" s="44" t="str">
        <f t="shared" si="96"/>
        <v/>
      </c>
      <c r="R343" s="44" t="str">
        <f t="shared" si="102"/>
        <v/>
      </c>
      <c r="S343" s="242">
        <f t="shared" si="103"/>
        <v>0</v>
      </c>
      <c r="T343" s="42">
        <f t="shared" si="104"/>
        <v>0</v>
      </c>
      <c r="U343" s="42">
        <f t="shared" si="97"/>
        <v>0</v>
      </c>
      <c r="V343" s="36" t="e">
        <f t="shared" si="98"/>
        <v>#DIV/0!</v>
      </c>
      <c r="W343" s="36" t="e">
        <f t="shared" si="99"/>
        <v>#DIV/0!</v>
      </c>
      <c r="X343" s="62" t="e">
        <f t="shared" si="105"/>
        <v>#DIV/0!</v>
      </c>
    </row>
    <row r="344" spans="1:24">
      <c r="A344" s="26"/>
      <c r="B344" s="27"/>
      <c r="C344" s="27"/>
      <c r="D344" s="27"/>
      <c r="E344" s="27"/>
      <c r="F344" s="27"/>
      <c r="G344" s="27"/>
      <c r="H344" s="27"/>
      <c r="I344" s="27"/>
      <c r="J344" s="27"/>
      <c r="K344" s="133" t="str">
        <f t="shared" si="93"/>
        <v/>
      </c>
      <c r="L344" s="44" t="str">
        <f t="shared" si="100"/>
        <v/>
      </c>
      <c r="M344" s="44" t="str">
        <f t="shared" si="94"/>
        <v/>
      </c>
      <c r="N344" s="44" t="str">
        <f t="shared" si="101"/>
        <v/>
      </c>
      <c r="O344" s="44" t="str">
        <f t="shared" si="95"/>
        <v/>
      </c>
      <c r="P344" s="44" t="str">
        <f t="shared" si="106"/>
        <v/>
      </c>
      <c r="Q344" s="44" t="str">
        <f t="shared" si="96"/>
        <v/>
      </c>
      <c r="R344" s="44" t="str">
        <f t="shared" si="102"/>
        <v/>
      </c>
      <c r="S344" s="242">
        <f t="shared" si="103"/>
        <v>0</v>
      </c>
      <c r="T344" s="42">
        <f t="shared" si="104"/>
        <v>0</v>
      </c>
      <c r="U344" s="42">
        <f t="shared" si="97"/>
        <v>0</v>
      </c>
      <c r="V344" s="36" t="e">
        <f t="shared" si="98"/>
        <v>#DIV/0!</v>
      </c>
      <c r="W344" s="36" t="e">
        <f t="shared" si="99"/>
        <v>#DIV/0!</v>
      </c>
      <c r="X344" s="62" t="e">
        <f t="shared" si="105"/>
        <v>#DIV/0!</v>
      </c>
    </row>
    <row r="345" spans="1:24">
      <c r="A345" s="26"/>
      <c r="B345" s="27"/>
      <c r="C345" s="27"/>
      <c r="D345" s="27"/>
      <c r="E345" s="27"/>
      <c r="F345" s="27"/>
      <c r="G345" s="27"/>
      <c r="H345" s="27"/>
      <c r="I345" s="27"/>
      <c r="J345" s="27"/>
      <c r="K345" s="133" t="str">
        <f t="shared" si="93"/>
        <v/>
      </c>
      <c r="L345" s="44" t="str">
        <f t="shared" si="100"/>
        <v/>
      </c>
      <c r="M345" s="44" t="str">
        <f t="shared" si="94"/>
        <v/>
      </c>
      <c r="N345" s="44" t="str">
        <f t="shared" si="101"/>
        <v/>
      </c>
      <c r="O345" s="44" t="str">
        <f t="shared" si="95"/>
        <v/>
      </c>
      <c r="P345" s="44" t="str">
        <f t="shared" si="106"/>
        <v/>
      </c>
      <c r="Q345" s="44" t="str">
        <f t="shared" si="96"/>
        <v/>
      </c>
      <c r="R345" s="44" t="str">
        <f t="shared" si="102"/>
        <v/>
      </c>
      <c r="S345" s="242">
        <f t="shared" si="103"/>
        <v>0</v>
      </c>
      <c r="T345" s="42">
        <f t="shared" si="104"/>
        <v>0</v>
      </c>
      <c r="U345" s="42">
        <f t="shared" si="97"/>
        <v>0</v>
      </c>
      <c r="V345" s="36" t="e">
        <f t="shared" si="98"/>
        <v>#DIV/0!</v>
      </c>
      <c r="W345" s="36" t="e">
        <f t="shared" si="99"/>
        <v>#DIV/0!</v>
      </c>
      <c r="X345" s="62" t="e">
        <f t="shared" si="105"/>
        <v>#DIV/0!</v>
      </c>
    </row>
    <row r="346" spans="1:24">
      <c r="A346" s="26"/>
      <c r="B346" s="27"/>
      <c r="C346" s="27"/>
      <c r="D346" s="27"/>
      <c r="E346" s="27"/>
      <c r="F346" s="27"/>
      <c r="G346" s="27"/>
      <c r="H346" s="27"/>
      <c r="I346" s="27"/>
      <c r="J346" s="27"/>
      <c r="K346" s="133" t="str">
        <f t="shared" si="93"/>
        <v/>
      </c>
      <c r="L346" s="44" t="str">
        <f t="shared" si="100"/>
        <v/>
      </c>
      <c r="M346" s="44" t="str">
        <f t="shared" si="94"/>
        <v/>
      </c>
      <c r="N346" s="44" t="str">
        <f t="shared" si="101"/>
        <v/>
      </c>
      <c r="O346" s="44" t="str">
        <f t="shared" si="95"/>
        <v/>
      </c>
      <c r="P346" s="44" t="str">
        <f t="shared" si="106"/>
        <v/>
      </c>
      <c r="Q346" s="44" t="str">
        <f t="shared" si="96"/>
        <v/>
      </c>
      <c r="R346" s="44" t="str">
        <f t="shared" si="102"/>
        <v/>
      </c>
      <c r="S346" s="242">
        <f t="shared" si="103"/>
        <v>0</v>
      </c>
      <c r="T346" s="42">
        <f t="shared" si="104"/>
        <v>0</v>
      </c>
      <c r="U346" s="42">
        <f t="shared" si="97"/>
        <v>0</v>
      </c>
      <c r="V346" s="36" t="e">
        <f t="shared" si="98"/>
        <v>#DIV/0!</v>
      </c>
      <c r="W346" s="36" t="e">
        <f t="shared" si="99"/>
        <v>#DIV/0!</v>
      </c>
      <c r="X346" s="62" t="e">
        <f t="shared" si="105"/>
        <v>#DIV/0!</v>
      </c>
    </row>
    <row r="347" spans="1:24">
      <c r="A347" s="26"/>
      <c r="B347" s="27"/>
      <c r="C347" s="27"/>
      <c r="D347" s="27"/>
      <c r="E347" s="27"/>
      <c r="F347" s="27"/>
      <c r="G347" s="27"/>
      <c r="H347" s="27"/>
      <c r="I347" s="27"/>
      <c r="J347" s="27"/>
      <c r="K347" s="133" t="str">
        <f t="shared" si="93"/>
        <v/>
      </c>
      <c r="L347" s="44" t="str">
        <f t="shared" si="100"/>
        <v/>
      </c>
      <c r="M347" s="44" t="str">
        <f t="shared" si="94"/>
        <v/>
      </c>
      <c r="N347" s="44" t="str">
        <f t="shared" si="101"/>
        <v/>
      </c>
      <c r="O347" s="44" t="str">
        <f t="shared" si="95"/>
        <v/>
      </c>
      <c r="P347" s="44" t="str">
        <f t="shared" si="106"/>
        <v/>
      </c>
      <c r="Q347" s="44" t="str">
        <f t="shared" si="96"/>
        <v/>
      </c>
      <c r="R347" s="44" t="str">
        <f t="shared" si="102"/>
        <v/>
      </c>
      <c r="S347" s="242">
        <f t="shared" si="103"/>
        <v>0</v>
      </c>
      <c r="T347" s="42">
        <f t="shared" si="104"/>
        <v>0</v>
      </c>
      <c r="U347" s="42">
        <f t="shared" si="97"/>
        <v>0</v>
      </c>
      <c r="V347" s="36" t="e">
        <f t="shared" si="98"/>
        <v>#DIV/0!</v>
      </c>
      <c r="W347" s="36" t="e">
        <f t="shared" si="99"/>
        <v>#DIV/0!</v>
      </c>
      <c r="X347" s="62" t="e">
        <f t="shared" si="105"/>
        <v>#DIV/0!</v>
      </c>
    </row>
    <row r="348" spans="1:24">
      <c r="A348" s="26"/>
      <c r="B348" s="27"/>
      <c r="C348" s="27"/>
      <c r="D348" s="27"/>
      <c r="E348" s="27"/>
      <c r="F348" s="27"/>
      <c r="G348" s="27"/>
      <c r="H348" s="27"/>
      <c r="I348" s="27"/>
      <c r="J348" s="27"/>
      <c r="K348" s="133" t="str">
        <f t="shared" si="93"/>
        <v/>
      </c>
      <c r="L348" s="44" t="str">
        <f t="shared" si="100"/>
        <v/>
      </c>
      <c r="M348" s="44" t="str">
        <f t="shared" si="94"/>
        <v/>
      </c>
      <c r="N348" s="44" t="str">
        <f t="shared" si="101"/>
        <v/>
      </c>
      <c r="O348" s="44" t="str">
        <f t="shared" si="95"/>
        <v/>
      </c>
      <c r="P348" s="44" t="str">
        <f t="shared" si="106"/>
        <v/>
      </c>
      <c r="Q348" s="44" t="str">
        <f t="shared" si="96"/>
        <v/>
      </c>
      <c r="R348" s="44" t="str">
        <f t="shared" si="102"/>
        <v/>
      </c>
      <c r="S348" s="242">
        <f t="shared" si="103"/>
        <v>0</v>
      </c>
      <c r="T348" s="42">
        <f t="shared" si="104"/>
        <v>0</v>
      </c>
      <c r="U348" s="42">
        <f t="shared" si="97"/>
        <v>0</v>
      </c>
      <c r="V348" s="36" t="e">
        <f t="shared" si="98"/>
        <v>#DIV/0!</v>
      </c>
      <c r="W348" s="36" t="e">
        <f t="shared" si="99"/>
        <v>#DIV/0!</v>
      </c>
      <c r="X348" s="62" t="e">
        <f t="shared" si="105"/>
        <v>#DIV/0!</v>
      </c>
    </row>
    <row r="349" spans="1:24">
      <c r="A349" s="26"/>
      <c r="B349" s="27"/>
      <c r="C349" s="27"/>
      <c r="D349" s="27"/>
      <c r="E349" s="27"/>
      <c r="F349" s="27"/>
      <c r="G349" s="27"/>
      <c r="H349" s="27"/>
      <c r="I349" s="27"/>
      <c r="J349" s="27"/>
      <c r="K349" s="133" t="str">
        <f t="shared" si="93"/>
        <v/>
      </c>
      <c r="L349" s="44" t="str">
        <f t="shared" si="100"/>
        <v/>
      </c>
      <c r="M349" s="44" t="str">
        <f t="shared" si="94"/>
        <v/>
      </c>
      <c r="N349" s="44" t="str">
        <f t="shared" si="101"/>
        <v/>
      </c>
      <c r="O349" s="44" t="str">
        <f t="shared" si="95"/>
        <v/>
      </c>
      <c r="P349" s="44" t="str">
        <f t="shared" si="106"/>
        <v/>
      </c>
      <c r="Q349" s="44" t="str">
        <f t="shared" si="96"/>
        <v/>
      </c>
      <c r="R349" s="44" t="str">
        <f t="shared" si="102"/>
        <v/>
      </c>
      <c r="S349" s="242">
        <f t="shared" si="103"/>
        <v>0</v>
      </c>
      <c r="T349" s="42">
        <f t="shared" si="104"/>
        <v>0</v>
      </c>
      <c r="U349" s="42">
        <f t="shared" si="97"/>
        <v>0</v>
      </c>
      <c r="V349" s="36" t="e">
        <f t="shared" si="98"/>
        <v>#DIV/0!</v>
      </c>
      <c r="W349" s="36" t="e">
        <f t="shared" si="99"/>
        <v>#DIV/0!</v>
      </c>
      <c r="X349" s="62" t="e">
        <f t="shared" si="105"/>
        <v>#DIV/0!</v>
      </c>
    </row>
    <row r="350" spans="1:24">
      <c r="A350" s="26"/>
      <c r="B350" s="27"/>
      <c r="C350" s="27"/>
      <c r="D350" s="27"/>
      <c r="E350" s="27"/>
      <c r="F350" s="27"/>
      <c r="G350" s="27"/>
      <c r="H350" s="27"/>
      <c r="I350" s="27"/>
      <c r="J350" s="27"/>
      <c r="K350" s="133" t="str">
        <f t="shared" si="93"/>
        <v/>
      </c>
      <c r="L350" s="44" t="str">
        <f t="shared" si="100"/>
        <v/>
      </c>
      <c r="M350" s="44" t="str">
        <f t="shared" si="94"/>
        <v/>
      </c>
      <c r="N350" s="44" t="str">
        <f t="shared" si="101"/>
        <v/>
      </c>
      <c r="O350" s="44" t="str">
        <f t="shared" si="95"/>
        <v/>
      </c>
      <c r="P350" s="44" t="str">
        <f t="shared" si="106"/>
        <v/>
      </c>
      <c r="Q350" s="44" t="str">
        <f t="shared" si="96"/>
        <v/>
      </c>
      <c r="R350" s="44" t="str">
        <f t="shared" si="102"/>
        <v/>
      </c>
      <c r="S350" s="242">
        <f t="shared" si="103"/>
        <v>0</v>
      </c>
      <c r="T350" s="42">
        <f t="shared" si="104"/>
        <v>0</v>
      </c>
      <c r="U350" s="42">
        <f t="shared" si="97"/>
        <v>0</v>
      </c>
      <c r="V350" s="36" t="e">
        <f t="shared" si="98"/>
        <v>#DIV/0!</v>
      </c>
      <c r="W350" s="36" t="e">
        <f t="shared" si="99"/>
        <v>#DIV/0!</v>
      </c>
      <c r="X350" s="62" t="e">
        <f t="shared" si="105"/>
        <v>#DIV/0!</v>
      </c>
    </row>
    <row r="351" spans="1:24">
      <c r="A351" s="26"/>
      <c r="B351" s="27"/>
      <c r="C351" s="27"/>
      <c r="D351" s="27"/>
      <c r="E351" s="27"/>
      <c r="F351" s="27"/>
      <c r="G351" s="27"/>
      <c r="H351" s="27"/>
      <c r="I351" s="27"/>
      <c r="J351" s="27"/>
      <c r="K351" s="133" t="str">
        <f t="shared" si="93"/>
        <v/>
      </c>
      <c r="L351" s="44" t="str">
        <f t="shared" si="100"/>
        <v/>
      </c>
      <c r="M351" s="44" t="str">
        <f t="shared" si="94"/>
        <v/>
      </c>
      <c r="N351" s="44" t="str">
        <f t="shared" si="101"/>
        <v/>
      </c>
      <c r="O351" s="44" t="str">
        <f t="shared" si="95"/>
        <v/>
      </c>
      <c r="P351" s="44" t="str">
        <f t="shared" si="106"/>
        <v/>
      </c>
      <c r="Q351" s="44" t="str">
        <f t="shared" si="96"/>
        <v/>
      </c>
      <c r="R351" s="44" t="str">
        <f t="shared" si="102"/>
        <v/>
      </c>
      <c r="S351" s="242">
        <f t="shared" si="103"/>
        <v>0</v>
      </c>
      <c r="T351" s="42">
        <f t="shared" si="104"/>
        <v>0</v>
      </c>
      <c r="U351" s="42">
        <f t="shared" si="97"/>
        <v>0</v>
      </c>
      <c r="V351" s="36" t="e">
        <f t="shared" si="98"/>
        <v>#DIV/0!</v>
      </c>
      <c r="W351" s="36" t="e">
        <f t="shared" si="99"/>
        <v>#DIV/0!</v>
      </c>
      <c r="X351" s="62" t="e">
        <f t="shared" si="105"/>
        <v>#DIV/0!</v>
      </c>
    </row>
    <row r="352" spans="1:24">
      <c r="A352" s="26"/>
      <c r="B352" s="27"/>
      <c r="C352" s="27"/>
      <c r="D352" s="27"/>
      <c r="E352" s="27"/>
      <c r="F352" s="27"/>
      <c r="G352" s="27"/>
      <c r="H352" s="27"/>
      <c r="I352" s="27"/>
      <c r="J352" s="27"/>
      <c r="K352" s="133" t="str">
        <f t="shared" si="93"/>
        <v/>
      </c>
      <c r="L352" s="44" t="str">
        <f t="shared" si="100"/>
        <v/>
      </c>
      <c r="M352" s="44" t="str">
        <f t="shared" si="94"/>
        <v/>
      </c>
      <c r="N352" s="44" t="str">
        <f t="shared" si="101"/>
        <v/>
      </c>
      <c r="O352" s="44" t="str">
        <f t="shared" si="95"/>
        <v/>
      </c>
      <c r="P352" s="44" t="str">
        <f t="shared" si="106"/>
        <v/>
      </c>
      <c r="Q352" s="44" t="str">
        <f t="shared" si="96"/>
        <v/>
      </c>
      <c r="R352" s="44" t="str">
        <f t="shared" si="102"/>
        <v/>
      </c>
      <c r="S352" s="242">
        <f t="shared" si="103"/>
        <v>0</v>
      </c>
      <c r="T352" s="42">
        <f t="shared" si="104"/>
        <v>0</v>
      </c>
      <c r="U352" s="42">
        <f t="shared" si="97"/>
        <v>0</v>
      </c>
      <c r="V352" s="36" t="e">
        <f t="shared" si="98"/>
        <v>#DIV/0!</v>
      </c>
      <c r="W352" s="36" t="e">
        <f t="shared" si="99"/>
        <v>#DIV/0!</v>
      </c>
      <c r="X352" s="62" t="e">
        <f t="shared" si="105"/>
        <v>#DIV/0!</v>
      </c>
    </row>
    <row r="353" spans="1:24">
      <c r="A353" s="26"/>
      <c r="B353" s="27"/>
      <c r="C353" s="27"/>
      <c r="D353" s="27"/>
      <c r="E353" s="27"/>
      <c r="F353" s="27"/>
      <c r="G353" s="27"/>
      <c r="H353" s="27"/>
      <c r="I353" s="27"/>
      <c r="J353" s="27"/>
      <c r="K353" s="133" t="str">
        <f t="shared" si="93"/>
        <v/>
      </c>
      <c r="L353" s="44" t="str">
        <f t="shared" si="100"/>
        <v/>
      </c>
      <c r="M353" s="44" t="str">
        <f t="shared" si="94"/>
        <v/>
      </c>
      <c r="N353" s="44" t="str">
        <f t="shared" si="101"/>
        <v/>
      </c>
      <c r="O353" s="44" t="str">
        <f t="shared" si="95"/>
        <v/>
      </c>
      <c r="P353" s="44" t="str">
        <f t="shared" si="106"/>
        <v/>
      </c>
      <c r="Q353" s="44" t="str">
        <f t="shared" si="96"/>
        <v/>
      </c>
      <c r="R353" s="44" t="str">
        <f t="shared" si="102"/>
        <v/>
      </c>
      <c r="S353" s="242">
        <f t="shared" si="103"/>
        <v>0</v>
      </c>
      <c r="T353" s="42">
        <f t="shared" si="104"/>
        <v>0</v>
      </c>
      <c r="U353" s="42">
        <f t="shared" si="97"/>
        <v>0</v>
      </c>
      <c r="V353" s="36" t="e">
        <f t="shared" si="98"/>
        <v>#DIV/0!</v>
      </c>
      <c r="W353" s="36" t="e">
        <f t="shared" si="99"/>
        <v>#DIV/0!</v>
      </c>
      <c r="X353" s="62" t="e">
        <f t="shared" si="105"/>
        <v>#DIV/0!</v>
      </c>
    </row>
    <row r="354" spans="1:24">
      <c r="A354" s="26"/>
      <c r="B354" s="27"/>
      <c r="C354" s="27"/>
      <c r="D354" s="27"/>
      <c r="E354" s="27"/>
      <c r="F354" s="27"/>
      <c r="G354" s="27"/>
      <c r="H354" s="27"/>
      <c r="I354" s="27"/>
      <c r="J354" s="27"/>
      <c r="K354" s="133" t="str">
        <f t="shared" si="93"/>
        <v/>
      </c>
      <c r="L354" s="44" t="str">
        <f t="shared" si="100"/>
        <v/>
      </c>
      <c r="M354" s="44" t="str">
        <f t="shared" si="94"/>
        <v/>
      </c>
      <c r="N354" s="44" t="str">
        <f t="shared" si="101"/>
        <v/>
      </c>
      <c r="O354" s="44" t="str">
        <f t="shared" si="95"/>
        <v/>
      </c>
      <c r="P354" s="44" t="str">
        <f t="shared" si="106"/>
        <v/>
      </c>
      <c r="Q354" s="44" t="str">
        <f t="shared" si="96"/>
        <v/>
      </c>
      <c r="R354" s="44" t="str">
        <f t="shared" si="102"/>
        <v/>
      </c>
      <c r="S354" s="242">
        <f t="shared" si="103"/>
        <v>0</v>
      </c>
      <c r="T354" s="42">
        <f t="shared" si="104"/>
        <v>0</v>
      </c>
      <c r="U354" s="42">
        <f t="shared" si="97"/>
        <v>0</v>
      </c>
      <c r="V354" s="36" t="e">
        <f t="shared" si="98"/>
        <v>#DIV/0!</v>
      </c>
      <c r="W354" s="36" t="e">
        <f t="shared" si="99"/>
        <v>#DIV/0!</v>
      </c>
      <c r="X354" s="62" t="e">
        <f t="shared" si="105"/>
        <v>#DIV/0!</v>
      </c>
    </row>
    <row r="355" spans="1:24">
      <c r="A355" s="26"/>
      <c r="B355" s="27"/>
      <c r="C355" s="27"/>
      <c r="D355" s="27"/>
      <c r="E355" s="27"/>
      <c r="F355" s="27"/>
      <c r="G355" s="27"/>
      <c r="H355" s="27"/>
      <c r="I355" s="27"/>
      <c r="J355" s="27"/>
      <c r="K355" s="133" t="str">
        <f t="shared" si="93"/>
        <v/>
      </c>
      <c r="L355" s="44" t="str">
        <f t="shared" si="100"/>
        <v/>
      </c>
      <c r="M355" s="44" t="str">
        <f t="shared" si="94"/>
        <v/>
      </c>
      <c r="N355" s="44" t="str">
        <f t="shared" si="101"/>
        <v/>
      </c>
      <c r="O355" s="44" t="str">
        <f t="shared" si="95"/>
        <v/>
      </c>
      <c r="P355" s="44" t="str">
        <f t="shared" si="106"/>
        <v/>
      </c>
      <c r="Q355" s="44" t="str">
        <f t="shared" si="96"/>
        <v/>
      </c>
      <c r="R355" s="44" t="str">
        <f t="shared" si="102"/>
        <v/>
      </c>
      <c r="S355" s="242">
        <f t="shared" si="103"/>
        <v>0</v>
      </c>
      <c r="T355" s="42">
        <f t="shared" si="104"/>
        <v>0</v>
      </c>
      <c r="U355" s="42">
        <f t="shared" si="97"/>
        <v>0</v>
      </c>
      <c r="V355" s="36" t="e">
        <f t="shared" si="98"/>
        <v>#DIV/0!</v>
      </c>
      <c r="W355" s="36" t="e">
        <f t="shared" si="99"/>
        <v>#DIV/0!</v>
      </c>
      <c r="X355" s="62" t="e">
        <f t="shared" si="105"/>
        <v>#DIV/0!</v>
      </c>
    </row>
    <row r="356" spans="1:24">
      <c r="A356" s="26"/>
      <c r="B356" s="27"/>
      <c r="C356" s="27"/>
      <c r="D356" s="27"/>
      <c r="E356" s="27"/>
      <c r="F356" s="27"/>
      <c r="G356" s="27"/>
      <c r="H356" s="27"/>
      <c r="I356" s="27"/>
      <c r="J356" s="27"/>
      <c r="K356" s="133" t="str">
        <f t="shared" si="93"/>
        <v/>
      </c>
      <c r="L356" s="44" t="str">
        <f t="shared" si="100"/>
        <v/>
      </c>
      <c r="M356" s="44" t="str">
        <f t="shared" si="94"/>
        <v/>
      </c>
      <c r="N356" s="44" t="str">
        <f t="shared" si="101"/>
        <v/>
      </c>
      <c r="O356" s="44" t="str">
        <f t="shared" si="95"/>
        <v/>
      </c>
      <c r="P356" s="44" t="str">
        <f t="shared" si="106"/>
        <v/>
      </c>
      <c r="Q356" s="44" t="str">
        <f t="shared" si="96"/>
        <v/>
      </c>
      <c r="R356" s="44" t="str">
        <f t="shared" si="102"/>
        <v/>
      </c>
      <c r="S356" s="242">
        <f t="shared" si="103"/>
        <v>0</v>
      </c>
      <c r="T356" s="42">
        <f t="shared" si="104"/>
        <v>0</v>
      </c>
      <c r="U356" s="42">
        <f t="shared" si="97"/>
        <v>0</v>
      </c>
      <c r="V356" s="36" t="e">
        <f t="shared" si="98"/>
        <v>#DIV/0!</v>
      </c>
      <c r="W356" s="36" t="e">
        <f t="shared" si="99"/>
        <v>#DIV/0!</v>
      </c>
      <c r="X356" s="62" t="e">
        <f t="shared" si="105"/>
        <v>#DIV/0!</v>
      </c>
    </row>
    <row r="357" spans="1:24">
      <c r="A357" s="26"/>
      <c r="B357" s="27"/>
      <c r="C357" s="27"/>
      <c r="D357" s="27"/>
      <c r="E357" s="27"/>
      <c r="F357" s="27"/>
      <c r="G357" s="27"/>
      <c r="H357" s="27"/>
      <c r="I357" s="27"/>
      <c r="J357" s="27"/>
      <c r="K357" s="133" t="str">
        <f t="shared" si="93"/>
        <v/>
      </c>
      <c r="L357" s="44" t="str">
        <f t="shared" si="100"/>
        <v/>
      </c>
      <c r="M357" s="44" t="str">
        <f t="shared" si="94"/>
        <v/>
      </c>
      <c r="N357" s="44" t="str">
        <f t="shared" si="101"/>
        <v/>
      </c>
      <c r="O357" s="44" t="str">
        <f t="shared" si="95"/>
        <v/>
      </c>
      <c r="P357" s="44" t="str">
        <f t="shared" si="106"/>
        <v/>
      </c>
      <c r="Q357" s="44" t="str">
        <f t="shared" si="96"/>
        <v/>
      </c>
      <c r="R357" s="44" t="str">
        <f t="shared" si="102"/>
        <v/>
      </c>
      <c r="S357" s="242">
        <f t="shared" si="103"/>
        <v>0</v>
      </c>
      <c r="T357" s="42">
        <f t="shared" si="104"/>
        <v>0</v>
      </c>
      <c r="U357" s="42">
        <f t="shared" si="97"/>
        <v>0</v>
      </c>
      <c r="V357" s="36" t="e">
        <f t="shared" si="98"/>
        <v>#DIV/0!</v>
      </c>
      <c r="W357" s="36" t="e">
        <f t="shared" si="99"/>
        <v>#DIV/0!</v>
      </c>
      <c r="X357" s="62" t="e">
        <f t="shared" si="105"/>
        <v>#DIV/0!</v>
      </c>
    </row>
    <row r="358" spans="1:24">
      <c r="A358" s="26"/>
      <c r="B358" s="27"/>
      <c r="C358" s="27"/>
      <c r="D358" s="27"/>
      <c r="E358" s="27"/>
      <c r="F358" s="27"/>
      <c r="G358" s="27"/>
      <c r="H358" s="27"/>
      <c r="I358" s="27"/>
      <c r="J358" s="27"/>
      <c r="K358" s="133" t="str">
        <f t="shared" si="93"/>
        <v/>
      </c>
      <c r="L358" s="44" t="str">
        <f t="shared" si="100"/>
        <v/>
      </c>
      <c r="M358" s="44" t="str">
        <f t="shared" si="94"/>
        <v/>
      </c>
      <c r="N358" s="44" t="str">
        <f t="shared" si="101"/>
        <v/>
      </c>
      <c r="O358" s="44" t="str">
        <f t="shared" si="95"/>
        <v/>
      </c>
      <c r="P358" s="44" t="str">
        <f t="shared" si="106"/>
        <v/>
      </c>
      <c r="Q358" s="44" t="str">
        <f t="shared" si="96"/>
        <v/>
      </c>
      <c r="R358" s="44" t="str">
        <f t="shared" si="102"/>
        <v/>
      </c>
      <c r="S358" s="242">
        <f t="shared" si="103"/>
        <v>0</v>
      </c>
      <c r="T358" s="42">
        <f t="shared" si="104"/>
        <v>0</v>
      </c>
      <c r="U358" s="42">
        <f t="shared" si="97"/>
        <v>0</v>
      </c>
      <c r="V358" s="36" t="e">
        <f t="shared" si="98"/>
        <v>#DIV/0!</v>
      </c>
      <c r="W358" s="36" t="e">
        <f t="shared" si="99"/>
        <v>#DIV/0!</v>
      </c>
      <c r="X358" s="62" t="e">
        <f t="shared" si="105"/>
        <v>#DIV/0!</v>
      </c>
    </row>
    <row r="359" spans="1:24">
      <c r="A359" s="26"/>
      <c r="B359" s="27"/>
      <c r="C359" s="27"/>
      <c r="D359" s="27"/>
      <c r="E359" s="27"/>
      <c r="F359" s="27"/>
      <c r="G359" s="27"/>
      <c r="H359" s="27"/>
      <c r="I359" s="27"/>
      <c r="J359" s="27"/>
      <c r="K359" s="133" t="str">
        <f t="shared" si="93"/>
        <v/>
      </c>
      <c r="L359" s="44" t="str">
        <f t="shared" si="100"/>
        <v/>
      </c>
      <c r="M359" s="44" t="str">
        <f t="shared" si="94"/>
        <v/>
      </c>
      <c r="N359" s="44" t="str">
        <f t="shared" si="101"/>
        <v/>
      </c>
      <c r="O359" s="44" t="str">
        <f t="shared" si="95"/>
        <v/>
      </c>
      <c r="P359" s="44" t="str">
        <f t="shared" si="106"/>
        <v/>
      </c>
      <c r="Q359" s="44" t="str">
        <f t="shared" si="96"/>
        <v/>
      </c>
      <c r="R359" s="44" t="str">
        <f t="shared" si="102"/>
        <v/>
      </c>
      <c r="S359" s="242">
        <f t="shared" si="103"/>
        <v>0</v>
      </c>
      <c r="T359" s="42">
        <f t="shared" si="104"/>
        <v>0</v>
      </c>
      <c r="U359" s="42">
        <f t="shared" si="97"/>
        <v>0</v>
      </c>
      <c r="V359" s="36" t="e">
        <f t="shared" si="98"/>
        <v>#DIV/0!</v>
      </c>
      <c r="W359" s="36" t="e">
        <f t="shared" si="99"/>
        <v>#DIV/0!</v>
      </c>
      <c r="X359" s="62" t="e">
        <f t="shared" si="105"/>
        <v>#DIV/0!</v>
      </c>
    </row>
    <row r="360" spans="1:24">
      <c r="A360" s="26"/>
      <c r="B360" s="27"/>
      <c r="C360" s="27"/>
      <c r="D360" s="27"/>
      <c r="E360" s="27"/>
      <c r="F360" s="27"/>
      <c r="G360" s="27"/>
      <c r="H360" s="27"/>
      <c r="I360" s="27"/>
      <c r="J360" s="27"/>
      <c r="K360" s="133" t="str">
        <f t="shared" si="93"/>
        <v/>
      </c>
      <c r="L360" s="44" t="str">
        <f t="shared" si="100"/>
        <v/>
      </c>
      <c r="M360" s="44" t="str">
        <f t="shared" si="94"/>
        <v/>
      </c>
      <c r="N360" s="44" t="str">
        <f t="shared" si="101"/>
        <v/>
      </c>
      <c r="O360" s="44" t="str">
        <f t="shared" si="95"/>
        <v/>
      </c>
      <c r="P360" s="44" t="str">
        <f t="shared" si="106"/>
        <v/>
      </c>
      <c r="Q360" s="44" t="str">
        <f t="shared" si="96"/>
        <v/>
      </c>
      <c r="R360" s="44" t="str">
        <f t="shared" si="102"/>
        <v/>
      </c>
      <c r="S360" s="242">
        <f t="shared" si="103"/>
        <v>0</v>
      </c>
      <c r="T360" s="42">
        <f t="shared" si="104"/>
        <v>0</v>
      </c>
      <c r="U360" s="42">
        <f t="shared" si="97"/>
        <v>0</v>
      </c>
      <c r="V360" s="36" t="e">
        <f t="shared" si="98"/>
        <v>#DIV/0!</v>
      </c>
      <c r="W360" s="36" t="e">
        <f t="shared" si="99"/>
        <v>#DIV/0!</v>
      </c>
      <c r="X360" s="62" t="e">
        <f t="shared" si="105"/>
        <v>#DIV/0!</v>
      </c>
    </row>
    <row r="361" spans="1:24">
      <c r="A361" s="26"/>
      <c r="B361" s="27"/>
      <c r="C361" s="27"/>
      <c r="D361" s="27"/>
      <c r="E361" s="27"/>
      <c r="F361" s="27"/>
      <c r="G361" s="27"/>
      <c r="H361" s="27"/>
      <c r="I361" s="27"/>
      <c r="J361" s="27"/>
      <c r="K361" s="133" t="str">
        <f t="shared" si="93"/>
        <v/>
      </c>
      <c r="L361" s="44" t="str">
        <f t="shared" si="100"/>
        <v/>
      </c>
      <c r="M361" s="44" t="str">
        <f t="shared" si="94"/>
        <v/>
      </c>
      <c r="N361" s="44" t="str">
        <f t="shared" si="101"/>
        <v/>
      </c>
      <c r="O361" s="44" t="str">
        <f t="shared" si="95"/>
        <v/>
      </c>
      <c r="P361" s="44" t="str">
        <f t="shared" si="106"/>
        <v/>
      </c>
      <c r="Q361" s="44" t="str">
        <f t="shared" si="96"/>
        <v/>
      </c>
      <c r="R361" s="44" t="str">
        <f t="shared" si="102"/>
        <v/>
      </c>
      <c r="S361" s="242">
        <f t="shared" si="103"/>
        <v>0</v>
      </c>
      <c r="T361" s="42">
        <f t="shared" si="104"/>
        <v>0</v>
      </c>
      <c r="U361" s="42">
        <f t="shared" si="97"/>
        <v>0</v>
      </c>
      <c r="V361" s="36" t="e">
        <f t="shared" si="98"/>
        <v>#DIV/0!</v>
      </c>
      <c r="W361" s="36" t="e">
        <f t="shared" si="99"/>
        <v>#DIV/0!</v>
      </c>
      <c r="X361" s="62" t="e">
        <f t="shared" si="105"/>
        <v>#DIV/0!</v>
      </c>
    </row>
    <row r="362" spans="1:24">
      <c r="A362" s="26"/>
      <c r="B362" s="27"/>
      <c r="C362" s="27"/>
      <c r="D362" s="27"/>
      <c r="E362" s="27"/>
      <c r="F362" s="27"/>
      <c r="G362" s="27"/>
      <c r="H362" s="27"/>
      <c r="I362" s="27"/>
      <c r="J362" s="27"/>
      <c r="K362" s="133" t="str">
        <f t="shared" si="93"/>
        <v/>
      </c>
      <c r="L362" s="44" t="str">
        <f t="shared" si="100"/>
        <v/>
      </c>
      <c r="M362" s="44" t="str">
        <f t="shared" si="94"/>
        <v/>
      </c>
      <c r="N362" s="44" t="str">
        <f t="shared" si="101"/>
        <v/>
      </c>
      <c r="O362" s="44" t="str">
        <f t="shared" si="95"/>
        <v/>
      </c>
      <c r="P362" s="44" t="str">
        <f t="shared" si="106"/>
        <v/>
      </c>
      <c r="Q362" s="44" t="str">
        <f t="shared" si="96"/>
        <v/>
      </c>
      <c r="R362" s="44" t="str">
        <f t="shared" si="102"/>
        <v/>
      </c>
      <c r="S362" s="242">
        <f t="shared" si="103"/>
        <v>0</v>
      </c>
      <c r="T362" s="42">
        <f t="shared" si="104"/>
        <v>0</v>
      </c>
      <c r="U362" s="42">
        <f t="shared" si="97"/>
        <v>0</v>
      </c>
      <c r="V362" s="36" t="e">
        <f t="shared" si="98"/>
        <v>#DIV/0!</v>
      </c>
      <c r="W362" s="36" t="e">
        <f t="shared" si="99"/>
        <v>#DIV/0!</v>
      </c>
      <c r="X362" s="62" t="e">
        <f t="shared" si="105"/>
        <v>#DIV/0!</v>
      </c>
    </row>
    <row r="363" spans="1:24">
      <c r="A363" s="26"/>
      <c r="B363" s="27"/>
      <c r="C363" s="27"/>
      <c r="D363" s="27"/>
      <c r="E363" s="27"/>
      <c r="F363" s="27"/>
      <c r="G363" s="27"/>
      <c r="H363" s="27"/>
      <c r="I363" s="27"/>
      <c r="J363" s="27"/>
      <c r="K363" s="133" t="str">
        <f t="shared" si="93"/>
        <v/>
      </c>
      <c r="L363" s="44" t="str">
        <f t="shared" si="100"/>
        <v/>
      </c>
      <c r="M363" s="44" t="str">
        <f t="shared" si="94"/>
        <v/>
      </c>
      <c r="N363" s="44" t="str">
        <f t="shared" si="101"/>
        <v/>
      </c>
      <c r="O363" s="44" t="str">
        <f t="shared" si="95"/>
        <v/>
      </c>
      <c r="P363" s="44" t="str">
        <f t="shared" si="106"/>
        <v/>
      </c>
      <c r="Q363" s="44" t="str">
        <f t="shared" si="96"/>
        <v/>
      </c>
      <c r="R363" s="44" t="str">
        <f t="shared" si="102"/>
        <v/>
      </c>
      <c r="S363" s="242">
        <f t="shared" si="103"/>
        <v>0</v>
      </c>
      <c r="T363" s="42">
        <f t="shared" si="104"/>
        <v>0</v>
      </c>
      <c r="U363" s="42">
        <f t="shared" si="97"/>
        <v>0</v>
      </c>
      <c r="V363" s="36" t="e">
        <f t="shared" si="98"/>
        <v>#DIV/0!</v>
      </c>
      <c r="W363" s="36" t="e">
        <f t="shared" si="99"/>
        <v>#DIV/0!</v>
      </c>
      <c r="X363" s="62" t="e">
        <f t="shared" si="105"/>
        <v>#DIV/0!</v>
      </c>
    </row>
    <row r="364" spans="1:24">
      <c r="A364" s="26"/>
      <c r="B364" s="27"/>
      <c r="C364" s="27"/>
      <c r="D364" s="27"/>
      <c r="E364" s="27"/>
      <c r="F364" s="27"/>
      <c r="G364" s="27"/>
      <c r="H364" s="27"/>
      <c r="I364" s="27"/>
      <c r="J364" s="27"/>
      <c r="K364" s="133" t="str">
        <f t="shared" si="93"/>
        <v/>
      </c>
      <c r="L364" s="44" t="str">
        <f t="shared" si="100"/>
        <v/>
      </c>
      <c r="M364" s="44" t="str">
        <f t="shared" si="94"/>
        <v/>
      </c>
      <c r="N364" s="44" t="str">
        <f t="shared" si="101"/>
        <v/>
      </c>
      <c r="O364" s="44" t="str">
        <f t="shared" si="95"/>
        <v/>
      </c>
      <c r="P364" s="44" t="str">
        <f t="shared" si="106"/>
        <v/>
      </c>
      <c r="Q364" s="44" t="str">
        <f t="shared" si="96"/>
        <v/>
      </c>
      <c r="R364" s="44" t="str">
        <f t="shared" si="102"/>
        <v/>
      </c>
      <c r="S364" s="242">
        <f t="shared" si="103"/>
        <v>0</v>
      </c>
      <c r="T364" s="42">
        <f t="shared" si="104"/>
        <v>0</v>
      </c>
      <c r="U364" s="42">
        <f t="shared" si="97"/>
        <v>0</v>
      </c>
      <c r="V364" s="36" t="e">
        <f t="shared" si="98"/>
        <v>#DIV/0!</v>
      </c>
      <c r="W364" s="36" t="e">
        <f t="shared" si="99"/>
        <v>#DIV/0!</v>
      </c>
      <c r="X364" s="62" t="e">
        <f t="shared" si="105"/>
        <v>#DIV/0!</v>
      </c>
    </row>
    <row r="365" spans="1:24">
      <c r="A365" s="26"/>
      <c r="B365" s="27"/>
      <c r="C365" s="27"/>
      <c r="D365" s="27"/>
      <c r="E365" s="27"/>
      <c r="F365" s="27"/>
      <c r="G365" s="27"/>
      <c r="H365" s="27"/>
      <c r="I365" s="27"/>
      <c r="J365" s="27"/>
      <c r="K365" s="133" t="str">
        <f t="shared" si="93"/>
        <v/>
      </c>
      <c r="L365" s="44" t="str">
        <f t="shared" si="100"/>
        <v/>
      </c>
      <c r="M365" s="44" t="str">
        <f t="shared" si="94"/>
        <v/>
      </c>
      <c r="N365" s="44" t="str">
        <f t="shared" si="101"/>
        <v/>
      </c>
      <c r="O365" s="44" t="str">
        <f t="shared" si="95"/>
        <v/>
      </c>
      <c r="P365" s="44" t="str">
        <f t="shared" si="106"/>
        <v/>
      </c>
      <c r="Q365" s="44" t="str">
        <f t="shared" si="96"/>
        <v/>
      </c>
      <c r="R365" s="44" t="str">
        <f t="shared" si="102"/>
        <v/>
      </c>
      <c r="S365" s="242">
        <f t="shared" si="103"/>
        <v>0</v>
      </c>
      <c r="T365" s="42">
        <f t="shared" si="104"/>
        <v>0</v>
      </c>
      <c r="U365" s="42">
        <f t="shared" si="97"/>
        <v>0</v>
      </c>
      <c r="V365" s="36" t="e">
        <f t="shared" si="98"/>
        <v>#DIV/0!</v>
      </c>
      <c r="W365" s="36" t="e">
        <f t="shared" si="99"/>
        <v>#DIV/0!</v>
      </c>
      <c r="X365" s="62" t="e">
        <f t="shared" si="105"/>
        <v>#DIV/0!</v>
      </c>
    </row>
    <row r="366" spans="1:24">
      <c r="A366" s="26"/>
      <c r="B366" s="27"/>
      <c r="C366" s="27"/>
      <c r="D366" s="27"/>
      <c r="E366" s="27"/>
      <c r="F366" s="27"/>
      <c r="G366" s="27"/>
      <c r="H366" s="27"/>
      <c r="I366" s="27"/>
      <c r="J366" s="27"/>
      <c r="K366" s="133" t="str">
        <f t="shared" si="93"/>
        <v/>
      </c>
      <c r="L366" s="44" t="str">
        <f t="shared" si="100"/>
        <v/>
      </c>
      <c r="M366" s="44" t="str">
        <f t="shared" si="94"/>
        <v/>
      </c>
      <c r="N366" s="44" t="str">
        <f t="shared" si="101"/>
        <v/>
      </c>
      <c r="O366" s="44" t="str">
        <f t="shared" si="95"/>
        <v/>
      </c>
      <c r="P366" s="44" t="str">
        <f t="shared" si="106"/>
        <v/>
      </c>
      <c r="Q366" s="44" t="str">
        <f t="shared" si="96"/>
        <v/>
      </c>
      <c r="R366" s="44" t="str">
        <f t="shared" si="102"/>
        <v/>
      </c>
      <c r="S366" s="242">
        <f t="shared" si="103"/>
        <v>0</v>
      </c>
      <c r="T366" s="42">
        <f t="shared" si="104"/>
        <v>0</v>
      </c>
      <c r="U366" s="42">
        <f t="shared" si="97"/>
        <v>0</v>
      </c>
      <c r="V366" s="36" t="e">
        <f t="shared" si="98"/>
        <v>#DIV/0!</v>
      </c>
      <c r="W366" s="36" t="e">
        <f t="shared" si="99"/>
        <v>#DIV/0!</v>
      </c>
      <c r="X366" s="62" t="e">
        <f t="shared" si="105"/>
        <v>#DIV/0!</v>
      </c>
    </row>
    <row r="367" spans="1:24">
      <c r="A367" s="26"/>
      <c r="B367" s="27"/>
      <c r="C367" s="27"/>
      <c r="D367" s="27"/>
      <c r="E367" s="27"/>
      <c r="F367" s="27"/>
      <c r="G367" s="27"/>
      <c r="H367" s="27"/>
      <c r="I367" s="27"/>
      <c r="J367" s="27"/>
      <c r="K367" s="133" t="str">
        <f t="shared" si="93"/>
        <v/>
      </c>
      <c r="L367" s="44" t="str">
        <f t="shared" si="100"/>
        <v/>
      </c>
      <c r="M367" s="44" t="str">
        <f t="shared" si="94"/>
        <v/>
      </c>
      <c r="N367" s="44" t="str">
        <f t="shared" si="101"/>
        <v/>
      </c>
      <c r="O367" s="44" t="str">
        <f t="shared" si="95"/>
        <v/>
      </c>
      <c r="P367" s="44" t="str">
        <f t="shared" si="106"/>
        <v/>
      </c>
      <c r="Q367" s="44" t="str">
        <f t="shared" si="96"/>
        <v/>
      </c>
      <c r="R367" s="44" t="str">
        <f t="shared" si="102"/>
        <v/>
      </c>
      <c r="S367" s="242">
        <f t="shared" si="103"/>
        <v>0</v>
      </c>
      <c r="T367" s="42">
        <f t="shared" si="104"/>
        <v>0</v>
      </c>
      <c r="U367" s="42">
        <f t="shared" si="97"/>
        <v>0</v>
      </c>
      <c r="V367" s="36" t="e">
        <f t="shared" si="98"/>
        <v>#DIV/0!</v>
      </c>
      <c r="W367" s="36" t="e">
        <f t="shared" si="99"/>
        <v>#DIV/0!</v>
      </c>
      <c r="X367" s="62" t="e">
        <f t="shared" si="105"/>
        <v>#DIV/0!</v>
      </c>
    </row>
    <row r="368" spans="1:24">
      <c r="A368" s="26"/>
      <c r="B368" s="27"/>
      <c r="C368" s="27"/>
      <c r="D368" s="27"/>
      <c r="E368" s="27"/>
      <c r="F368" s="27"/>
      <c r="G368" s="27"/>
      <c r="H368" s="27"/>
      <c r="I368" s="27"/>
      <c r="J368" s="27"/>
      <c r="K368" s="133" t="str">
        <f t="shared" si="93"/>
        <v/>
      </c>
      <c r="L368" s="44" t="str">
        <f t="shared" si="100"/>
        <v/>
      </c>
      <c r="M368" s="44" t="str">
        <f t="shared" si="94"/>
        <v/>
      </c>
      <c r="N368" s="44" t="str">
        <f t="shared" si="101"/>
        <v/>
      </c>
      <c r="O368" s="44" t="str">
        <f t="shared" si="95"/>
        <v/>
      </c>
      <c r="P368" s="44" t="str">
        <f t="shared" si="106"/>
        <v/>
      </c>
      <c r="Q368" s="44" t="str">
        <f t="shared" si="96"/>
        <v/>
      </c>
      <c r="R368" s="44" t="str">
        <f t="shared" si="102"/>
        <v/>
      </c>
      <c r="S368" s="242">
        <f t="shared" si="103"/>
        <v>0</v>
      </c>
      <c r="T368" s="42">
        <f t="shared" si="104"/>
        <v>0</v>
      </c>
      <c r="U368" s="42">
        <f t="shared" si="97"/>
        <v>0</v>
      </c>
      <c r="V368" s="36" t="e">
        <f t="shared" si="98"/>
        <v>#DIV/0!</v>
      </c>
      <c r="W368" s="36" t="e">
        <f t="shared" si="99"/>
        <v>#DIV/0!</v>
      </c>
      <c r="X368" s="62" t="e">
        <f t="shared" si="105"/>
        <v>#DIV/0!</v>
      </c>
    </row>
    <row r="369" spans="1:24">
      <c r="A369" s="26"/>
      <c r="B369" s="27"/>
      <c r="C369" s="27"/>
      <c r="D369" s="27"/>
      <c r="E369" s="27"/>
      <c r="F369" s="27"/>
      <c r="G369" s="27"/>
      <c r="H369" s="27"/>
      <c r="I369" s="27"/>
      <c r="J369" s="27"/>
      <c r="K369" s="133" t="str">
        <f t="shared" si="93"/>
        <v/>
      </c>
      <c r="L369" s="44" t="str">
        <f t="shared" si="100"/>
        <v/>
      </c>
      <c r="M369" s="44" t="str">
        <f t="shared" si="94"/>
        <v/>
      </c>
      <c r="N369" s="44" t="str">
        <f t="shared" si="101"/>
        <v/>
      </c>
      <c r="O369" s="44" t="str">
        <f t="shared" si="95"/>
        <v/>
      </c>
      <c r="P369" s="44" t="str">
        <f t="shared" si="106"/>
        <v/>
      </c>
      <c r="Q369" s="44" t="str">
        <f t="shared" si="96"/>
        <v/>
      </c>
      <c r="R369" s="44" t="str">
        <f t="shared" si="102"/>
        <v/>
      </c>
      <c r="S369" s="242">
        <f t="shared" si="103"/>
        <v>0</v>
      </c>
      <c r="T369" s="42">
        <f t="shared" si="104"/>
        <v>0</v>
      </c>
      <c r="U369" s="42">
        <f t="shared" si="97"/>
        <v>0</v>
      </c>
      <c r="V369" s="36" t="e">
        <f t="shared" si="98"/>
        <v>#DIV/0!</v>
      </c>
      <c r="W369" s="36" t="e">
        <f t="shared" si="99"/>
        <v>#DIV/0!</v>
      </c>
      <c r="X369" s="62" t="e">
        <f t="shared" si="105"/>
        <v>#DIV/0!</v>
      </c>
    </row>
    <row r="370" spans="1:24">
      <c r="A370" s="26"/>
      <c r="B370" s="27"/>
      <c r="C370" s="27"/>
      <c r="D370" s="27"/>
      <c r="E370" s="27"/>
      <c r="F370" s="27"/>
      <c r="G370" s="27"/>
      <c r="H370" s="27"/>
      <c r="I370" s="27"/>
      <c r="J370" s="27"/>
      <c r="K370" s="133" t="str">
        <f t="shared" si="93"/>
        <v/>
      </c>
      <c r="L370" s="44" t="str">
        <f t="shared" si="100"/>
        <v/>
      </c>
      <c r="M370" s="44" t="str">
        <f t="shared" si="94"/>
        <v/>
      </c>
      <c r="N370" s="44" t="str">
        <f t="shared" si="101"/>
        <v/>
      </c>
      <c r="O370" s="44" t="str">
        <f t="shared" si="95"/>
        <v/>
      </c>
      <c r="P370" s="44" t="str">
        <f t="shared" si="106"/>
        <v/>
      </c>
      <c r="Q370" s="44" t="str">
        <f t="shared" si="96"/>
        <v/>
      </c>
      <c r="R370" s="44" t="str">
        <f t="shared" si="102"/>
        <v/>
      </c>
      <c r="S370" s="242">
        <f t="shared" si="103"/>
        <v>0</v>
      </c>
      <c r="T370" s="42">
        <f t="shared" si="104"/>
        <v>0</v>
      </c>
      <c r="U370" s="42">
        <f t="shared" si="97"/>
        <v>0</v>
      </c>
      <c r="V370" s="36" t="e">
        <f t="shared" si="98"/>
        <v>#DIV/0!</v>
      </c>
      <c r="W370" s="36" t="e">
        <f t="shared" si="99"/>
        <v>#DIV/0!</v>
      </c>
      <c r="X370" s="62" t="e">
        <f t="shared" si="105"/>
        <v>#DIV/0!</v>
      </c>
    </row>
    <row r="371" spans="1:24">
      <c r="A371" s="26"/>
      <c r="B371" s="27"/>
      <c r="C371" s="27"/>
      <c r="D371" s="27"/>
      <c r="E371" s="27"/>
      <c r="F371" s="27"/>
      <c r="G371" s="27"/>
      <c r="H371" s="27"/>
      <c r="I371" s="27"/>
      <c r="J371" s="27"/>
      <c r="K371" s="133" t="str">
        <f t="shared" si="93"/>
        <v/>
      </c>
      <c r="L371" s="44" t="str">
        <f t="shared" si="100"/>
        <v/>
      </c>
      <c r="M371" s="44" t="str">
        <f t="shared" si="94"/>
        <v/>
      </c>
      <c r="N371" s="44" t="str">
        <f t="shared" si="101"/>
        <v/>
      </c>
      <c r="O371" s="44" t="str">
        <f t="shared" si="95"/>
        <v/>
      </c>
      <c r="P371" s="44" t="str">
        <f t="shared" si="106"/>
        <v/>
      </c>
      <c r="Q371" s="44" t="str">
        <f t="shared" si="96"/>
        <v/>
      </c>
      <c r="R371" s="44" t="str">
        <f t="shared" si="102"/>
        <v/>
      </c>
      <c r="S371" s="242">
        <f t="shared" si="103"/>
        <v>0</v>
      </c>
      <c r="T371" s="42">
        <f t="shared" si="104"/>
        <v>0</v>
      </c>
      <c r="U371" s="42">
        <f t="shared" si="97"/>
        <v>0</v>
      </c>
      <c r="V371" s="36" t="e">
        <f t="shared" si="98"/>
        <v>#DIV/0!</v>
      </c>
      <c r="W371" s="36" t="e">
        <f t="shared" si="99"/>
        <v>#DIV/0!</v>
      </c>
      <c r="X371" s="62" t="e">
        <f t="shared" si="105"/>
        <v>#DIV/0!</v>
      </c>
    </row>
    <row r="372" spans="1:24">
      <c r="A372" s="26"/>
      <c r="B372" s="27"/>
      <c r="C372" s="27"/>
      <c r="D372" s="27"/>
      <c r="E372" s="27"/>
      <c r="F372" s="27"/>
      <c r="G372" s="27"/>
      <c r="H372" s="27"/>
      <c r="I372" s="27"/>
      <c r="J372" s="27"/>
      <c r="K372" s="133" t="str">
        <f t="shared" si="93"/>
        <v/>
      </c>
      <c r="L372" s="44" t="str">
        <f t="shared" si="100"/>
        <v/>
      </c>
      <c r="M372" s="44" t="str">
        <f t="shared" si="94"/>
        <v/>
      </c>
      <c r="N372" s="44" t="str">
        <f t="shared" si="101"/>
        <v/>
      </c>
      <c r="O372" s="44" t="str">
        <f t="shared" si="95"/>
        <v/>
      </c>
      <c r="P372" s="44" t="str">
        <f t="shared" si="106"/>
        <v/>
      </c>
      <c r="Q372" s="44" t="str">
        <f t="shared" si="96"/>
        <v/>
      </c>
      <c r="R372" s="44" t="str">
        <f t="shared" si="102"/>
        <v/>
      </c>
      <c r="S372" s="242">
        <f t="shared" si="103"/>
        <v>0</v>
      </c>
      <c r="T372" s="42">
        <f t="shared" si="104"/>
        <v>0</v>
      </c>
      <c r="U372" s="42">
        <f t="shared" si="97"/>
        <v>0</v>
      </c>
      <c r="V372" s="36" t="e">
        <f t="shared" si="98"/>
        <v>#DIV/0!</v>
      </c>
      <c r="W372" s="36" t="e">
        <f t="shared" si="99"/>
        <v>#DIV/0!</v>
      </c>
      <c r="X372" s="62" t="e">
        <f t="shared" si="105"/>
        <v>#DIV/0!</v>
      </c>
    </row>
    <row r="373" spans="1:24">
      <c r="A373" s="26"/>
      <c r="B373" s="27"/>
      <c r="C373" s="27"/>
      <c r="D373" s="27"/>
      <c r="E373" s="27"/>
      <c r="F373" s="27"/>
      <c r="G373" s="27"/>
      <c r="H373" s="27"/>
      <c r="I373" s="27"/>
      <c r="J373" s="27"/>
      <c r="K373" s="133" t="str">
        <f t="shared" si="93"/>
        <v/>
      </c>
      <c r="L373" s="44" t="str">
        <f t="shared" si="100"/>
        <v/>
      </c>
      <c r="M373" s="44" t="str">
        <f t="shared" si="94"/>
        <v/>
      </c>
      <c r="N373" s="44" t="str">
        <f t="shared" si="101"/>
        <v/>
      </c>
      <c r="O373" s="44" t="str">
        <f t="shared" si="95"/>
        <v/>
      </c>
      <c r="P373" s="44" t="str">
        <f t="shared" si="106"/>
        <v/>
      </c>
      <c r="Q373" s="44" t="str">
        <f t="shared" si="96"/>
        <v/>
      </c>
      <c r="R373" s="44" t="str">
        <f t="shared" si="102"/>
        <v/>
      </c>
      <c r="S373" s="242">
        <f t="shared" si="103"/>
        <v>0</v>
      </c>
      <c r="T373" s="42">
        <f t="shared" si="104"/>
        <v>0</v>
      </c>
      <c r="U373" s="42">
        <f t="shared" si="97"/>
        <v>0</v>
      </c>
      <c r="V373" s="36" t="e">
        <f t="shared" si="98"/>
        <v>#DIV/0!</v>
      </c>
      <c r="W373" s="36" t="e">
        <f t="shared" si="99"/>
        <v>#DIV/0!</v>
      </c>
      <c r="X373" s="62" t="e">
        <f t="shared" si="105"/>
        <v>#DIV/0!</v>
      </c>
    </row>
    <row r="374" spans="1:24">
      <c r="A374" s="26"/>
      <c r="B374" s="27"/>
      <c r="C374" s="27"/>
      <c r="D374" s="27"/>
      <c r="E374" s="27"/>
      <c r="F374" s="27"/>
      <c r="G374" s="27"/>
      <c r="H374" s="27"/>
      <c r="I374" s="27"/>
      <c r="J374" s="27"/>
      <c r="K374" s="133" t="str">
        <f t="shared" ref="K374:K418" si="107">IF(C374="","",VLOOKUP(C374,成本单价,8,0))</f>
        <v/>
      </c>
      <c r="L374" s="44" t="str">
        <f t="shared" si="100"/>
        <v/>
      </c>
      <c r="M374" s="44" t="str">
        <f t="shared" si="94"/>
        <v/>
      </c>
      <c r="N374" s="44" t="str">
        <f t="shared" si="101"/>
        <v/>
      </c>
      <c r="O374" s="44" t="str">
        <f t="shared" si="95"/>
        <v/>
      </c>
      <c r="P374" s="44" t="str">
        <f t="shared" si="106"/>
        <v/>
      </c>
      <c r="Q374" s="44" t="str">
        <f t="shared" si="96"/>
        <v/>
      </c>
      <c r="R374" s="44" t="str">
        <f t="shared" si="102"/>
        <v/>
      </c>
      <c r="S374" s="242">
        <f t="shared" si="103"/>
        <v>0</v>
      </c>
      <c r="T374" s="42">
        <f t="shared" si="104"/>
        <v>0</v>
      </c>
      <c r="U374" s="42">
        <f t="shared" si="97"/>
        <v>0</v>
      </c>
      <c r="V374" s="36" t="e">
        <f t="shared" si="98"/>
        <v>#DIV/0!</v>
      </c>
      <c r="W374" s="36" t="e">
        <f t="shared" si="99"/>
        <v>#DIV/0!</v>
      </c>
      <c r="X374" s="62" t="e">
        <f t="shared" si="105"/>
        <v>#DIV/0!</v>
      </c>
    </row>
    <row r="375" spans="1:24">
      <c r="A375" s="26"/>
      <c r="B375" s="27"/>
      <c r="C375" s="27"/>
      <c r="D375" s="27"/>
      <c r="E375" s="27"/>
      <c r="F375" s="27"/>
      <c r="G375" s="27"/>
      <c r="H375" s="27"/>
      <c r="I375" s="27"/>
      <c r="J375" s="27"/>
      <c r="K375" s="133" t="str">
        <f t="shared" si="107"/>
        <v/>
      </c>
      <c r="L375" s="44" t="str">
        <f t="shared" si="100"/>
        <v/>
      </c>
      <c r="M375" s="44" t="str">
        <f t="shared" si="94"/>
        <v/>
      </c>
      <c r="N375" s="44" t="str">
        <f t="shared" si="101"/>
        <v/>
      </c>
      <c r="O375" s="44" t="str">
        <f t="shared" si="95"/>
        <v/>
      </c>
      <c r="P375" s="44" t="str">
        <f t="shared" si="106"/>
        <v/>
      </c>
      <c r="Q375" s="44" t="str">
        <f t="shared" si="96"/>
        <v/>
      </c>
      <c r="R375" s="44" t="str">
        <f t="shared" si="102"/>
        <v/>
      </c>
      <c r="S375" s="242">
        <f t="shared" si="103"/>
        <v>0</v>
      </c>
      <c r="T375" s="42">
        <f t="shared" si="104"/>
        <v>0</v>
      </c>
      <c r="U375" s="42">
        <f t="shared" si="97"/>
        <v>0</v>
      </c>
      <c r="V375" s="36" t="e">
        <f t="shared" si="98"/>
        <v>#DIV/0!</v>
      </c>
      <c r="W375" s="36" t="e">
        <f t="shared" si="99"/>
        <v>#DIV/0!</v>
      </c>
      <c r="X375" s="62" t="e">
        <f t="shared" si="105"/>
        <v>#DIV/0!</v>
      </c>
    </row>
    <row r="376" spans="1:24">
      <c r="A376" s="26"/>
      <c r="B376" s="27"/>
      <c r="C376" s="27"/>
      <c r="D376" s="27"/>
      <c r="E376" s="27"/>
      <c r="F376" s="27"/>
      <c r="G376" s="27"/>
      <c r="H376" s="27"/>
      <c r="I376" s="27"/>
      <c r="J376" s="27"/>
      <c r="K376" s="133" t="str">
        <f t="shared" si="107"/>
        <v/>
      </c>
      <c r="L376" s="44" t="str">
        <f t="shared" si="100"/>
        <v/>
      </c>
      <c r="M376" s="44" t="str">
        <f t="shared" si="94"/>
        <v/>
      </c>
      <c r="N376" s="44" t="str">
        <f t="shared" si="101"/>
        <v/>
      </c>
      <c r="O376" s="44" t="str">
        <f t="shared" si="95"/>
        <v/>
      </c>
      <c r="P376" s="44" t="str">
        <f t="shared" si="106"/>
        <v/>
      </c>
      <c r="Q376" s="44" t="str">
        <f t="shared" si="96"/>
        <v/>
      </c>
      <c r="R376" s="44" t="str">
        <f t="shared" si="102"/>
        <v/>
      </c>
      <c r="S376" s="242">
        <f t="shared" si="103"/>
        <v>0</v>
      </c>
      <c r="T376" s="42">
        <f t="shared" si="104"/>
        <v>0</v>
      </c>
      <c r="U376" s="42">
        <f t="shared" si="97"/>
        <v>0</v>
      </c>
      <c r="V376" s="36" t="e">
        <f t="shared" si="98"/>
        <v>#DIV/0!</v>
      </c>
      <c r="W376" s="36" t="e">
        <f t="shared" si="99"/>
        <v>#DIV/0!</v>
      </c>
      <c r="X376" s="62" t="e">
        <f t="shared" si="105"/>
        <v>#DIV/0!</v>
      </c>
    </row>
    <row r="377" spans="1:24">
      <c r="A377" s="26"/>
      <c r="B377" s="27"/>
      <c r="C377" s="27"/>
      <c r="D377" s="27"/>
      <c r="E377" s="27"/>
      <c r="F377" s="27"/>
      <c r="G377" s="27"/>
      <c r="H377" s="27"/>
      <c r="I377" s="27"/>
      <c r="J377" s="27"/>
      <c r="K377" s="133" t="str">
        <f t="shared" si="107"/>
        <v/>
      </c>
      <c r="L377" s="44" t="str">
        <f t="shared" si="100"/>
        <v/>
      </c>
      <c r="M377" s="44" t="str">
        <f t="shared" si="94"/>
        <v/>
      </c>
      <c r="N377" s="44" t="str">
        <f t="shared" si="101"/>
        <v/>
      </c>
      <c r="O377" s="44" t="str">
        <f t="shared" si="95"/>
        <v/>
      </c>
      <c r="P377" s="44" t="str">
        <f t="shared" si="106"/>
        <v/>
      </c>
      <c r="Q377" s="44" t="str">
        <f t="shared" si="96"/>
        <v/>
      </c>
      <c r="R377" s="44" t="str">
        <f t="shared" si="102"/>
        <v/>
      </c>
      <c r="S377" s="242">
        <f t="shared" si="103"/>
        <v>0</v>
      </c>
      <c r="T377" s="42">
        <f t="shared" si="104"/>
        <v>0</v>
      </c>
      <c r="U377" s="42">
        <f t="shared" si="97"/>
        <v>0</v>
      </c>
      <c r="V377" s="36" t="e">
        <f t="shared" si="98"/>
        <v>#DIV/0!</v>
      </c>
      <c r="W377" s="36" t="e">
        <f t="shared" si="99"/>
        <v>#DIV/0!</v>
      </c>
      <c r="X377" s="62" t="e">
        <f t="shared" si="105"/>
        <v>#DIV/0!</v>
      </c>
    </row>
    <row r="378" spans="1:24">
      <c r="A378" s="26"/>
      <c r="B378" s="27"/>
      <c r="C378" s="27"/>
      <c r="D378" s="27"/>
      <c r="E378" s="27"/>
      <c r="F378" s="27"/>
      <c r="G378" s="27"/>
      <c r="H378" s="27"/>
      <c r="I378" s="27"/>
      <c r="J378" s="27"/>
      <c r="K378" s="133" t="str">
        <f t="shared" si="107"/>
        <v/>
      </c>
      <c r="L378" s="44" t="str">
        <f t="shared" si="100"/>
        <v/>
      </c>
      <c r="M378" s="44" t="str">
        <f t="shared" si="94"/>
        <v/>
      </c>
      <c r="N378" s="44" t="str">
        <f t="shared" si="101"/>
        <v/>
      </c>
      <c r="O378" s="44" t="str">
        <f t="shared" si="95"/>
        <v/>
      </c>
      <c r="P378" s="44" t="str">
        <f t="shared" si="106"/>
        <v/>
      </c>
      <c r="Q378" s="44" t="str">
        <f t="shared" si="96"/>
        <v/>
      </c>
      <c r="R378" s="44" t="str">
        <f t="shared" si="102"/>
        <v/>
      </c>
      <c r="S378" s="242">
        <f t="shared" si="103"/>
        <v>0</v>
      </c>
      <c r="T378" s="42">
        <f t="shared" si="104"/>
        <v>0</v>
      </c>
      <c r="U378" s="42">
        <f t="shared" si="97"/>
        <v>0</v>
      </c>
      <c r="V378" s="36" t="e">
        <f t="shared" si="98"/>
        <v>#DIV/0!</v>
      </c>
      <c r="W378" s="36" t="e">
        <f t="shared" si="99"/>
        <v>#DIV/0!</v>
      </c>
      <c r="X378" s="62" t="e">
        <f t="shared" si="105"/>
        <v>#DIV/0!</v>
      </c>
    </row>
    <row r="379" spans="1:24">
      <c r="A379" s="26"/>
      <c r="B379" s="27"/>
      <c r="C379" s="27"/>
      <c r="D379" s="27"/>
      <c r="E379" s="27"/>
      <c r="F379" s="27"/>
      <c r="G379" s="27"/>
      <c r="H379" s="27"/>
      <c r="I379" s="27"/>
      <c r="J379" s="27"/>
      <c r="K379" s="133" t="str">
        <f t="shared" si="107"/>
        <v/>
      </c>
      <c r="L379" s="44" t="str">
        <f t="shared" si="100"/>
        <v/>
      </c>
      <c r="M379" s="44" t="str">
        <f t="shared" si="94"/>
        <v/>
      </c>
      <c r="N379" s="44" t="str">
        <f t="shared" si="101"/>
        <v/>
      </c>
      <c r="O379" s="44" t="str">
        <f t="shared" si="95"/>
        <v/>
      </c>
      <c r="P379" s="44" t="str">
        <f t="shared" si="106"/>
        <v/>
      </c>
      <c r="Q379" s="44" t="str">
        <f t="shared" si="96"/>
        <v/>
      </c>
      <c r="R379" s="44" t="str">
        <f t="shared" si="102"/>
        <v/>
      </c>
      <c r="S379" s="242">
        <f t="shared" si="103"/>
        <v>0</v>
      </c>
      <c r="T379" s="42">
        <f t="shared" si="104"/>
        <v>0</v>
      </c>
      <c r="U379" s="42">
        <f t="shared" si="97"/>
        <v>0</v>
      </c>
      <c r="V379" s="36" t="e">
        <f t="shared" si="98"/>
        <v>#DIV/0!</v>
      </c>
      <c r="W379" s="36" t="e">
        <f t="shared" si="99"/>
        <v>#DIV/0!</v>
      </c>
      <c r="X379" s="62" t="e">
        <f t="shared" si="105"/>
        <v>#DIV/0!</v>
      </c>
    </row>
    <row r="380" spans="1:24">
      <c r="A380" s="26"/>
      <c r="B380" s="27"/>
      <c r="C380" s="27"/>
      <c r="D380" s="27"/>
      <c r="E380" s="27"/>
      <c r="F380" s="27"/>
      <c r="G380" s="27"/>
      <c r="H380" s="27"/>
      <c r="I380" s="27"/>
      <c r="J380" s="27"/>
      <c r="K380" s="133" t="str">
        <f t="shared" si="107"/>
        <v/>
      </c>
      <c r="L380" s="44" t="str">
        <f t="shared" si="100"/>
        <v/>
      </c>
      <c r="M380" s="44" t="str">
        <f t="shared" si="94"/>
        <v/>
      </c>
      <c r="N380" s="44" t="str">
        <f t="shared" si="101"/>
        <v/>
      </c>
      <c r="O380" s="44" t="str">
        <f t="shared" si="95"/>
        <v/>
      </c>
      <c r="P380" s="44" t="str">
        <f t="shared" si="106"/>
        <v/>
      </c>
      <c r="Q380" s="44" t="str">
        <f t="shared" si="96"/>
        <v/>
      </c>
      <c r="R380" s="44" t="str">
        <f t="shared" si="102"/>
        <v/>
      </c>
      <c r="S380" s="242">
        <f t="shared" si="103"/>
        <v>0</v>
      </c>
      <c r="T380" s="42">
        <f t="shared" si="104"/>
        <v>0</v>
      </c>
      <c r="U380" s="42">
        <f t="shared" si="97"/>
        <v>0</v>
      </c>
      <c r="V380" s="36" t="e">
        <f t="shared" si="98"/>
        <v>#DIV/0!</v>
      </c>
      <c r="W380" s="36" t="e">
        <f t="shared" si="99"/>
        <v>#DIV/0!</v>
      </c>
      <c r="X380" s="62" t="e">
        <f t="shared" si="105"/>
        <v>#DIV/0!</v>
      </c>
    </row>
    <row r="381" spans="1:24">
      <c r="A381" s="26"/>
      <c r="B381" s="27"/>
      <c r="C381" s="27"/>
      <c r="D381" s="27"/>
      <c r="E381" s="27"/>
      <c r="F381" s="27"/>
      <c r="G381" s="27"/>
      <c r="H381" s="27"/>
      <c r="I381" s="27"/>
      <c r="J381" s="27"/>
      <c r="K381" s="133" t="str">
        <f t="shared" si="107"/>
        <v/>
      </c>
      <c r="L381" s="44" t="str">
        <f t="shared" si="100"/>
        <v/>
      </c>
      <c r="M381" s="44" t="str">
        <f t="shared" si="94"/>
        <v/>
      </c>
      <c r="N381" s="44" t="str">
        <f t="shared" si="101"/>
        <v/>
      </c>
      <c r="O381" s="44" t="str">
        <f t="shared" si="95"/>
        <v/>
      </c>
      <c r="P381" s="44" t="str">
        <f t="shared" si="106"/>
        <v/>
      </c>
      <c r="Q381" s="44" t="str">
        <f t="shared" si="96"/>
        <v/>
      </c>
      <c r="R381" s="44" t="str">
        <f t="shared" si="102"/>
        <v/>
      </c>
      <c r="S381" s="242">
        <f t="shared" si="103"/>
        <v>0</v>
      </c>
      <c r="T381" s="42">
        <f t="shared" si="104"/>
        <v>0</v>
      </c>
      <c r="U381" s="42">
        <f t="shared" si="97"/>
        <v>0</v>
      </c>
      <c r="V381" s="36" t="e">
        <f t="shared" si="98"/>
        <v>#DIV/0!</v>
      </c>
      <c r="W381" s="36" t="e">
        <f t="shared" si="99"/>
        <v>#DIV/0!</v>
      </c>
      <c r="X381" s="62" t="e">
        <f t="shared" si="105"/>
        <v>#DIV/0!</v>
      </c>
    </row>
    <row r="382" spans="1:24">
      <c r="A382" s="26"/>
      <c r="B382" s="27"/>
      <c r="C382" s="27"/>
      <c r="D382" s="27"/>
      <c r="E382" s="27"/>
      <c r="F382" s="27"/>
      <c r="G382" s="27"/>
      <c r="H382" s="27"/>
      <c r="I382" s="27"/>
      <c r="J382" s="27"/>
      <c r="K382" s="133" t="str">
        <f t="shared" si="107"/>
        <v/>
      </c>
      <c r="L382" s="44" t="str">
        <f t="shared" si="100"/>
        <v/>
      </c>
      <c r="M382" s="44" t="str">
        <f t="shared" si="94"/>
        <v/>
      </c>
      <c r="N382" s="44" t="str">
        <f t="shared" si="101"/>
        <v/>
      </c>
      <c r="O382" s="44" t="str">
        <f t="shared" si="95"/>
        <v/>
      </c>
      <c r="P382" s="44" t="str">
        <f t="shared" si="106"/>
        <v/>
      </c>
      <c r="Q382" s="44" t="str">
        <f t="shared" si="96"/>
        <v/>
      </c>
      <c r="R382" s="44" t="str">
        <f t="shared" si="102"/>
        <v/>
      </c>
      <c r="S382" s="242">
        <f t="shared" si="103"/>
        <v>0</v>
      </c>
      <c r="T382" s="42">
        <f t="shared" si="104"/>
        <v>0</v>
      </c>
      <c r="U382" s="42">
        <f t="shared" si="97"/>
        <v>0</v>
      </c>
      <c r="V382" s="36" t="e">
        <f t="shared" si="98"/>
        <v>#DIV/0!</v>
      </c>
      <c r="W382" s="36" t="e">
        <f t="shared" si="99"/>
        <v>#DIV/0!</v>
      </c>
      <c r="X382" s="62" t="e">
        <f t="shared" si="105"/>
        <v>#DIV/0!</v>
      </c>
    </row>
    <row r="383" spans="1:24">
      <c r="A383" s="26"/>
      <c r="B383" s="27"/>
      <c r="C383" s="27"/>
      <c r="D383" s="27"/>
      <c r="E383" s="27"/>
      <c r="F383" s="27"/>
      <c r="G383" s="27"/>
      <c r="H383" s="27"/>
      <c r="I383" s="27"/>
      <c r="J383" s="27"/>
      <c r="K383" s="133" t="str">
        <f t="shared" si="107"/>
        <v/>
      </c>
      <c r="L383" s="44" t="str">
        <f t="shared" si="100"/>
        <v/>
      </c>
      <c r="M383" s="44" t="str">
        <f t="shared" si="94"/>
        <v/>
      </c>
      <c r="N383" s="44" t="str">
        <f t="shared" si="101"/>
        <v/>
      </c>
      <c r="O383" s="44" t="str">
        <f t="shared" si="95"/>
        <v/>
      </c>
      <c r="P383" s="44" t="str">
        <f t="shared" si="106"/>
        <v/>
      </c>
      <c r="Q383" s="44" t="str">
        <f t="shared" si="96"/>
        <v/>
      </c>
      <c r="R383" s="44" t="str">
        <f t="shared" si="102"/>
        <v/>
      </c>
      <c r="S383" s="242">
        <f t="shared" si="103"/>
        <v>0</v>
      </c>
      <c r="T383" s="42">
        <f t="shared" si="104"/>
        <v>0</v>
      </c>
      <c r="U383" s="42">
        <f t="shared" si="97"/>
        <v>0</v>
      </c>
      <c r="V383" s="36" t="e">
        <f t="shared" si="98"/>
        <v>#DIV/0!</v>
      </c>
      <c r="W383" s="36" t="e">
        <f t="shared" si="99"/>
        <v>#DIV/0!</v>
      </c>
      <c r="X383" s="62" t="e">
        <f t="shared" si="105"/>
        <v>#DIV/0!</v>
      </c>
    </row>
    <row r="384" spans="1:24">
      <c r="A384" s="26"/>
      <c r="B384" s="27"/>
      <c r="C384" s="27"/>
      <c r="D384" s="27"/>
      <c r="E384" s="27"/>
      <c r="F384" s="27"/>
      <c r="G384" s="27"/>
      <c r="H384" s="27"/>
      <c r="I384" s="27"/>
      <c r="J384" s="27"/>
      <c r="K384" s="133" t="str">
        <f t="shared" si="107"/>
        <v/>
      </c>
      <c r="L384" s="44" t="str">
        <f t="shared" si="100"/>
        <v/>
      </c>
      <c r="M384" s="44" t="str">
        <f t="shared" si="94"/>
        <v/>
      </c>
      <c r="N384" s="44" t="str">
        <f t="shared" si="101"/>
        <v/>
      </c>
      <c r="O384" s="44" t="str">
        <f t="shared" si="95"/>
        <v/>
      </c>
      <c r="P384" s="44" t="str">
        <f t="shared" si="106"/>
        <v/>
      </c>
      <c r="Q384" s="44" t="str">
        <f t="shared" si="96"/>
        <v/>
      </c>
      <c r="R384" s="44" t="str">
        <f t="shared" si="102"/>
        <v/>
      </c>
      <c r="S384" s="242">
        <f t="shared" si="103"/>
        <v>0</v>
      </c>
      <c r="T384" s="42">
        <f t="shared" si="104"/>
        <v>0</v>
      </c>
      <c r="U384" s="42">
        <f t="shared" si="97"/>
        <v>0</v>
      </c>
      <c r="V384" s="36" t="e">
        <f t="shared" si="98"/>
        <v>#DIV/0!</v>
      </c>
      <c r="W384" s="36" t="e">
        <f t="shared" si="99"/>
        <v>#DIV/0!</v>
      </c>
      <c r="X384" s="62" t="e">
        <f t="shared" si="105"/>
        <v>#DIV/0!</v>
      </c>
    </row>
    <row r="385" spans="1:24">
      <c r="A385" s="26"/>
      <c r="B385" s="27"/>
      <c r="C385" s="27"/>
      <c r="D385" s="27"/>
      <c r="E385" s="27"/>
      <c r="F385" s="27"/>
      <c r="G385" s="27"/>
      <c r="H385" s="27"/>
      <c r="I385" s="27"/>
      <c r="J385" s="27"/>
      <c r="K385" s="133" t="str">
        <f t="shared" si="107"/>
        <v/>
      </c>
      <c r="L385" s="44" t="str">
        <f t="shared" si="100"/>
        <v/>
      </c>
      <c r="M385" s="44" t="str">
        <f t="shared" si="94"/>
        <v/>
      </c>
      <c r="N385" s="44" t="str">
        <f t="shared" si="101"/>
        <v/>
      </c>
      <c r="O385" s="44" t="str">
        <f t="shared" si="95"/>
        <v/>
      </c>
      <c r="P385" s="44" t="str">
        <f t="shared" si="106"/>
        <v/>
      </c>
      <c r="Q385" s="44" t="str">
        <f t="shared" si="96"/>
        <v/>
      </c>
      <c r="R385" s="44" t="str">
        <f t="shared" si="102"/>
        <v/>
      </c>
      <c r="S385" s="242">
        <f t="shared" si="103"/>
        <v>0</v>
      </c>
      <c r="T385" s="42">
        <f t="shared" si="104"/>
        <v>0</v>
      </c>
      <c r="U385" s="42">
        <f t="shared" si="97"/>
        <v>0</v>
      </c>
      <c r="V385" s="36" t="e">
        <f t="shared" si="98"/>
        <v>#DIV/0!</v>
      </c>
      <c r="W385" s="36" t="e">
        <f t="shared" si="99"/>
        <v>#DIV/0!</v>
      </c>
      <c r="X385" s="62" t="e">
        <f t="shared" si="105"/>
        <v>#DIV/0!</v>
      </c>
    </row>
    <row r="386" spans="1:24">
      <c r="A386" s="26"/>
      <c r="B386" s="27"/>
      <c r="C386" s="27"/>
      <c r="D386" s="27"/>
      <c r="E386" s="27"/>
      <c r="F386" s="27"/>
      <c r="G386" s="27"/>
      <c r="H386" s="27"/>
      <c r="I386" s="27"/>
      <c r="J386" s="27"/>
      <c r="K386" s="133" t="str">
        <f t="shared" si="107"/>
        <v/>
      </c>
      <c r="L386" s="44" t="str">
        <f t="shared" si="100"/>
        <v/>
      </c>
      <c r="M386" s="44" t="str">
        <f t="shared" si="94"/>
        <v/>
      </c>
      <c r="N386" s="44" t="str">
        <f t="shared" si="101"/>
        <v/>
      </c>
      <c r="O386" s="44" t="str">
        <f t="shared" si="95"/>
        <v/>
      </c>
      <c r="P386" s="44" t="str">
        <f t="shared" si="106"/>
        <v/>
      </c>
      <c r="Q386" s="44" t="str">
        <f t="shared" si="96"/>
        <v/>
      </c>
      <c r="R386" s="44" t="str">
        <f t="shared" si="102"/>
        <v/>
      </c>
      <c r="S386" s="242">
        <f t="shared" si="103"/>
        <v>0</v>
      </c>
      <c r="T386" s="42">
        <f t="shared" si="104"/>
        <v>0</v>
      </c>
      <c r="U386" s="42">
        <f t="shared" si="97"/>
        <v>0</v>
      </c>
      <c r="V386" s="36" t="e">
        <f t="shared" si="98"/>
        <v>#DIV/0!</v>
      </c>
      <c r="W386" s="36" t="e">
        <f t="shared" si="99"/>
        <v>#DIV/0!</v>
      </c>
      <c r="X386" s="62" t="e">
        <f t="shared" si="105"/>
        <v>#DIV/0!</v>
      </c>
    </row>
    <row r="387" spans="1:24">
      <c r="A387" s="26"/>
      <c r="B387" s="27"/>
      <c r="C387" s="27"/>
      <c r="D387" s="27"/>
      <c r="E387" s="27"/>
      <c r="F387" s="27"/>
      <c r="G387" s="27"/>
      <c r="H387" s="27"/>
      <c r="I387" s="27"/>
      <c r="J387" s="27"/>
      <c r="K387" s="133" t="str">
        <f t="shared" si="107"/>
        <v/>
      </c>
      <c r="L387" s="44" t="str">
        <f t="shared" si="100"/>
        <v/>
      </c>
      <c r="M387" s="44" t="str">
        <f t="shared" si="94"/>
        <v/>
      </c>
      <c r="N387" s="44" t="str">
        <f t="shared" si="101"/>
        <v/>
      </c>
      <c r="O387" s="44" t="str">
        <f t="shared" si="95"/>
        <v/>
      </c>
      <c r="P387" s="44" t="str">
        <f t="shared" si="106"/>
        <v/>
      </c>
      <c r="Q387" s="44" t="str">
        <f t="shared" si="96"/>
        <v/>
      </c>
      <c r="R387" s="44" t="str">
        <f t="shared" si="102"/>
        <v/>
      </c>
      <c r="S387" s="242">
        <f t="shared" si="103"/>
        <v>0</v>
      </c>
      <c r="T387" s="42">
        <f t="shared" si="104"/>
        <v>0</v>
      </c>
      <c r="U387" s="42">
        <f t="shared" si="97"/>
        <v>0</v>
      </c>
      <c r="V387" s="36" t="e">
        <f t="shared" si="98"/>
        <v>#DIV/0!</v>
      </c>
      <c r="W387" s="36" t="e">
        <f t="shared" si="99"/>
        <v>#DIV/0!</v>
      </c>
      <c r="X387" s="62" t="e">
        <f t="shared" si="105"/>
        <v>#DIV/0!</v>
      </c>
    </row>
    <row r="388" spans="1:24">
      <c r="A388" s="26"/>
      <c r="B388" s="27"/>
      <c r="C388" s="27"/>
      <c r="D388" s="27"/>
      <c r="E388" s="27"/>
      <c r="F388" s="27"/>
      <c r="G388" s="27"/>
      <c r="H388" s="27"/>
      <c r="I388" s="27"/>
      <c r="J388" s="27"/>
      <c r="K388" s="133" t="str">
        <f t="shared" si="107"/>
        <v/>
      </c>
      <c r="L388" s="44" t="str">
        <f t="shared" si="100"/>
        <v/>
      </c>
      <c r="M388" s="44" t="str">
        <f t="shared" ref="M388:M451" si="108">IF(E388="","",VLOOKUP(E388,成本单价,8,0))</f>
        <v/>
      </c>
      <c r="N388" s="44" t="str">
        <f t="shared" si="101"/>
        <v/>
      </c>
      <c r="O388" s="44" t="str">
        <f t="shared" ref="O388:O451" si="109">IF(G388="","",VLOOKUP(G388,成本单价,8,0))</f>
        <v/>
      </c>
      <c r="P388" s="44" t="str">
        <f t="shared" si="106"/>
        <v/>
      </c>
      <c r="Q388" s="44" t="str">
        <f t="shared" ref="Q388:Q451" si="110">IF(I388="","",VLOOKUP(I388,成本单价,8,0))</f>
        <v/>
      </c>
      <c r="R388" s="44" t="str">
        <f t="shared" si="102"/>
        <v/>
      </c>
      <c r="S388" s="242">
        <f t="shared" si="103"/>
        <v>0</v>
      </c>
      <c r="T388" s="42">
        <f t="shared" si="104"/>
        <v>0</v>
      </c>
      <c r="U388" s="42">
        <f t="shared" ref="U388:U451" si="111">T388*(1+物料比)</f>
        <v>0</v>
      </c>
      <c r="V388" s="36" t="e">
        <f t="shared" ref="V388:V451" si="112">U388/B388</f>
        <v>#DIV/0!</v>
      </c>
      <c r="W388" s="36" t="e">
        <f t="shared" ref="W388:W451" si="113">D388/B388+F388/B388+H388/B388+J388/B388</f>
        <v>#DIV/0!</v>
      </c>
      <c r="X388" s="62" t="e">
        <f t="shared" si="105"/>
        <v>#DIV/0!</v>
      </c>
    </row>
    <row r="389" spans="1:24">
      <c r="A389" s="26"/>
      <c r="B389" s="27"/>
      <c r="C389" s="27"/>
      <c r="D389" s="27"/>
      <c r="E389" s="27"/>
      <c r="F389" s="27"/>
      <c r="G389" s="27"/>
      <c r="H389" s="27"/>
      <c r="I389" s="27"/>
      <c r="J389" s="27"/>
      <c r="K389" s="133" t="str">
        <f t="shared" si="107"/>
        <v/>
      </c>
      <c r="L389" s="44" t="str">
        <f t="shared" ref="L389:L452" si="114">IFERROR(D389*K389,"")</f>
        <v/>
      </c>
      <c r="M389" s="44" t="str">
        <f t="shared" si="108"/>
        <v/>
      </c>
      <c r="N389" s="44" t="str">
        <f t="shared" ref="N389:N452" si="115">IFERROR(F389*M389,"")</f>
        <v/>
      </c>
      <c r="O389" s="44" t="str">
        <f t="shared" si="109"/>
        <v/>
      </c>
      <c r="P389" s="44" t="str">
        <f t="shared" si="106"/>
        <v/>
      </c>
      <c r="Q389" s="44" t="str">
        <f t="shared" si="110"/>
        <v/>
      </c>
      <c r="R389" s="44" t="str">
        <f t="shared" ref="R389:R452" si="116">IFERROR(J389*Q389,"")</f>
        <v/>
      </c>
      <c r="S389" s="242">
        <f t="shared" ref="S389:S452" si="117">B389*0.2</f>
        <v>0</v>
      </c>
      <c r="T389" s="42">
        <f t="shared" ref="T389:T452" si="118">IFERROR(SUM(L389,N389,P389,R389,S389),"")</f>
        <v>0</v>
      </c>
      <c r="U389" s="42">
        <f t="shared" si="111"/>
        <v>0</v>
      </c>
      <c r="V389" s="36" t="e">
        <f t="shared" si="112"/>
        <v>#DIV/0!</v>
      </c>
      <c r="W389" s="36" t="e">
        <f t="shared" si="113"/>
        <v>#DIV/0!</v>
      </c>
      <c r="X389" s="62" t="e">
        <f t="shared" ref="X389:X452" si="119">ROUNDUP(V389*(1+小吃毛利),1)</f>
        <v>#DIV/0!</v>
      </c>
    </row>
    <row r="390" spans="1:24">
      <c r="A390" s="26"/>
      <c r="B390" s="27"/>
      <c r="C390" s="27"/>
      <c r="D390" s="27"/>
      <c r="E390" s="27"/>
      <c r="F390" s="27"/>
      <c r="G390" s="27"/>
      <c r="H390" s="27"/>
      <c r="I390" s="27"/>
      <c r="J390" s="27"/>
      <c r="K390" s="133" t="str">
        <f t="shared" si="107"/>
        <v/>
      </c>
      <c r="L390" s="44" t="str">
        <f t="shared" si="114"/>
        <v/>
      </c>
      <c r="M390" s="44" t="str">
        <f t="shared" si="108"/>
        <v/>
      </c>
      <c r="N390" s="44" t="str">
        <f t="shared" si="115"/>
        <v/>
      </c>
      <c r="O390" s="44" t="str">
        <f t="shared" si="109"/>
        <v/>
      </c>
      <c r="P390" s="44" t="str">
        <f t="shared" ref="P390:P453" si="120">IFERROR(H390*O390,"")</f>
        <v/>
      </c>
      <c r="Q390" s="44" t="str">
        <f t="shared" si="110"/>
        <v/>
      </c>
      <c r="R390" s="44" t="str">
        <f t="shared" si="116"/>
        <v/>
      </c>
      <c r="S390" s="242">
        <f t="shared" si="117"/>
        <v>0</v>
      </c>
      <c r="T390" s="42">
        <f t="shared" si="118"/>
        <v>0</v>
      </c>
      <c r="U390" s="42">
        <f t="shared" si="111"/>
        <v>0</v>
      </c>
      <c r="V390" s="36" t="e">
        <f t="shared" si="112"/>
        <v>#DIV/0!</v>
      </c>
      <c r="W390" s="36" t="e">
        <f t="shared" si="113"/>
        <v>#DIV/0!</v>
      </c>
      <c r="X390" s="62" t="e">
        <f t="shared" si="119"/>
        <v>#DIV/0!</v>
      </c>
    </row>
    <row r="391" spans="1:24">
      <c r="A391" s="26"/>
      <c r="B391" s="27"/>
      <c r="C391" s="27"/>
      <c r="D391" s="27"/>
      <c r="E391" s="27"/>
      <c r="F391" s="27"/>
      <c r="G391" s="27"/>
      <c r="H391" s="27"/>
      <c r="I391" s="27"/>
      <c r="J391" s="27"/>
      <c r="K391" s="133" t="str">
        <f t="shared" si="107"/>
        <v/>
      </c>
      <c r="L391" s="44" t="str">
        <f t="shared" si="114"/>
        <v/>
      </c>
      <c r="M391" s="44" t="str">
        <f t="shared" si="108"/>
        <v/>
      </c>
      <c r="N391" s="44" t="str">
        <f t="shared" si="115"/>
        <v/>
      </c>
      <c r="O391" s="44" t="str">
        <f t="shared" si="109"/>
        <v/>
      </c>
      <c r="P391" s="44" t="str">
        <f t="shared" si="120"/>
        <v/>
      </c>
      <c r="Q391" s="44" t="str">
        <f t="shared" si="110"/>
        <v/>
      </c>
      <c r="R391" s="44" t="str">
        <f t="shared" si="116"/>
        <v/>
      </c>
      <c r="S391" s="242">
        <f t="shared" si="117"/>
        <v>0</v>
      </c>
      <c r="T391" s="42">
        <f t="shared" si="118"/>
        <v>0</v>
      </c>
      <c r="U391" s="42">
        <f t="shared" si="111"/>
        <v>0</v>
      </c>
      <c r="V391" s="36" t="e">
        <f t="shared" si="112"/>
        <v>#DIV/0!</v>
      </c>
      <c r="W391" s="36" t="e">
        <f t="shared" si="113"/>
        <v>#DIV/0!</v>
      </c>
      <c r="X391" s="62" t="e">
        <f t="shared" si="119"/>
        <v>#DIV/0!</v>
      </c>
    </row>
    <row r="392" spans="1:24">
      <c r="A392" s="26"/>
      <c r="B392" s="27"/>
      <c r="C392" s="27"/>
      <c r="D392" s="27"/>
      <c r="E392" s="27"/>
      <c r="F392" s="27"/>
      <c r="G392" s="27"/>
      <c r="H392" s="27"/>
      <c r="I392" s="27"/>
      <c r="J392" s="27"/>
      <c r="K392" s="133" t="str">
        <f t="shared" si="107"/>
        <v/>
      </c>
      <c r="L392" s="44" t="str">
        <f t="shared" si="114"/>
        <v/>
      </c>
      <c r="M392" s="44" t="str">
        <f t="shared" si="108"/>
        <v/>
      </c>
      <c r="N392" s="44" t="str">
        <f t="shared" si="115"/>
        <v/>
      </c>
      <c r="O392" s="44" t="str">
        <f t="shared" si="109"/>
        <v/>
      </c>
      <c r="P392" s="44" t="str">
        <f t="shared" si="120"/>
        <v/>
      </c>
      <c r="Q392" s="44" t="str">
        <f t="shared" si="110"/>
        <v/>
      </c>
      <c r="R392" s="44" t="str">
        <f t="shared" si="116"/>
        <v/>
      </c>
      <c r="S392" s="242">
        <f t="shared" si="117"/>
        <v>0</v>
      </c>
      <c r="T392" s="42">
        <f t="shared" si="118"/>
        <v>0</v>
      </c>
      <c r="U392" s="42">
        <f t="shared" si="111"/>
        <v>0</v>
      </c>
      <c r="V392" s="36" t="e">
        <f t="shared" si="112"/>
        <v>#DIV/0!</v>
      </c>
      <c r="W392" s="36" t="e">
        <f t="shared" si="113"/>
        <v>#DIV/0!</v>
      </c>
      <c r="X392" s="62" t="e">
        <f t="shared" si="119"/>
        <v>#DIV/0!</v>
      </c>
    </row>
    <row r="393" spans="1:24">
      <c r="A393" s="26"/>
      <c r="B393" s="27"/>
      <c r="C393" s="27"/>
      <c r="D393" s="27"/>
      <c r="E393" s="27"/>
      <c r="F393" s="27"/>
      <c r="G393" s="27"/>
      <c r="H393" s="27"/>
      <c r="I393" s="27"/>
      <c r="J393" s="27"/>
      <c r="K393" s="133" t="str">
        <f t="shared" si="107"/>
        <v/>
      </c>
      <c r="L393" s="44" t="str">
        <f t="shared" si="114"/>
        <v/>
      </c>
      <c r="M393" s="44" t="str">
        <f t="shared" si="108"/>
        <v/>
      </c>
      <c r="N393" s="44" t="str">
        <f t="shared" si="115"/>
        <v/>
      </c>
      <c r="O393" s="44" t="str">
        <f t="shared" si="109"/>
        <v/>
      </c>
      <c r="P393" s="44" t="str">
        <f t="shared" si="120"/>
        <v/>
      </c>
      <c r="Q393" s="44" t="str">
        <f t="shared" si="110"/>
        <v/>
      </c>
      <c r="R393" s="44" t="str">
        <f t="shared" si="116"/>
        <v/>
      </c>
      <c r="S393" s="242">
        <f t="shared" si="117"/>
        <v>0</v>
      </c>
      <c r="T393" s="42">
        <f t="shared" si="118"/>
        <v>0</v>
      </c>
      <c r="U393" s="42">
        <f t="shared" si="111"/>
        <v>0</v>
      </c>
      <c r="V393" s="36" t="e">
        <f t="shared" si="112"/>
        <v>#DIV/0!</v>
      </c>
      <c r="W393" s="36" t="e">
        <f t="shared" si="113"/>
        <v>#DIV/0!</v>
      </c>
      <c r="X393" s="62" t="e">
        <f t="shared" si="119"/>
        <v>#DIV/0!</v>
      </c>
    </row>
    <row r="394" spans="1:24">
      <c r="A394" s="26"/>
      <c r="B394" s="27"/>
      <c r="C394" s="27"/>
      <c r="D394" s="27"/>
      <c r="E394" s="27"/>
      <c r="F394" s="27"/>
      <c r="G394" s="27"/>
      <c r="H394" s="27"/>
      <c r="I394" s="27"/>
      <c r="J394" s="27"/>
      <c r="K394" s="133" t="str">
        <f t="shared" si="107"/>
        <v/>
      </c>
      <c r="L394" s="44" t="str">
        <f t="shared" si="114"/>
        <v/>
      </c>
      <c r="M394" s="44" t="str">
        <f t="shared" si="108"/>
        <v/>
      </c>
      <c r="N394" s="44" t="str">
        <f t="shared" si="115"/>
        <v/>
      </c>
      <c r="O394" s="44" t="str">
        <f t="shared" si="109"/>
        <v/>
      </c>
      <c r="P394" s="44" t="str">
        <f t="shared" si="120"/>
        <v/>
      </c>
      <c r="Q394" s="44" t="str">
        <f t="shared" si="110"/>
        <v/>
      </c>
      <c r="R394" s="44" t="str">
        <f t="shared" si="116"/>
        <v/>
      </c>
      <c r="S394" s="242">
        <f t="shared" si="117"/>
        <v>0</v>
      </c>
      <c r="T394" s="42">
        <f t="shared" si="118"/>
        <v>0</v>
      </c>
      <c r="U394" s="42">
        <f t="shared" si="111"/>
        <v>0</v>
      </c>
      <c r="V394" s="36" t="e">
        <f t="shared" si="112"/>
        <v>#DIV/0!</v>
      </c>
      <c r="W394" s="36" t="e">
        <f t="shared" si="113"/>
        <v>#DIV/0!</v>
      </c>
      <c r="X394" s="62" t="e">
        <f t="shared" si="119"/>
        <v>#DIV/0!</v>
      </c>
    </row>
    <row r="395" spans="1:24">
      <c r="A395" s="26"/>
      <c r="B395" s="27"/>
      <c r="C395" s="27"/>
      <c r="D395" s="27"/>
      <c r="E395" s="27"/>
      <c r="F395" s="27"/>
      <c r="G395" s="27"/>
      <c r="H395" s="27"/>
      <c r="I395" s="27"/>
      <c r="J395" s="27"/>
      <c r="K395" s="133" t="str">
        <f t="shared" si="107"/>
        <v/>
      </c>
      <c r="L395" s="44" t="str">
        <f t="shared" si="114"/>
        <v/>
      </c>
      <c r="M395" s="44" t="str">
        <f t="shared" si="108"/>
        <v/>
      </c>
      <c r="N395" s="44" t="str">
        <f t="shared" si="115"/>
        <v/>
      </c>
      <c r="O395" s="44" t="str">
        <f t="shared" si="109"/>
        <v/>
      </c>
      <c r="P395" s="44" t="str">
        <f t="shared" si="120"/>
        <v/>
      </c>
      <c r="Q395" s="44" t="str">
        <f t="shared" si="110"/>
        <v/>
      </c>
      <c r="R395" s="44" t="str">
        <f t="shared" si="116"/>
        <v/>
      </c>
      <c r="S395" s="242">
        <f t="shared" si="117"/>
        <v>0</v>
      </c>
      <c r="T395" s="42">
        <f t="shared" si="118"/>
        <v>0</v>
      </c>
      <c r="U395" s="42">
        <f t="shared" si="111"/>
        <v>0</v>
      </c>
      <c r="V395" s="36" t="e">
        <f t="shared" si="112"/>
        <v>#DIV/0!</v>
      </c>
      <c r="W395" s="36" t="e">
        <f t="shared" si="113"/>
        <v>#DIV/0!</v>
      </c>
      <c r="X395" s="62" t="e">
        <f t="shared" si="119"/>
        <v>#DIV/0!</v>
      </c>
    </row>
    <row r="396" spans="1:24">
      <c r="A396" s="26"/>
      <c r="B396" s="27"/>
      <c r="C396" s="27"/>
      <c r="D396" s="27"/>
      <c r="E396" s="27"/>
      <c r="F396" s="27"/>
      <c r="G396" s="27"/>
      <c r="H396" s="27"/>
      <c r="I396" s="27"/>
      <c r="J396" s="27"/>
      <c r="K396" s="133" t="str">
        <f t="shared" si="107"/>
        <v/>
      </c>
      <c r="L396" s="44" t="str">
        <f t="shared" si="114"/>
        <v/>
      </c>
      <c r="M396" s="44" t="str">
        <f t="shared" si="108"/>
        <v/>
      </c>
      <c r="N396" s="44" t="str">
        <f t="shared" si="115"/>
        <v/>
      </c>
      <c r="O396" s="44" t="str">
        <f t="shared" si="109"/>
        <v/>
      </c>
      <c r="P396" s="44" t="str">
        <f t="shared" si="120"/>
        <v/>
      </c>
      <c r="Q396" s="44" t="str">
        <f t="shared" si="110"/>
        <v/>
      </c>
      <c r="R396" s="44" t="str">
        <f t="shared" si="116"/>
        <v/>
      </c>
      <c r="S396" s="242">
        <f t="shared" si="117"/>
        <v>0</v>
      </c>
      <c r="T396" s="42">
        <f t="shared" si="118"/>
        <v>0</v>
      </c>
      <c r="U396" s="42">
        <f t="shared" si="111"/>
        <v>0</v>
      </c>
      <c r="V396" s="36" t="e">
        <f t="shared" si="112"/>
        <v>#DIV/0!</v>
      </c>
      <c r="W396" s="36" t="e">
        <f t="shared" si="113"/>
        <v>#DIV/0!</v>
      </c>
      <c r="X396" s="62" t="e">
        <f t="shared" si="119"/>
        <v>#DIV/0!</v>
      </c>
    </row>
    <row r="397" spans="1:24">
      <c r="A397" s="26"/>
      <c r="B397" s="27"/>
      <c r="C397" s="27"/>
      <c r="D397" s="27"/>
      <c r="E397" s="27"/>
      <c r="F397" s="27"/>
      <c r="G397" s="27"/>
      <c r="H397" s="27"/>
      <c r="I397" s="27"/>
      <c r="J397" s="27"/>
      <c r="K397" s="133" t="str">
        <f t="shared" si="107"/>
        <v/>
      </c>
      <c r="L397" s="44" t="str">
        <f t="shared" si="114"/>
        <v/>
      </c>
      <c r="M397" s="44" t="str">
        <f t="shared" si="108"/>
        <v/>
      </c>
      <c r="N397" s="44" t="str">
        <f t="shared" si="115"/>
        <v/>
      </c>
      <c r="O397" s="44" t="str">
        <f t="shared" si="109"/>
        <v/>
      </c>
      <c r="P397" s="44" t="str">
        <f t="shared" si="120"/>
        <v/>
      </c>
      <c r="Q397" s="44" t="str">
        <f t="shared" si="110"/>
        <v/>
      </c>
      <c r="R397" s="44" t="str">
        <f t="shared" si="116"/>
        <v/>
      </c>
      <c r="S397" s="242">
        <f t="shared" si="117"/>
        <v>0</v>
      </c>
      <c r="T397" s="42">
        <f t="shared" si="118"/>
        <v>0</v>
      </c>
      <c r="U397" s="42">
        <f t="shared" si="111"/>
        <v>0</v>
      </c>
      <c r="V397" s="36" t="e">
        <f t="shared" si="112"/>
        <v>#DIV/0!</v>
      </c>
      <c r="W397" s="36" t="e">
        <f t="shared" si="113"/>
        <v>#DIV/0!</v>
      </c>
      <c r="X397" s="62" t="e">
        <f t="shared" si="119"/>
        <v>#DIV/0!</v>
      </c>
    </row>
    <row r="398" spans="1:24">
      <c r="A398" s="26"/>
      <c r="B398" s="27"/>
      <c r="C398" s="27"/>
      <c r="D398" s="27"/>
      <c r="E398" s="27"/>
      <c r="F398" s="27"/>
      <c r="G398" s="27"/>
      <c r="H398" s="27"/>
      <c r="I398" s="27"/>
      <c r="J398" s="27"/>
      <c r="K398" s="133" t="str">
        <f t="shared" si="107"/>
        <v/>
      </c>
      <c r="L398" s="44" t="str">
        <f t="shared" si="114"/>
        <v/>
      </c>
      <c r="M398" s="44" t="str">
        <f t="shared" si="108"/>
        <v/>
      </c>
      <c r="N398" s="44" t="str">
        <f t="shared" si="115"/>
        <v/>
      </c>
      <c r="O398" s="44" t="str">
        <f t="shared" si="109"/>
        <v/>
      </c>
      <c r="P398" s="44" t="str">
        <f t="shared" si="120"/>
        <v/>
      </c>
      <c r="Q398" s="44" t="str">
        <f t="shared" si="110"/>
        <v/>
      </c>
      <c r="R398" s="44" t="str">
        <f t="shared" si="116"/>
        <v/>
      </c>
      <c r="S398" s="242">
        <f t="shared" si="117"/>
        <v>0</v>
      </c>
      <c r="T398" s="42">
        <f t="shared" si="118"/>
        <v>0</v>
      </c>
      <c r="U398" s="42">
        <f t="shared" si="111"/>
        <v>0</v>
      </c>
      <c r="V398" s="36" t="e">
        <f t="shared" si="112"/>
        <v>#DIV/0!</v>
      </c>
      <c r="W398" s="36" t="e">
        <f t="shared" si="113"/>
        <v>#DIV/0!</v>
      </c>
      <c r="X398" s="62" t="e">
        <f t="shared" si="119"/>
        <v>#DIV/0!</v>
      </c>
    </row>
    <row r="399" spans="1:24">
      <c r="A399" s="26"/>
      <c r="B399" s="27"/>
      <c r="C399" s="27"/>
      <c r="D399" s="27"/>
      <c r="E399" s="27"/>
      <c r="F399" s="27"/>
      <c r="G399" s="27"/>
      <c r="H399" s="27"/>
      <c r="I399" s="27"/>
      <c r="J399" s="27"/>
      <c r="K399" s="133" t="str">
        <f t="shared" si="107"/>
        <v/>
      </c>
      <c r="L399" s="44" t="str">
        <f t="shared" si="114"/>
        <v/>
      </c>
      <c r="M399" s="44" t="str">
        <f t="shared" si="108"/>
        <v/>
      </c>
      <c r="N399" s="44" t="str">
        <f t="shared" si="115"/>
        <v/>
      </c>
      <c r="O399" s="44" t="str">
        <f t="shared" si="109"/>
        <v/>
      </c>
      <c r="P399" s="44" t="str">
        <f t="shared" si="120"/>
        <v/>
      </c>
      <c r="Q399" s="44" t="str">
        <f t="shared" si="110"/>
        <v/>
      </c>
      <c r="R399" s="44" t="str">
        <f t="shared" si="116"/>
        <v/>
      </c>
      <c r="S399" s="242">
        <f t="shared" si="117"/>
        <v>0</v>
      </c>
      <c r="T399" s="42">
        <f t="shared" si="118"/>
        <v>0</v>
      </c>
      <c r="U399" s="42">
        <f t="shared" si="111"/>
        <v>0</v>
      </c>
      <c r="V399" s="36" t="e">
        <f t="shared" si="112"/>
        <v>#DIV/0!</v>
      </c>
      <c r="W399" s="36" t="e">
        <f t="shared" si="113"/>
        <v>#DIV/0!</v>
      </c>
      <c r="X399" s="62" t="e">
        <f t="shared" si="119"/>
        <v>#DIV/0!</v>
      </c>
    </row>
    <row r="400" spans="1:24">
      <c r="A400" s="26"/>
      <c r="B400" s="27"/>
      <c r="C400" s="27"/>
      <c r="D400" s="27"/>
      <c r="E400" s="27"/>
      <c r="F400" s="27"/>
      <c r="G400" s="27"/>
      <c r="H400" s="27"/>
      <c r="I400" s="27"/>
      <c r="J400" s="27"/>
      <c r="K400" s="133" t="str">
        <f t="shared" si="107"/>
        <v/>
      </c>
      <c r="L400" s="44" t="str">
        <f t="shared" si="114"/>
        <v/>
      </c>
      <c r="M400" s="44" t="str">
        <f t="shared" si="108"/>
        <v/>
      </c>
      <c r="N400" s="44" t="str">
        <f t="shared" si="115"/>
        <v/>
      </c>
      <c r="O400" s="44" t="str">
        <f t="shared" si="109"/>
        <v/>
      </c>
      <c r="P400" s="44" t="str">
        <f t="shared" si="120"/>
        <v/>
      </c>
      <c r="Q400" s="44" t="str">
        <f t="shared" si="110"/>
        <v/>
      </c>
      <c r="R400" s="44" t="str">
        <f t="shared" si="116"/>
        <v/>
      </c>
      <c r="S400" s="242">
        <f t="shared" si="117"/>
        <v>0</v>
      </c>
      <c r="T400" s="42">
        <f t="shared" si="118"/>
        <v>0</v>
      </c>
      <c r="U400" s="42">
        <f t="shared" si="111"/>
        <v>0</v>
      </c>
      <c r="V400" s="36" t="e">
        <f t="shared" si="112"/>
        <v>#DIV/0!</v>
      </c>
      <c r="W400" s="36" t="e">
        <f t="shared" si="113"/>
        <v>#DIV/0!</v>
      </c>
      <c r="X400" s="62" t="e">
        <f t="shared" si="119"/>
        <v>#DIV/0!</v>
      </c>
    </row>
    <row r="401" spans="1:24">
      <c r="A401" s="26"/>
      <c r="B401" s="27"/>
      <c r="C401" s="27"/>
      <c r="D401" s="27"/>
      <c r="E401" s="27"/>
      <c r="F401" s="27"/>
      <c r="G401" s="27"/>
      <c r="H401" s="27"/>
      <c r="I401" s="27"/>
      <c r="J401" s="27"/>
      <c r="K401" s="133" t="str">
        <f t="shared" si="107"/>
        <v/>
      </c>
      <c r="L401" s="44" t="str">
        <f t="shared" si="114"/>
        <v/>
      </c>
      <c r="M401" s="44" t="str">
        <f t="shared" si="108"/>
        <v/>
      </c>
      <c r="N401" s="44" t="str">
        <f t="shared" si="115"/>
        <v/>
      </c>
      <c r="O401" s="44" t="str">
        <f t="shared" si="109"/>
        <v/>
      </c>
      <c r="P401" s="44" t="str">
        <f t="shared" si="120"/>
        <v/>
      </c>
      <c r="Q401" s="44" t="str">
        <f t="shared" si="110"/>
        <v/>
      </c>
      <c r="R401" s="44" t="str">
        <f t="shared" si="116"/>
        <v/>
      </c>
      <c r="S401" s="242">
        <f t="shared" si="117"/>
        <v>0</v>
      </c>
      <c r="T401" s="42">
        <f t="shared" si="118"/>
        <v>0</v>
      </c>
      <c r="U401" s="42">
        <f t="shared" si="111"/>
        <v>0</v>
      </c>
      <c r="V401" s="36" t="e">
        <f t="shared" si="112"/>
        <v>#DIV/0!</v>
      </c>
      <c r="W401" s="36" t="e">
        <f t="shared" si="113"/>
        <v>#DIV/0!</v>
      </c>
      <c r="X401" s="62" t="e">
        <f t="shared" si="119"/>
        <v>#DIV/0!</v>
      </c>
    </row>
    <row r="402" spans="1:24">
      <c r="A402" s="26"/>
      <c r="B402" s="27"/>
      <c r="C402" s="27"/>
      <c r="D402" s="27"/>
      <c r="E402" s="27"/>
      <c r="F402" s="27"/>
      <c r="G402" s="27"/>
      <c r="H402" s="27"/>
      <c r="I402" s="27"/>
      <c r="J402" s="27"/>
      <c r="K402" s="133" t="str">
        <f t="shared" si="107"/>
        <v/>
      </c>
      <c r="L402" s="44" t="str">
        <f t="shared" si="114"/>
        <v/>
      </c>
      <c r="M402" s="44" t="str">
        <f t="shared" si="108"/>
        <v/>
      </c>
      <c r="N402" s="44" t="str">
        <f t="shared" si="115"/>
        <v/>
      </c>
      <c r="O402" s="44" t="str">
        <f t="shared" si="109"/>
        <v/>
      </c>
      <c r="P402" s="44" t="str">
        <f t="shared" si="120"/>
        <v/>
      </c>
      <c r="Q402" s="44" t="str">
        <f t="shared" si="110"/>
        <v/>
      </c>
      <c r="R402" s="44" t="str">
        <f t="shared" si="116"/>
        <v/>
      </c>
      <c r="S402" s="242">
        <f t="shared" si="117"/>
        <v>0</v>
      </c>
      <c r="T402" s="42">
        <f t="shared" si="118"/>
        <v>0</v>
      </c>
      <c r="U402" s="42">
        <f t="shared" si="111"/>
        <v>0</v>
      </c>
      <c r="V402" s="36" t="e">
        <f t="shared" si="112"/>
        <v>#DIV/0!</v>
      </c>
      <c r="W402" s="36" t="e">
        <f t="shared" si="113"/>
        <v>#DIV/0!</v>
      </c>
      <c r="X402" s="62" t="e">
        <f t="shared" si="119"/>
        <v>#DIV/0!</v>
      </c>
    </row>
    <row r="403" spans="1:24">
      <c r="A403" s="26"/>
      <c r="B403" s="27"/>
      <c r="C403" s="27"/>
      <c r="D403" s="27"/>
      <c r="E403" s="27"/>
      <c r="F403" s="27"/>
      <c r="G403" s="27"/>
      <c r="H403" s="27"/>
      <c r="I403" s="27"/>
      <c r="J403" s="27"/>
      <c r="K403" s="133" t="str">
        <f t="shared" si="107"/>
        <v/>
      </c>
      <c r="L403" s="44" t="str">
        <f t="shared" si="114"/>
        <v/>
      </c>
      <c r="M403" s="44" t="str">
        <f t="shared" si="108"/>
        <v/>
      </c>
      <c r="N403" s="44" t="str">
        <f t="shared" si="115"/>
        <v/>
      </c>
      <c r="O403" s="44" t="str">
        <f t="shared" si="109"/>
        <v/>
      </c>
      <c r="P403" s="44" t="str">
        <f t="shared" si="120"/>
        <v/>
      </c>
      <c r="Q403" s="44" t="str">
        <f t="shared" si="110"/>
        <v/>
      </c>
      <c r="R403" s="44" t="str">
        <f t="shared" si="116"/>
        <v/>
      </c>
      <c r="S403" s="242">
        <f t="shared" si="117"/>
        <v>0</v>
      </c>
      <c r="T403" s="42">
        <f t="shared" si="118"/>
        <v>0</v>
      </c>
      <c r="U403" s="42">
        <f t="shared" si="111"/>
        <v>0</v>
      </c>
      <c r="V403" s="36" t="e">
        <f t="shared" si="112"/>
        <v>#DIV/0!</v>
      </c>
      <c r="W403" s="36" t="e">
        <f t="shared" si="113"/>
        <v>#DIV/0!</v>
      </c>
      <c r="X403" s="62" t="e">
        <f t="shared" si="119"/>
        <v>#DIV/0!</v>
      </c>
    </row>
    <row r="404" spans="1:24">
      <c r="A404" s="26"/>
      <c r="B404" s="27"/>
      <c r="C404" s="27"/>
      <c r="D404" s="27"/>
      <c r="E404" s="27"/>
      <c r="F404" s="27"/>
      <c r="G404" s="27"/>
      <c r="H404" s="27"/>
      <c r="I404" s="27"/>
      <c r="J404" s="27"/>
      <c r="K404" s="133" t="str">
        <f t="shared" si="107"/>
        <v/>
      </c>
      <c r="L404" s="44" t="str">
        <f t="shared" si="114"/>
        <v/>
      </c>
      <c r="M404" s="44" t="str">
        <f t="shared" si="108"/>
        <v/>
      </c>
      <c r="N404" s="44" t="str">
        <f t="shared" si="115"/>
        <v/>
      </c>
      <c r="O404" s="44" t="str">
        <f t="shared" si="109"/>
        <v/>
      </c>
      <c r="P404" s="44" t="str">
        <f t="shared" si="120"/>
        <v/>
      </c>
      <c r="Q404" s="44" t="str">
        <f t="shared" si="110"/>
        <v/>
      </c>
      <c r="R404" s="44" t="str">
        <f t="shared" si="116"/>
        <v/>
      </c>
      <c r="S404" s="242">
        <f t="shared" si="117"/>
        <v>0</v>
      </c>
      <c r="T404" s="42">
        <f t="shared" si="118"/>
        <v>0</v>
      </c>
      <c r="U404" s="42">
        <f t="shared" si="111"/>
        <v>0</v>
      </c>
      <c r="V404" s="36" t="e">
        <f t="shared" si="112"/>
        <v>#DIV/0!</v>
      </c>
      <c r="W404" s="36" t="e">
        <f t="shared" si="113"/>
        <v>#DIV/0!</v>
      </c>
      <c r="X404" s="62" t="e">
        <f t="shared" si="119"/>
        <v>#DIV/0!</v>
      </c>
    </row>
    <row r="405" spans="1:24">
      <c r="A405" s="26"/>
      <c r="B405" s="27"/>
      <c r="C405" s="27"/>
      <c r="D405" s="27"/>
      <c r="E405" s="27"/>
      <c r="F405" s="27"/>
      <c r="G405" s="27"/>
      <c r="H405" s="27"/>
      <c r="I405" s="27"/>
      <c r="J405" s="27"/>
      <c r="K405" s="133" t="str">
        <f t="shared" si="107"/>
        <v/>
      </c>
      <c r="L405" s="44" t="str">
        <f t="shared" si="114"/>
        <v/>
      </c>
      <c r="M405" s="44" t="str">
        <f t="shared" si="108"/>
        <v/>
      </c>
      <c r="N405" s="44" t="str">
        <f t="shared" si="115"/>
        <v/>
      </c>
      <c r="O405" s="44" t="str">
        <f t="shared" si="109"/>
        <v/>
      </c>
      <c r="P405" s="44" t="str">
        <f t="shared" si="120"/>
        <v/>
      </c>
      <c r="Q405" s="44" t="str">
        <f t="shared" si="110"/>
        <v/>
      </c>
      <c r="R405" s="44" t="str">
        <f t="shared" si="116"/>
        <v/>
      </c>
      <c r="S405" s="242">
        <f t="shared" si="117"/>
        <v>0</v>
      </c>
      <c r="T405" s="42">
        <f t="shared" si="118"/>
        <v>0</v>
      </c>
      <c r="U405" s="42">
        <f t="shared" si="111"/>
        <v>0</v>
      </c>
      <c r="V405" s="36" t="e">
        <f t="shared" si="112"/>
        <v>#DIV/0!</v>
      </c>
      <c r="W405" s="36" t="e">
        <f t="shared" si="113"/>
        <v>#DIV/0!</v>
      </c>
      <c r="X405" s="62" t="e">
        <f t="shared" si="119"/>
        <v>#DIV/0!</v>
      </c>
    </row>
    <row r="406" spans="1:24">
      <c r="A406" s="26"/>
      <c r="B406" s="27"/>
      <c r="C406" s="27"/>
      <c r="D406" s="27"/>
      <c r="E406" s="27"/>
      <c r="F406" s="27"/>
      <c r="G406" s="27"/>
      <c r="H406" s="27"/>
      <c r="I406" s="27"/>
      <c r="J406" s="27"/>
      <c r="K406" s="133" t="str">
        <f t="shared" si="107"/>
        <v/>
      </c>
      <c r="L406" s="44" t="str">
        <f t="shared" si="114"/>
        <v/>
      </c>
      <c r="M406" s="44" t="str">
        <f t="shared" si="108"/>
        <v/>
      </c>
      <c r="N406" s="44" t="str">
        <f t="shared" si="115"/>
        <v/>
      </c>
      <c r="O406" s="44" t="str">
        <f t="shared" si="109"/>
        <v/>
      </c>
      <c r="P406" s="44" t="str">
        <f t="shared" si="120"/>
        <v/>
      </c>
      <c r="Q406" s="44" t="str">
        <f t="shared" si="110"/>
        <v/>
      </c>
      <c r="R406" s="44" t="str">
        <f t="shared" si="116"/>
        <v/>
      </c>
      <c r="S406" s="242">
        <f t="shared" si="117"/>
        <v>0</v>
      </c>
      <c r="T406" s="42">
        <f t="shared" si="118"/>
        <v>0</v>
      </c>
      <c r="U406" s="42">
        <f t="shared" si="111"/>
        <v>0</v>
      </c>
      <c r="V406" s="36" t="e">
        <f t="shared" si="112"/>
        <v>#DIV/0!</v>
      </c>
      <c r="W406" s="36" t="e">
        <f t="shared" si="113"/>
        <v>#DIV/0!</v>
      </c>
      <c r="X406" s="62" t="e">
        <f t="shared" si="119"/>
        <v>#DIV/0!</v>
      </c>
    </row>
    <row r="407" spans="1:24">
      <c r="A407" s="26"/>
      <c r="B407" s="27"/>
      <c r="C407" s="27"/>
      <c r="D407" s="27"/>
      <c r="E407" s="27"/>
      <c r="F407" s="27"/>
      <c r="G407" s="27"/>
      <c r="H407" s="27"/>
      <c r="I407" s="27"/>
      <c r="J407" s="27"/>
      <c r="K407" s="133" t="str">
        <f t="shared" si="107"/>
        <v/>
      </c>
      <c r="L407" s="44" t="str">
        <f t="shared" si="114"/>
        <v/>
      </c>
      <c r="M407" s="44" t="str">
        <f t="shared" si="108"/>
        <v/>
      </c>
      <c r="N407" s="44" t="str">
        <f t="shared" si="115"/>
        <v/>
      </c>
      <c r="O407" s="44" t="str">
        <f t="shared" si="109"/>
        <v/>
      </c>
      <c r="P407" s="44" t="str">
        <f t="shared" si="120"/>
        <v/>
      </c>
      <c r="Q407" s="44" t="str">
        <f t="shared" si="110"/>
        <v/>
      </c>
      <c r="R407" s="44" t="str">
        <f t="shared" si="116"/>
        <v/>
      </c>
      <c r="S407" s="242">
        <f t="shared" si="117"/>
        <v>0</v>
      </c>
      <c r="T407" s="42">
        <f t="shared" si="118"/>
        <v>0</v>
      </c>
      <c r="U407" s="42">
        <f t="shared" si="111"/>
        <v>0</v>
      </c>
      <c r="V407" s="36" t="e">
        <f t="shared" si="112"/>
        <v>#DIV/0!</v>
      </c>
      <c r="W407" s="36" t="e">
        <f t="shared" si="113"/>
        <v>#DIV/0!</v>
      </c>
      <c r="X407" s="62" t="e">
        <f t="shared" si="119"/>
        <v>#DIV/0!</v>
      </c>
    </row>
    <row r="408" spans="1:24">
      <c r="A408" s="26"/>
      <c r="B408" s="27"/>
      <c r="C408" s="27"/>
      <c r="D408" s="27"/>
      <c r="E408" s="27"/>
      <c r="F408" s="27"/>
      <c r="G408" s="27"/>
      <c r="H408" s="27"/>
      <c r="I408" s="27"/>
      <c r="J408" s="27"/>
      <c r="K408" s="133" t="str">
        <f t="shared" si="107"/>
        <v/>
      </c>
      <c r="L408" s="44" t="str">
        <f t="shared" si="114"/>
        <v/>
      </c>
      <c r="M408" s="44" t="str">
        <f t="shared" si="108"/>
        <v/>
      </c>
      <c r="N408" s="44" t="str">
        <f t="shared" si="115"/>
        <v/>
      </c>
      <c r="O408" s="44" t="str">
        <f t="shared" si="109"/>
        <v/>
      </c>
      <c r="P408" s="44" t="str">
        <f t="shared" si="120"/>
        <v/>
      </c>
      <c r="Q408" s="44" t="str">
        <f t="shared" si="110"/>
        <v/>
      </c>
      <c r="R408" s="44" t="str">
        <f t="shared" si="116"/>
        <v/>
      </c>
      <c r="S408" s="242">
        <f t="shared" si="117"/>
        <v>0</v>
      </c>
      <c r="T408" s="42">
        <f t="shared" si="118"/>
        <v>0</v>
      </c>
      <c r="U408" s="42">
        <f t="shared" si="111"/>
        <v>0</v>
      </c>
      <c r="V408" s="36" t="e">
        <f t="shared" si="112"/>
        <v>#DIV/0!</v>
      </c>
      <c r="W408" s="36" t="e">
        <f t="shared" si="113"/>
        <v>#DIV/0!</v>
      </c>
      <c r="X408" s="62" t="e">
        <f t="shared" si="119"/>
        <v>#DIV/0!</v>
      </c>
    </row>
    <row r="409" spans="1:24">
      <c r="A409" s="26"/>
      <c r="B409" s="27"/>
      <c r="C409" s="27"/>
      <c r="D409" s="27"/>
      <c r="E409" s="27"/>
      <c r="F409" s="27"/>
      <c r="G409" s="27"/>
      <c r="H409" s="27"/>
      <c r="I409" s="27"/>
      <c r="J409" s="27"/>
      <c r="K409" s="133" t="str">
        <f t="shared" si="107"/>
        <v/>
      </c>
      <c r="L409" s="44" t="str">
        <f t="shared" si="114"/>
        <v/>
      </c>
      <c r="M409" s="44" t="str">
        <f t="shared" si="108"/>
        <v/>
      </c>
      <c r="N409" s="44" t="str">
        <f t="shared" si="115"/>
        <v/>
      </c>
      <c r="O409" s="44" t="str">
        <f t="shared" si="109"/>
        <v/>
      </c>
      <c r="P409" s="44" t="str">
        <f t="shared" si="120"/>
        <v/>
      </c>
      <c r="Q409" s="44" t="str">
        <f t="shared" si="110"/>
        <v/>
      </c>
      <c r="R409" s="44" t="str">
        <f t="shared" si="116"/>
        <v/>
      </c>
      <c r="S409" s="242">
        <f t="shared" si="117"/>
        <v>0</v>
      </c>
      <c r="T409" s="42">
        <f t="shared" si="118"/>
        <v>0</v>
      </c>
      <c r="U409" s="42">
        <f t="shared" si="111"/>
        <v>0</v>
      </c>
      <c r="V409" s="36" t="e">
        <f t="shared" si="112"/>
        <v>#DIV/0!</v>
      </c>
      <c r="W409" s="36" t="e">
        <f t="shared" si="113"/>
        <v>#DIV/0!</v>
      </c>
      <c r="X409" s="62" t="e">
        <f t="shared" si="119"/>
        <v>#DIV/0!</v>
      </c>
    </row>
    <row r="410" spans="1:24">
      <c r="A410" s="26"/>
      <c r="B410" s="27"/>
      <c r="C410" s="27"/>
      <c r="D410" s="27"/>
      <c r="E410" s="27"/>
      <c r="F410" s="27"/>
      <c r="G410" s="27"/>
      <c r="H410" s="27"/>
      <c r="I410" s="27"/>
      <c r="J410" s="27"/>
      <c r="K410" s="133" t="str">
        <f t="shared" si="107"/>
        <v/>
      </c>
      <c r="L410" s="44" t="str">
        <f t="shared" si="114"/>
        <v/>
      </c>
      <c r="M410" s="44" t="str">
        <f t="shared" si="108"/>
        <v/>
      </c>
      <c r="N410" s="44" t="str">
        <f t="shared" si="115"/>
        <v/>
      </c>
      <c r="O410" s="44" t="str">
        <f t="shared" si="109"/>
        <v/>
      </c>
      <c r="P410" s="44" t="str">
        <f t="shared" si="120"/>
        <v/>
      </c>
      <c r="Q410" s="44" t="str">
        <f t="shared" si="110"/>
        <v/>
      </c>
      <c r="R410" s="44" t="str">
        <f t="shared" si="116"/>
        <v/>
      </c>
      <c r="S410" s="242">
        <f t="shared" si="117"/>
        <v>0</v>
      </c>
      <c r="T410" s="42">
        <f t="shared" si="118"/>
        <v>0</v>
      </c>
      <c r="U410" s="42">
        <f t="shared" si="111"/>
        <v>0</v>
      </c>
      <c r="V410" s="36" t="e">
        <f t="shared" si="112"/>
        <v>#DIV/0!</v>
      </c>
      <c r="W410" s="36" t="e">
        <f t="shared" si="113"/>
        <v>#DIV/0!</v>
      </c>
      <c r="X410" s="62" t="e">
        <f t="shared" si="119"/>
        <v>#DIV/0!</v>
      </c>
    </row>
    <row r="411" spans="1:24">
      <c r="A411" s="26"/>
      <c r="B411" s="27"/>
      <c r="C411" s="27"/>
      <c r="D411" s="27"/>
      <c r="E411" s="27"/>
      <c r="F411" s="27"/>
      <c r="G411" s="27"/>
      <c r="H411" s="27"/>
      <c r="I411" s="27"/>
      <c r="J411" s="27"/>
      <c r="K411" s="133" t="str">
        <f t="shared" si="107"/>
        <v/>
      </c>
      <c r="L411" s="44" t="str">
        <f t="shared" si="114"/>
        <v/>
      </c>
      <c r="M411" s="44" t="str">
        <f t="shared" si="108"/>
        <v/>
      </c>
      <c r="N411" s="44" t="str">
        <f t="shared" si="115"/>
        <v/>
      </c>
      <c r="O411" s="44" t="str">
        <f t="shared" si="109"/>
        <v/>
      </c>
      <c r="P411" s="44" t="str">
        <f t="shared" si="120"/>
        <v/>
      </c>
      <c r="Q411" s="44" t="str">
        <f t="shared" si="110"/>
        <v/>
      </c>
      <c r="R411" s="44" t="str">
        <f t="shared" si="116"/>
        <v/>
      </c>
      <c r="S411" s="242">
        <f t="shared" si="117"/>
        <v>0</v>
      </c>
      <c r="T411" s="42">
        <f t="shared" si="118"/>
        <v>0</v>
      </c>
      <c r="U411" s="42">
        <f t="shared" si="111"/>
        <v>0</v>
      </c>
      <c r="V411" s="36" t="e">
        <f t="shared" si="112"/>
        <v>#DIV/0!</v>
      </c>
      <c r="W411" s="36" t="e">
        <f t="shared" si="113"/>
        <v>#DIV/0!</v>
      </c>
      <c r="X411" s="62" t="e">
        <f t="shared" si="119"/>
        <v>#DIV/0!</v>
      </c>
    </row>
    <row r="412" spans="1:24">
      <c r="A412" s="26"/>
      <c r="B412" s="27"/>
      <c r="C412" s="27"/>
      <c r="D412" s="27"/>
      <c r="E412" s="27"/>
      <c r="F412" s="27"/>
      <c r="G412" s="27"/>
      <c r="H412" s="27"/>
      <c r="I412" s="27"/>
      <c r="J412" s="27"/>
      <c r="K412" s="133" t="str">
        <f t="shared" si="107"/>
        <v/>
      </c>
      <c r="L412" s="44" t="str">
        <f t="shared" si="114"/>
        <v/>
      </c>
      <c r="M412" s="44" t="str">
        <f t="shared" si="108"/>
        <v/>
      </c>
      <c r="N412" s="44" t="str">
        <f t="shared" si="115"/>
        <v/>
      </c>
      <c r="O412" s="44" t="str">
        <f t="shared" si="109"/>
        <v/>
      </c>
      <c r="P412" s="44" t="str">
        <f t="shared" si="120"/>
        <v/>
      </c>
      <c r="Q412" s="44" t="str">
        <f t="shared" si="110"/>
        <v/>
      </c>
      <c r="R412" s="44" t="str">
        <f t="shared" si="116"/>
        <v/>
      </c>
      <c r="S412" s="242">
        <f t="shared" si="117"/>
        <v>0</v>
      </c>
      <c r="T412" s="42">
        <f t="shared" si="118"/>
        <v>0</v>
      </c>
      <c r="U412" s="42">
        <f t="shared" si="111"/>
        <v>0</v>
      </c>
      <c r="V412" s="36" t="e">
        <f t="shared" si="112"/>
        <v>#DIV/0!</v>
      </c>
      <c r="W412" s="36" t="e">
        <f t="shared" si="113"/>
        <v>#DIV/0!</v>
      </c>
      <c r="X412" s="62" t="e">
        <f t="shared" si="119"/>
        <v>#DIV/0!</v>
      </c>
    </row>
    <row r="413" spans="1:24">
      <c r="A413" s="26"/>
      <c r="B413" s="27"/>
      <c r="C413" s="27"/>
      <c r="D413" s="27"/>
      <c r="E413" s="27"/>
      <c r="F413" s="27"/>
      <c r="G413" s="27"/>
      <c r="H413" s="27"/>
      <c r="I413" s="27"/>
      <c r="J413" s="27"/>
      <c r="K413" s="133" t="str">
        <f t="shared" si="107"/>
        <v/>
      </c>
      <c r="L413" s="44" t="str">
        <f t="shared" si="114"/>
        <v/>
      </c>
      <c r="M413" s="44" t="str">
        <f t="shared" si="108"/>
        <v/>
      </c>
      <c r="N413" s="44" t="str">
        <f t="shared" si="115"/>
        <v/>
      </c>
      <c r="O413" s="44" t="str">
        <f t="shared" si="109"/>
        <v/>
      </c>
      <c r="P413" s="44" t="str">
        <f t="shared" si="120"/>
        <v/>
      </c>
      <c r="Q413" s="44" t="str">
        <f t="shared" si="110"/>
        <v/>
      </c>
      <c r="R413" s="44" t="str">
        <f t="shared" si="116"/>
        <v/>
      </c>
      <c r="S413" s="242">
        <f t="shared" si="117"/>
        <v>0</v>
      </c>
      <c r="T413" s="42">
        <f t="shared" si="118"/>
        <v>0</v>
      </c>
      <c r="U413" s="42">
        <f t="shared" si="111"/>
        <v>0</v>
      </c>
      <c r="V413" s="36" t="e">
        <f t="shared" si="112"/>
        <v>#DIV/0!</v>
      </c>
      <c r="W413" s="36" t="e">
        <f t="shared" si="113"/>
        <v>#DIV/0!</v>
      </c>
      <c r="X413" s="62" t="e">
        <f t="shared" si="119"/>
        <v>#DIV/0!</v>
      </c>
    </row>
    <row r="414" spans="1:24">
      <c r="A414" s="26"/>
      <c r="B414" s="27"/>
      <c r="C414" s="27"/>
      <c r="D414" s="27"/>
      <c r="E414" s="27"/>
      <c r="F414" s="27"/>
      <c r="G414" s="27"/>
      <c r="H414" s="27"/>
      <c r="I414" s="27"/>
      <c r="J414" s="27"/>
      <c r="K414" s="133" t="str">
        <f t="shared" si="107"/>
        <v/>
      </c>
      <c r="L414" s="44" t="str">
        <f t="shared" si="114"/>
        <v/>
      </c>
      <c r="M414" s="44" t="str">
        <f t="shared" si="108"/>
        <v/>
      </c>
      <c r="N414" s="44" t="str">
        <f t="shared" si="115"/>
        <v/>
      </c>
      <c r="O414" s="44" t="str">
        <f t="shared" si="109"/>
        <v/>
      </c>
      <c r="P414" s="44" t="str">
        <f t="shared" si="120"/>
        <v/>
      </c>
      <c r="Q414" s="44" t="str">
        <f t="shared" si="110"/>
        <v/>
      </c>
      <c r="R414" s="44" t="str">
        <f t="shared" si="116"/>
        <v/>
      </c>
      <c r="S414" s="242">
        <f t="shared" si="117"/>
        <v>0</v>
      </c>
      <c r="T414" s="42">
        <f t="shared" si="118"/>
        <v>0</v>
      </c>
      <c r="U414" s="42">
        <f t="shared" si="111"/>
        <v>0</v>
      </c>
      <c r="V414" s="36" t="e">
        <f t="shared" si="112"/>
        <v>#DIV/0!</v>
      </c>
      <c r="W414" s="36" t="e">
        <f t="shared" si="113"/>
        <v>#DIV/0!</v>
      </c>
      <c r="X414" s="62" t="e">
        <f t="shared" si="119"/>
        <v>#DIV/0!</v>
      </c>
    </row>
    <row r="415" spans="1:24">
      <c r="A415" s="26"/>
      <c r="B415" s="27"/>
      <c r="C415" s="27"/>
      <c r="D415" s="27"/>
      <c r="E415" s="27"/>
      <c r="F415" s="27"/>
      <c r="G415" s="27"/>
      <c r="H415" s="27"/>
      <c r="I415" s="27"/>
      <c r="J415" s="27"/>
      <c r="K415" s="133" t="str">
        <f t="shared" si="107"/>
        <v/>
      </c>
      <c r="L415" s="44" t="str">
        <f t="shared" si="114"/>
        <v/>
      </c>
      <c r="M415" s="44" t="str">
        <f t="shared" si="108"/>
        <v/>
      </c>
      <c r="N415" s="44" t="str">
        <f t="shared" si="115"/>
        <v/>
      </c>
      <c r="O415" s="44" t="str">
        <f t="shared" si="109"/>
        <v/>
      </c>
      <c r="P415" s="44" t="str">
        <f t="shared" si="120"/>
        <v/>
      </c>
      <c r="Q415" s="44" t="str">
        <f t="shared" si="110"/>
        <v/>
      </c>
      <c r="R415" s="44" t="str">
        <f t="shared" si="116"/>
        <v/>
      </c>
      <c r="S415" s="242">
        <f t="shared" si="117"/>
        <v>0</v>
      </c>
      <c r="T415" s="42">
        <f t="shared" si="118"/>
        <v>0</v>
      </c>
      <c r="U415" s="42">
        <f t="shared" si="111"/>
        <v>0</v>
      </c>
      <c r="V415" s="36" t="e">
        <f t="shared" si="112"/>
        <v>#DIV/0!</v>
      </c>
      <c r="W415" s="36" t="e">
        <f t="shared" si="113"/>
        <v>#DIV/0!</v>
      </c>
      <c r="X415" s="62" t="e">
        <f t="shared" si="119"/>
        <v>#DIV/0!</v>
      </c>
    </row>
    <row r="416" spans="1:24">
      <c r="A416" s="26"/>
      <c r="B416" s="27"/>
      <c r="C416" s="27"/>
      <c r="D416" s="27"/>
      <c r="E416" s="27"/>
      <c r="F416" s="27"/>
      <c r="G416" s="27"/>
      <c r="H416" s="27"/>
      <c r="I416" s="27"/>
      <c r="J416" s="27"/>
      <c r="K416" s="133" t="str">
        <f t="shared" si="107"/>
        <v/>
      </c>
      <c r="L416" s="44" t="str">
        <f t="shared" si="114"/>
        <v/>
      </c>
      <c r="M416" s="44" t="str">
        <f t="shared" si="108"/>
        <v/>
      </c>
      <c r="N416" s="44" t="str">
        <f t="shared" si="115"/>
        <v/>
      </c>
      <c r="O416" s="44" t="str">
        <f t="shared" si="109"/>
        <v/>
      </c>
      <c r="P416" s="44" t="str">
        <f t="shared" si="120"/>
        <v/>
      </c>
      <c r="Q416" s="44" t="str">
        <f t="shared" si="110"/>
        <v/>
      </c>
      <c r="R416" s="44" t="str">
        <f t="shared" si="116"/>
        <v/>
      </c>
      <c r="S416" s="242">
        <f t="shared" si="117"/>
        <v>0</v>
      </c>
      <c r="T416" s="42">
        <f t="shared" si="118"/>
        <v>0</v>
      </c>
      <c r="U416" s="42">
        <f t="shared" si="111"/>
        <v>0</v>
      </c>
      <c r="V416" s="36" t="e">
        <f t="shared" si="112"/>
        <v>#DIV/0!</v>
      </c>
      <c r="W416" s="36" t="e">
        <f t="shared" si="113"/>
        <v>#DIV/0!</v>
      </c>
      <c r="X416" s="62" t="e">
        <f t="shared" si="119"/>
        <v>#DIV/0!</v>
      </c>
    </row>
    <row r="417" spans="1:24">
      <c r="A417" s="26"/>
      <c r="B417" s="27"/>
      <c r="C417" s="27"/>
      <c r="D417" s="27"/>
      <c r="E417" s="27"/>
      <c r="F417" s="27"/>
      <c r="G417" s="27"/>
      <c r="H417" s="27"/>
      <c r="I417" s="27"/>
      <c r="J417" s="27"/>
      <c r="K417" s="133" t="str">
        <f t="shared" si="107"/>
        <v/>
      </c>
      <c r="L417" s="44" t="str">
        <f t="shared" si="114"/>
        <v/>
      </c>
      <c r="M417" s="44" t="str">
        <f t="shared" si="108"/>
        <v/>
      </c>
      <c r="N417" s="44" t="str">
        <f t="shared" si="115"/>
        <v/>
      </c>
      <c r="O417" s="44" t="str">
        <f t="shared" si="109"/>
        <v/>
      </c>
      <c r="P417" s="44" t="str">
        <f t="shared" si="120"/>
        <v/>
      </c>
      <c r="Q417" s="44" t="str">
        <f t="shared" si="110"/>
        <v/>
      </c>
      <c r="R417" s="44" t="str">
        <f t="shared" si="116"/>
        <v/>
      </c>
      <c r="S417" s="242">
        <f t="shared" si="117"/>
        <v>0</v>
      </c>
      <c r="T417" s="42">
        <f t="shared" si="118"/>
        <v>0</v>
      </c>
      <c r="U417" s="42">
        <f t="shared" si="111"/>
        <v>0</v>
      </c>
      <c r="V417" s="36" t="e">
        <f t="shared" si="112"/>
        <v>#DIV/0!</v>
      </c>
      <c r="W417" s="36" t="e">
        <f t="shared" si="113"/>
        <v>#DIV/0!</v>
      </c>
      <c r="X417" s="62" t="e">
        <f t="shared" si="119"/>
        <v>#DIV/0!</v>
      </c>
    </row>
    <row r="418" spans="1:24">
      <c r="A418" s="26"/>
      <c r="B418" s="27"/>
      <c r="C418" s="27"/>
      <c r="D418" s="27"/>
      <c r="E418" s="27"/>
      <c r="F418" s="27"/>
      <c r="G418" s="27"/>
      <c r="H418" s="27"/>
      <c r="I418" s="27"/>
      <c r="J418" s="27"/>
      <c r="K418" s="133" t="str">
        <f t="shared" si="107"/>
        <v/>
      </c>
      <c r="L418" s="44" t="str">
        <f t="shared" si="114"/>
        <v/>
      </c>
      <c r="M418" s="44" t="str">
        <f t="shared" si="108"/>
        <v/>
      </c>
      <c r="N418" s="44" t="str">
        <f t="shared" si="115"/>
        <v/>
      </c>
      <c r="O418" s="44" t="str">
        <f t="shared" si="109"/>
        <v/>
      </c>
      <c r="P418" s="44" t="str">
        <f t="shared" si="120"/>
        <v/>
      </c>
      <c r="Q418" s="44" t="str">
        <f t="shared" si="110"/>
        <v/>
      </c>
      <c r="R418" s="44" t="str">
        <f t="shared" si="116"/>
        <v/>
      </c>
      <c r="S418" s="242">
        <f t="shared" si="117"/>
        <v>0</v>
      </c>
      <c r="T418" s="42">
        <f t="shared" si="118"/>
        <v>0</v>
      </c>
      <c r="U418" s="42">
        <f t="shared" si="111"/>
        <v>0</v>
      </c>
      <c r="V418" s="36" t="e">
        <f t="shared" si="112"/>
        <v>#DIV/0!</v>
      </c>
      <c r="W418" s="36" t="e">
        <f t="shared" si="113"/>
        <v>#DIV/0!</v>
      </c>
      <c r="X418" s="62" t="e">
        <f t="shared" si="119"/>
        <v>#DIV/0!</v>
      </c>
    </row>
    <row r="419" spans="1:24">
      <c r="A419" s="26"/>
      <c r="B419" s="27"/>
      <c r="C419" s="27"/>
      <c r="D419" s="27"/>
      <c r="E419" s="27"/>
      <c r="F419" s="27"/>
      <c r="G419" s="27"/>
      <c r="H419" s="27"/>
      <c r="I419" s="27"/>
      <c r="J419" s="27"/>
      <c r="K419" s="44" t="str">
        <f t="shared" ref="K419:K451" si="121">IF(C419="","",VLOOKUP(C419,成本单价,8,0))</f>
        <v/>
      </c>
      <c r="L419" s="44" t="str">
        <f t="shared" si="114"/>
        <v/>
      </c>
      <c r="M419" s="44" t="str">
        <f t="shared" si="108"/>
        <v/>
      </c>
      <c r="N419" s="44" t="str">
        <f t="shared" si="115"/>
        <v/>
      </c>
      <c r="O419" s="44" t="str">
        <f t="shared" si="109"/>
        <v/>
      </c>
      <c r="P419" s="44" t="str">
        <f t="shared" si="120"/>
        <v/>
      </c>
      <c r="Q419" s="44" t="str">
        <f t="shared" si="110"/>
        <v/>
      </c>
      <c r="R419" s="44" t="str">
        <f t="shared" si="116"/>
        <v/>
      </c>
      <c r="S419" s="242">
        <f t="shared" si="117"/>
        <v>0</v>
      </c>
      <c r="T419" s="42">
        <f t="shared" si="118"/>
        <v>0</v>
      </c>
      <c r="U419" s="42">
        <f t="shared" si="111"/>
        <v>0</v>
      </c>
      <c r="V419" s="36" t="e">
        <f t="shared" si="112"/>
        <v>#DIV/0!</v>
      </c>
      <c r="W419" s="36" t="e">
        <f t="shared" si="113"/>
        <v>#DIV/0!</v>
      </c>
      <c r="X419" s="62" t="e">
        <f t="shared" si="119"/>
        <v>#DIV/0!</v>
      </c>
    </row>
    <row r="420" spans="1:24">
      <c r="A420" s="26"/>
      <c r="B420" s="27"/>
      <c r="C420" s="27"/>
      <c r="D420" s="27"/>
      <c r="E420" s="27"/>
      <c r="F420" s="27"/>
      <c r="G420" s="27"/>
      <c r="H420" s="27"/>
      <c r="I420" s="27"/>
      <c r="J420" s="27"/>
      <c r="K420" s="44" t="str">
        <f t="shared" si="121"/>
        <v/>
      </c>
      <c r="L420" s="44" t="str">
        <f t="shared" si="114"/>
        <v/>
      </c>
      <c r="M420" s="44" t="str">
        <f t="shared" si="108"/>
        <v/>
      </c>
      <c r="N420" s="44" t="str">
        <f t="shared" si="115"/>
        <v/>
      </c>
      <c r="O420" s="44" t="str">
        <f t="shared" si="109"/>
        <v/>
      </c>
      <c r="P420" s="44" t="str">
        <f t="shared" si="120"/>
        <v/>
      </c>
      <c r="Q420" s="44" t="str">
        <f t="shared" si="110"/>
        <v/>
      </c>
      <c r="R420" s="44" t="str">
        <f t="shared" si="116"/>
        <v/>
      </c>
      <c r="S420" s="242">
        <f t="shared" si="117"/>
        <v>0</v>
      </c>
      <c r="T420" s="42">
        <f t="shared" si="118"/>
        <v>0</v>
      </c>
      <c r="U420" s="42">
        <f t="shared" si="111"/>
        <v>0</v>
      </c>
      <c r="V420" s="36" t="e">
        <f t="shared" si="112"/>
        <v>#DIV/0!</v>
      </c>
      <c r="W420" s="36" t="e">
        <f t="shared" si="113"/>
        <v>#DIV/0!</v>
      </c>
      <c r="X420" s="62" t="e">
        <f t="shared" si="119"/>
        <v>#DIV/0!</v>
      </c>
    </row>
    <row r="421" spans="1:24">
      <c r="A421" s="26"/>
      <c r="B421" s="27"/>
      <c r="C421" s="27"/>
      <c r="D421" s="27"/>
      <c r="E421" s="27"/>
      <c r="F421" s="27"/>
      <c r="G421" s="27"/>
      <c r="H421" s="27"/>
      <c r="I421" s="27"/>
      <c r="J421" s="27"/>
      <c r="K421" s="44" t="str">
        <f t="shared" si="121"/>
        <v/>
      </c>
      <c r="L421" s="44" t="str">
        <f t="shared" si="114"/>
        <v/>
      </c>
      <c r="M421" s="44" t="str">
        <f t="shared" si="108"/>
        <v/>
      </c>
      <c r="N421" s="44" t="str">
        <f t="shared" si="115"/>
        <v/>
      </c>
      <c r="O421" s="44" t="str">
        <f t="shared" si="109"/>
        <v/>
      </c>
      <c r="P421" s="44" t="str">
        <f t="shared" si="120"/>
        <v/>
      </c>
      <c r="Q421" s="44" t="str">
        <f t="shared" si="110"/>
        <v/>
      </c>
      <c r="R421" s="44" t="str">
        <f t="shared" si="116"/>
        <v/>
      </c>
      <c r="S421" s="242">
        <f t="shared" si="117"/>
        <v>0</v>
      </c>
      <c r="T421" s="42">
        <f t="shared" si="118"/>
        <v>0</v>
      </c>
      <c r="U421" s="42">
        <f t="shared" si="111"/>
        <v>0</v>
      </c>
      <c r="V421" s="36" t="e">
        <f t="shared" si="112"/>
        <v>#DIV/0!</v>
      </c>
      <c r="W421" s="36" t="e">
        <f t="shared" si="113"/>
        <v>#DIV/0!</v>
      </c>
      <c r="X421" s="62" t="e">
        <f t="shared" si="119"/>
        <v>#DIV/0!</v>
      </c>
    </row>
    <row r="422" spans="1:24">
      <c r="A422" s="26"/>
      <c r="B422" s="27"/>
      <c r="C422" s="27"/>
      <c r="D422" s="27"/>
      <c r="E422" s="27"/>
      <c r="F422" s="27"/>
      <c r="G422" s="27"/>
      <c r="H422" s="27"/>
      <c r="I422" s="27"/>
      <c r="J422" s="27"/>
      <c r="K422" s="44" t="str">
        <f t="shared" si="121"/>
        <v/>
      </c>
      <c r="L422" s="44" t="str">
        <f t="shared" si="114"/>
        <v/>
      </c>
      <c r="M422" s="44" t="str">
        <f t="shared" si="108"/>
        <v/>
      </c>
      <c r="N422" s="44" t="str">
        <f t="shared" si="115"/>
        <v/>
      </c>
      <c r="O422" s="44" t="str">
        <f t="shared" si="109"/>
        <v/>
      </c>
      <c r="P422" s="44" t="str">
        <f t="shared" si="120"/>
        <v/>
      </c>
      <c r="Q422" s="44" t="str">
        <f t="shared" si="110"/>
        <v/>
      </c>
      <c r="R422" s="44" t="str">
        <f t="shared" si="116"/>
        <v/>
      </c>
      <c r="S422" s="242">
        <f t="shared" si="117"/>
        <v>0</v>
      </c>
      <c r="T422" s="42">
        <f t="shared" si="118"/>
        <v>0</v>
      </c>
      <c r="U422" s="42">
        <f t="shared" si="111"/>
        <v>0</v>
      </c>
      <c r="V422" s="36" t="e">
        <f t="shared" si="112"/>
        <v>#DIV/0!</v>
      </c>
      <c r="W422" s="36" t="e">
        <f t="shared" si="113"/>
        <v>#DIV/0!</v>
      </c>
      <c r="X422" s="62" t="e">
        <f t="shared" si="119"/>
        <v>#DIV/0!</v>
      </c>
    </row>
    <row r="423" spans="1:24">
      <c r="A423" s="26"/>
      <c r="B423" s="27"/>
      <c r="C423" s="27"/>
      <c r="D423" s="27"/>
      <c r="E423" s="27"/>
      <c r="F423" s="27"/>
      <c r="G423" s="27"/>
      <c r="H423" s="27"/>
      <c r="I423" s="27"/>
      <c r="J423" s="27"/>
      <c r="K423" s="44" t="str">
        <f t="shared" si="121"/>
        <v/>
      </c>
      <c r="L423" s="44" t="str">
        <f t="shared" si="114"/>
        <v/>
      </c>
      <c r="M423" s="44" t="str">
        <f t="shared" si="108"/>
        <v/>
      </c>
      <c r="N423" s="44" t="str">
        <f t="shared" si="115"/>
        <v/>
      </c>
      <c r="O423" s="44" t="str">
        <f t="shared" si="109"/>
        <v/>
      </c>
      <c r="P423" s="44" t="str">
        <f t="shared" si="120"/>
        <v/>
      </c>
      <c r="Q423" s="44" t="str">
        <f t="shared" si="110"/>
        <v/>
      </c>
      <c r="R423" s="44" t="str">
        <f t="shared" si="116"/>
        <v/>
      </c>
      <c r="S423" s="242">
        <f t="shared" si="117"/>
        <v>0</v>
      </c>
      <c r="T423" s="42">
        <f t="shared" si="118"/>
        <v>0</v>
      </c>
      <c r="U423" s="42">
        <f t="shared" si="111"/>
        <v>0</v>
      </c>
      <c r="V423" s="36" t="e">
        <f t="shared" si="112"/>
        <v>#DIV/0!</v>
      </c>
      <c r="W423" s="36" t="e">
        <f t="shared" si="113"/>
        <v>#DIV/0!</v>
      </c>
      <c r="X423" s="62" t="e">
        <f t="shared" si="119"/>
        <v>#DIV/0!</v>
      </c>
    </row>
    <row r="424" spans="1:24">
      <c r="A424" s="26"/>
      <c r="B424" s="27"/>
      <c r="C424" s="27"/>
      <c r="D424" s="27"/>
      <c r="E424" s="27"/>
      <c r="F424" s="27"/>
      <c r="G424" s="27"/>
      <c r="H424" s="27"/>
      <c r="I424" s="27"/>
      <c r="J424" s="27"/>
      <c r="K424" s="44" t="str">
        <f t="shared" si="121"/>
        <v/>
      </c>
      <c r="L424" s="44" t="str">
        <f t="shared" si="114"/>
        <v/>
      </c>
      <c r="M424" s="44" t="str">
        <f t="shared" si="108"/>
        <v/>
      </c>
      <c r="N424" s="44" t="str">
        <f t="shared" si="115"/>
        <v/>
      </c>
      <c r="O424" s="44" t="str">
        <f t="shared" si="109"/>
        <v/>
      </c>
      <c r="P424" s="44" t="str">
        <f t="shared" si="120"/>
        <v/>
      </c>
      <c r="Q424" s="44" t="str">
        <f t="shared" si="110"/>
        <v/>
      </c>
      <c r="R424" s="44" t="str">
        <f t="shared" si="116"/>
        <v/>
      </c>
      <c r="S424" s="242">
        <f t="shared" si="117"/>
        <v>0</v>
      </c>
      <c r="T424" s="42">
        <f t="shared" si="118"/>
        <v>0</v>
      </c>
      <c r="U424" s="42">
        <f t="shared" si="111"/>
        <v>0</v>
      </c>
      <c r="V424" s="36" t="e">
        <f t="shared" si="112"/>
        <v>#DIV/0!</v>
      </c>
      <c r="W424" s="36" t="e">
        <f t="shared" si="113"/>
        <v>#DIV/0!</v>
      </c>
      <c r="X424" s="62" t="e">
        <f t="shared" si="119"/>
        <v>#DIV/0!</v>
      </c>
    </row>
    <row r="425" spans="1:24">
      <c r="A425" s="26"/>
      <c r="B425" s="27"/>
      <c r="C425" s="27"/>
      <c r="D425" s="27"/>
      <c r="E425" s="27"/>
      <c r="F425" s="27"/>
      <c r="G425" s="27"/>
      <c r="H425" s="27"/>
      <c r="I425" s="27"/>
      <c r="J425" s="27"/>
      <c r="K425" s="44" t="str">
        <f t="shared" si="121"/>
        <v/>
      </c>
      <c r="L425" s="44" t="str">
        <f t="shared" si="114"/>
        <v/>
      </c>
      <c r="M425" s="44" t="str">
        <f t="shared" si="108"/>
        <v/>
      </c>
      <c r="N425" s="44" t="str">
        <f t="shared" si="115"/>
        <v/>
      </c>
      <c r="O425" s="44" t="str">
        <f t="shared" si="109"/>
        <v/>
      </c>
      <c r="P425" s="44" t="str">
        <f t="shared" si="120"/>
        <v/>
      </c>
      <c r="Q425" s="44" t="str">
        <f t="shared" si="110"/>
        <v/>
      </c>
      <c r="R425" s="44" t="str">
        <f t="shared" si="116"/>
        <v/>
      </c>
      <c r="S425" s="242">
        <f t="shared" si="117"/>
        <v>0</v>
      </c>
      <c r="T425" s="42">
        <f t="shared" si="118"/>
        <v>0</v>
      </c>
      <c r="U425" s="42">
        <f t="shared" si="111"/>
        <v>0</v>
      </c>
      <c r="V425" s="36" t="e">
        <f t="shared" si="112"/>
        <v>#DIV/0!</v>
      </c>
      <c r="W425" s="36" t="e">
        <f t="shared" si="113"/>
        <v>#DIV/0!</v>
      </c>
      <c r="X425" s="62" t="e">
        <f t="shared" si="119"/>
        <v>#DIV/0!</v>
      </c>
    </row>
    <row r="426" spans="1:24">
      <c r="A426" s="26"/>
      <c r="B426" s="27"/>
      <c r="C426" s="27"/>
      <c r="D426" s="27"/>
      <c r="E426" s="27"/>
      <c r="F426" s="27"/>
      <c r="G426" s="27"/>
      <c r="H426" s="27"/>
      <c r="I426" s="27"/>
      <c r="J426" s="27"/>
      <c r="K426" s="44" t="str">
        <f t="shared" si="121"/>
        <v/>
      </c>
      <c r="L426" s="44" t="str">
        <f t="shared" si="114"/>
        <v/>
      </c>
      <c r="M426" s="44" t="str">
        <f t="shared" si="108"/>
        <v/>
      </c>
      <c r="N426" s="44" t="str">
        <f t="shared" si="115"/>
        <v/>
      </c>
      <c r="O426" s="44" t="str">
        <f t="shared" si="109"/>
        <v/>
      </c>
      <c r="P426" s="44" t="str">
        <f t="shared" si="120"/>
        <v/>
      </c>
      <c r="Q426" s="44" t="str">
        <f t="shared" si="110"/>
        <v/>
      </c>
      <c r="R426" s="44" t="str">
        <f t="shared" si="116"/>
        <v/>
      </c>
      <c r="S426" s="242">
        <f t="shared" si="117"/>
        <v>0</v>
      </c>
      <c r="T426" s="42">
        <f t="shared" si="118"/>
        <v>0</v>
      </c>
      <c r="U426" s="42">
        <f t="shared" si="111"/>
        <v>0</v>
      </c>
      <c r="V426" s="36" t="e">
        <f t="shared" si="112"/>
        <v>#DIV/0!</v>
      </c>
      <c r="W426" s="36" t="e">
        <f t="shared" si="113"/>
        <v>#DIV/0!</v>
      </c>
      <c r="X426" s="62" t="e">
        <f t="shared" si="119"/>
        <v>#DIV/0!</v>
      </c>
    </row>
    <row r="427" spans="1:24">
      <c r="A427" s="26"/>
      <c r="B427" s="27"/>
      <c r="C427" s="27"/>
      <c r="D427" s="27"/>
      <c r="E427" s="27"/>
      <c r="F427" s="27"/>
      <c r="G427" s="27"/>
      <c r="H427" s="27"/>
      <c r="I427" s="27"/>
      <c r="J427" s="27"/>
      <c r="K427" s="44" t="str">
        <f t="shared" si="121"/>
        <v/>
      </c>
      <c r="L427" s="44" t="str">
        <f t="shared" si="114"/>
        <v/>
      </c>
      <c r="M427" s="44" t="str">
        <f t="shared" si="108"/>
        <v/>
      </c>
      <c r="N427" s="44" t="str">
        <f t="shared" si="115"/>
        <v/>
      </c>
      <c r="O427" s="44" t="str">
        <f t="shared" si="109"/>
        <v/>
      </c>
      <c r="P427" s="44" t="str">
        <f t="shared" si="120"/>
        <v/>
      </c>
      <c r="Q427" s="44" t="str">
        <f t="shared" si="110"/>
        <v/>
      </c>
      <c r="R427" s="44" t="str">
        <f t="shared" si="116"/>
        <v/>
      </c>
      <c r="S427" s="242">
        <f t="shared" si="117"/>
        <v>0</v>
      </c>
      <c r="T427" s="42">
        <f t="shared" si="118"/>
        <v>0</v>
      </c>
      <c r="U427" s="42">
        <f t="shared" si="111"/>
        <v>0</v>
      </c>
      <c r="V427" s="36" t="e">
        <f t="shared" si="112"/>
        <v>#DIV/0!</v>
      </c>
      <c r="W427" s="36" t="e">
        <f t="shared" si="113"/>
        <v>#DIV/0!</v>
      </c>
      <c r="X427" s="62" t="e">
        <f t="shared" si="119"/>
        <v>#DIV/0!</v>
      </c>
    </row>
    <row r="428" spans="1:24">
      <c r="A428" s="26"/>
      <c r="B428" s="27"/>
      <c r="C428" s="27"/>
      <c r="D428" s="27"/>
      <c r="E428" s="27"/>
      <c r="F428" s="27"/>
      <c r="G428" s="27"/>
      <c r="H428" s="27"/>
      <c r="I428" s="27"/>
      <c r="J428" s="27"/>
      <c r="K428" s="44" t="str">
        <f t="shared" si="121"/>
        <v/>
      </c>
      <c r="L428" s="44" t="str">
        <f t="shared" si="114"/>
        <v/>
      </c>
      <c r="M428" s="44" t="str">
        <f t="shared" si="108"/>
        <v/>
      </c>
      <c r="N428" s="44" t="str">
        <f t="shared" si="115"/>
        <v/>
      </c>
      <c r="O428" s="44" t="str">
        <f t="shared" si="109"/>
        <v/>
      </c>
      <c r="P428" s="44" t="str">
        <f t="shared" si="120"/>
        <v/>
      </c>
      <c r="Q428" s="44" t="str">
        <f t="shared" si="110"/>
        <v/>
      </c>
      <c r="R428" s="44" t="str">
        <f t="shared" si="116"/>
        <v/>
      </c>
      <c r="S428" s="242">
        <f t="shared" si="117"/>
        <v>0</v>
      </c>
      <c r="T428" s="42">
        <f t="shared" si="118"/>
        <v>0</v>
      </c>
      <c r="U428" s="42">
        <f t="shared" si="111"/>
        <v>0</v>
      </c>
      <c r="V428" s="36" t="e">
        <f t="shared" si="112"/>
        <v>#DIV/0!</v>
      </c>
      <c r="W428" s="36" t="e">
        <f t="shared" si="113"/>
        <v>#DIV/0!</v>
      </c>
      <c r="X428" s="62" t="e">
        <f t="shared" si="119"/>
        <v>#DIV/0!</v>
      </c>
    </row>
    <row r="429" spans="1:24">
      <c r="A429" s="26"/>
      <c r="B429" s="27"/>
      <c r="C429" s="27"/>
      <c r="D429" s="27"/>
      <c r="E429" s="27"/>
      <c r="F429" s="27"/>
      <c r="G429" s="27"/>
      <c r="H429" s="27"/>
      <c r="I429" s="27"/>
      <c r="J429" s="27"/>
      <c r="K429" s="44" t="str">
        <f t="shared" si="121"/>
        <v/>
      </c>
      <c r="L429" s="44" t="str">
        <f t="shared" si="114"/>
        <v/>
      </c>
      <c r="M429" s="44" t="str">
        <f t="shared" si="108"/>
        <v/>
      </c>
      <c r="N429" s="44" t="str">
        <f t="shared" si="115"/>
        <v/>
      </c>
      <c r="O429" s="44" t="str">
        <f t="shared" si="109"/>
        <v/>
      </c>
      <c r="P429" s="44" t="str">
        <f t="shared" si="120"/>
        <v/>
      </c>
      <c r="Q429" s="44" t="str">
        <f t="shared" si="110"/>
        <v/>
      </c>
      <c r="R429" s="44" t="str">
        <f t="shared" si="116"/>
        <v/>
      </c>
      <c r="S429" s="242">
        <f t="shared" si="117"/>
        <v>0</v>
      </c>
      <c r="T429" s="42">
        <f t="shared" si="118"/>
        <v>0</v>
      </c>
      <c r="U429" s="42">
        <f t="shared" si="111"/>
        <v>0</v>
      </c>
      <c r="V429" s="36" t="e">
        <f t="shared" si="112"/>
        <v>#DIV/0!</v>
      </c>
      <c r="W429" s="36" t="e">
        <f t="shared" si="113"/>
        <v>#DIV/0!</v>
      </c>
      <c r="X429" s="62" t="e">
        <f t="shared" si="119"/>
        <v>#DIV/0!</v>
      </c>
    </row>
    <row r="430" spans="1:24">
      <c r="A430" s="26"/>
      <c r="B430" s="27"/>
      <c r="C430" s="27"/>
      <c r="D430" s="27"/>
      <c r="E430" s="27"/>
      <c r="F430" s="27"/>
      <c r="G430" s="27"/>
      <c r="H430" s="27"/>
      <c r="I430" s="27"/>
      <c r="J430" s="27"/>
      <c r="K430" s="44" t="str">
        <f t="shared" si="121"/>
        <v/>
      </c>
      <c r="L430" s="44" t="str">
        <f t="shared" si="114"/>
        <v/>
      </c>
      <c r="M430" s="44" t="str">
        <f t="shared" si="108"/>
        <v/>
      </c>
      <c r="N430" s="44" t="str">
        <f t="shared" si="115"/>
        <v/>
      </c>
      <c r="O430" s="44" t="str">
        <f t="shared" si="109"/>
        <v/>
      </c>
      <c r="P430" s="44" t="str">
        <f t="shared" si="120"/>
        <v/>
      </c>
      <c r="Q430" s="44" t="str">
        <f t="shared" si="110"/>
        <v/>
      </c>
      <c r="R430" s="44" t="str">
        <f t="shared" si="116"/>
        <v/>
      </c>
      <c r="S430" s="242">
        <f t="shared" si="117"/>
        <v>0</v>
      </c>
      <c r="T430" s="42">
        <f t="shared" si="118"/>
        <v>0</v>
      </c>
      <c r="U430" s="42">
        <f t="shared" si="111"/>
        <v>0</v>
      </c>
      <c r="V430" s="36" t="e">
        <f t="shared" si="112"/>
        <v>#DIV/0!</v>
      </c>
      <c r="W430" s="36" t="e">
        <f t="shared" si="113"/>
        <v>#DIV/0!</v>
      </c>
      <c r="X430" s="62" t="e">
        <f t="shared" si="119"/>
        <v>#DIV/0!</v>
      </c>
    </row>
    <row r="431" spans="1:24">
      <c r="A431" s="26"/>
      <c r="B431" s="27"/>
      <c r="C431" s="27"/>
      <c r="D431" s="27"/>
      <c r="E431" s="27"/>
      <c r="F431" s="27"/>
      <c r="G431" s="27"/>
      <c r="H431" s="27"/>
      <c r="I431" s="27"/>
      <c r="J431" s="27"/>
      <c r="K431" s="44" t="str">
        <f t="shared" si="121"/>
        <v/>
      </c>
      <c r="L431" s="44" t="str">
        <f t="shared" si="114"/>
        <v/>
      </c>
      <c r="M431" s="44" t="str">
        <f t="shared" si="108"/>
        <v/>
      </c>
      <c r="N431" s="44" t="str">
        <f t="shared" si="115"/>
        <v/>
      </c>
      <c r="O431" s="44" t="str">
        <f t="shared" si="109"/>
        <v/>
      </c>
      <c r="P431" s="44" t="str">
        <f t="shared" si="120"/>
        <v/>
      </c>
      <c r="Q431" s="44" t="str">
        <f t="shared" si="110"/>
        <v/>
      </c>
      <c r="R431" s="44" t="str">
        <f t="shared" si="116"/>
        <v/>
      </c>
      <c r="S431" s="242">
        <f t="shared" si="117"/>
        <v>0</v>
      </c>
      <c r="T431" s="42">
        <f t="shared" si="118"/>
        <v>0</v>
      </c>
      <c r="U431" s="42">
        <f t="shared" si="111"/>
        <v>0</v>
      </c>
      <c r="V431" s="36" t="e">
        <f t="shared" si="112"/>
        <v>#DIV/0!</v>
      </c>
      <c r="W431" s="36" t="e">
        <f t="shared" si="113"/>
        <v>#DIV/0!</v>
      </c>
      <c r="X431" s="62" t="e">
        <f t="shared" si="119"/>
        <v>#DIV/0!</v>
      </c>
    </row>
    <row r="432" spans="1:24">
      <c r="A432" s="26"/>
      <c r="B432" s="27"/>
      <c r="C432" s="27"/>
      <c r="D432" s="27"/>
      <c r="E432" s="27"/>
      <c r="F432" s="27"/>
      <c r="G432" s="27"/>
      <c r="H432" s="27"/>
      <c r="I432" s="27"/>
      <c r="J432" s="27"/>
      <c r="K432" s="44" t="str">
        <f t="shared" si="121"/>
        <v/>
      </c>
      <c r="L432" s="44" t="str">
        <f t="shared" si="114"/>
        <v/>
      </c>
      <c r="M432" s="44" t="str">
        <f t="shared" si="108"/>
        <v/>
      </c>
      <c r="N432" s="44" t="str">
        <f t="shared" si="115"/>
        <v/>
      </c>
      <c r="O432" s="44" t="str">
        <f t="shared" si="109"/>
        <v/>
      </c>
      <c r="P432" s="44" t="str">
        <f t="shared" si="120"/>
        <v/>
      </c>
      <c r="Q432" s="44" t="str">
        <f t="shared" si="110"/>
        <v/>
      </c>
      <c r="R432" s="44" t="str">
        <f t="shared" si="116"/>
        <v/>
      </c>
      <c r="S432" s="242">
        <f t="shared" si="117"/>
        <v>0</v>
      </c>
      <c r="T432" s="42">
        <f t="shared" si="118"/>
        <v>0</v>
      </c>
      <c r="U432" s="42">
        <f t="shared" si="111"/>
        <v>0</v>
      </c>
      <c r="V432" s="36" t="e">
        <f t="shared" si="112"/>
        <v>#DIV/0!</v>
      </c>
      <c r="W432" s="36" t="e">
        <f t="shared" si="113"/>
        <v>#DIV/0!</v>
      </c>
      <c r="X432" s="62" t="e">
        <f t="shared" si="119"/>
        <v>#DIV/0!</v>
      </c>
    </row>
    <row r="433" spans="1:24">
      <c r="A433" s="26"/>
      <c r="B433" s="27"/>
      <c r="C433" s="27"/>
      <c r="D433" s="27"/>
      <c r="E433" s="27"/>
      <c r="F433" s="27"/>
      <c r="G433" s="27"/>
      <c r="H433" s="27"/>
      <c r="I433" s="27"/>
      <c r="J433" s="27"/>
      <c r="K433" s="44" t="str">
        <f t="shared" si="121"/>
        <v/>
      </c>
      <c r="L433" s="44" t="str">
        <f t="shared" si="114"/>
        <v/>
      </c>
      <c r="M433" s="44" t="str">
        <f t="shared" si="108"/>
        <v/>
      </c>
      <c r="N433" s="44" t="str">
        <f t="shared" si="115"/>
        <v/>
      </c>
      <c r="O433" s="44" t="str">
        <f t="shared" si="109"/>
        <v/>
      </c>
      <c r="P433" s="44" t="str">
        <f t="shared" si="120"/>
        <v/>
      </c>
      <c r="Q433" s="44" t="str">
        <f t="shared" si="110"/>
        <v/>
      </c>
      <c r="R433" s="44" t="str">
        <f t="shared" si="116"/>
        <v/>
      </c>
      <c r="S433" s="242">
        <f t="shared" si="117"/>
        <v>0</v>
      </c>
      <c r="T433" s="42">
        <f t="shared" si="118"/>
        <v>0</v>
      </c>
      <c r="U433" s="42">
        <f t="shared" si="111"/>
        <v>0</v>
      </c>
      <c r="V433" s="36" t="e">
        <f t="shared" si="112"/>
        <v>#DIV/0!</v>
      </c>
      <c r="W433" s="36" t="e">
        <f t="shared" si="113"/>
        <v>#DIV/0!</v>
      </c>
      <c r="X433" s="62" t="e">
        <f t="shared" si="119"/>
        <v>#DIV/0!</v>
      </c>
    </row>
    <row r="434" spans="1:24">
      <c r="A434" s="26"/>
      <c r="B434" s="27"/>
      <c r="C434" s="27"/>
      <c r="D434" s="27"/>
      <c r="E434" s="27"/>
      <c r="F434" s="27"/>
      <c r="G434" s="27"/>
      <c r="H434" s="27"/>
      <c r="I434" s="27"/>
      <c r="J434" s="27"/>
      <c r="K434" s="44" t="str">
        <f t="shared" si="121"/>
        <v/>
      </c>
      <c r="L434" s="44" t="str">
        <f t="shared" si="114"/>
        <v/>
      </c>
      <c r="M434" s="44" t="str">
        <f t="shared" si="108"/>
        <v/>
      </c>
      <c r="N434" s="44" t="str">
        <f t="shared" si="115"/>
        <v/>
      </c>
      <c r="O434" s="44" t="str">
        <f t="shared" si="109"/>
        <v/>
      </c>
      <c r="P434" s="44" t="str">
        <f t="shared" si="120"/>
        <v/>
      </c>
      <c r="Q434" s="44" t="str">
        <f t="shared" si="110"/>
        <v/>
      </c>
      <c r="R434" s="44" t="str">
        <f t="shared" si="116"/>
        <v/>
      </c>
      <c r="S434" s="242">
        <f t="shared" si="117"/>
        <v>0</v>
      </c>
      <c r="T434" s="42">
        <f t="shared" si="118"/>
        <v>0</v>
      </c>
      <c r="U434" s="42">
        <f t="shared" si="111"/>
        <v>0</v>
      </c>
      <c r="V434" s="36" t="e">
        <f t="shared" si="112"/>
        <v>#DIV/0!</v>
      </c>
      <c r="W434" s="36" t="e">
        <f t="shared" si="113"/>
        <v>#DIV/0!</v>
      </c>
      <c r="X434" s="62" t="e">
        <f t="shared" si="119"/>
        <v>#DIV/0!</v>
      </c>
    </row>
    <row r="435" spans="1:24">
      <c r="A435" s="26"/>
      <c r="B435" s="27"/>
      <c r="C435" s="27"/>
      <c r="D435" s="27"/>
      <c r="E435" s="27"/>
      <c r="F435" s="27"/>
      <c r="G435" s="27"/>
      <c r="H435" s="27"/>
      <c r="I435" s="27"/>
      <c r="J435" s="27"/>
      <c r="K435" s="44" t="str">
        <f t="shared" si="121"/>
        <v/>
      </c>
      <c r="L435" s="44" t="str">
        <f t="shared" si="114"/>
        <v/>
      </c>
      <c r="M435" s="44" t="str">
        <f t="shared" si="108"/>
        <v/>
      </c>
      <c r="N435" s="44" t="str">
        <f t="shared" si="115"/>
        <v/>
      </c>
      <c r="O435" s="44" t="str">
        <f t="shared" si="109"/>
        <v/>
      </c>
      <c r="P435" s="44" t="str">
        <f t="shared" si="120"/>
        <v/>
      </c>
      <c r="Q435" s="44" t="str">
        <f t="shared" si="110"/>
        <v/>
      </c>
      <c r="R435" s="44" t="str">
        <f t="shared" si="116"/>
        <v/>
      </c>
      <c r="S435" s="242">
        <f t="shared" si="117"/>
        <v>0</v>
      </c>
      <c r="T435" s="42">
        <f t="shared" si="118"/>
        <v>0</v>
      </c>
      <c r="U435" s="42">
        <f t="shared" si="111"/>
        <v>0</v>
      </c>
      <c r="V435" s="36" t="e">
        <f t="shared" si="112"/>
        <v>#DIV/0!</v>
      </c>
      <c r="W435" s="36" t="e">
        <f t="shared" si="113"/>
        <v>#DIV/0!</v>
      </c>
      <c r="X435" s="62" t="e">
        <f t="shared" si="119"/>
        <v>#DIV/0!</v>
      </c>
    </row>
    <row r="436" spans="1:24">
      <c r="A436" s="26"/>
      <c r="B436" s="27"/>
      <c r="C436" s="27"/>
      <c r="D436" s="27"/>
      <c r="E436" s="27"/>
      <c r="F436" s="27"/>
      <c r="G436" s="27"/>
      <c r="H436" s="27"/>
      <c r="I436" s="27"/>
      <c r="J436" s="27"/>
      <c r="K436" s="44" t="str">
        <f t="shared" si="121"/>
        <v/>
      </c>
      <c r="L436" s="44" t="str">
        <f t="shared" si="114"/>
        <v/>
      </c>
      <c r="M436" s="44" t="str">
        <f t="shared" si="108"/>
        <v/>
      </c>
      <c r="N436" s="44" t="str">
        <f t="shared" si="115"/>
        <v/>
      </c>
      <c r="O436" s="44" t="str">
        <f t="shared" si="109"/>
        <v/>
      </c>
      <c r="P436" s="44" t="str">
        <f t="shared" si="120"/>
        <v/>
      </c>
      <c r="Q436" s="44" t="str">
        <f t="shared" si="110"/>
        <v/>
      </c>
      <c r="R436" s="44" t="str">
        <f t="shared" si="116"/>
        <v/>
      </c>
      <c r="S436" s="242">
        <f t="shared" si="117"/>
        <v>0</v>
      </c>
      <c r="T436" s="42">
        <f t="shared" si="118"/>
        <v>0</v>
      </c>
      <c r="U436" s="42">
        <f t="shared" si="111"/>
        <v>0</v>
      </c>
      <c r="V436" s="36" t="e">
        <f t="shared" si="112"/>
        <v>#DIV/0!</v>
      </c>
      <c r="W436" s="36" t="e">
        <f t="shared" si="113"/>
        <v>#DIV/0!</v>
      </c>
      <c r="X436" s="62" t="e">
        <f t="shared" si="119"/>
        <v>#DIV/0!</v>
      </c>
    </row>
    <row r="437" spans="1:24">
      <c r="A437" s="26"/>
      <c r="B437" s="27"/>
      <c r="C437" s="27"/>
      <c r="D437" s="27"/>
      <c r="E437" s="27"/>
      <c r="F437" s="27"/>
      <c r="G437" s="27"/>
      <c r="H437" s="27"/>
      <c r="I437" s="27"/>
      <c r="J437" s="27"/>
      <c r="K437" s="44" t="str">
        <f t="shared" si="121"/>
        <v/>
      </c>
      <c r="L437" s="44" t="str">
        <f t="shared" si="114"/>
        <v/>
      </c>
      <c r="M437" s="44" t="str">
        <f t="shared" si="108"/>
        <v/>
      </c>
      <c r="N437" s="44" t="str">
        <f t="shared" si="115"/>
        <v/>
      </c>
      <c r="O437" s="44" t="str">
        <f t="shared" si="109"/>
        <v/>
      </c>
      <c r="P437" s="44" t="str">
        <f t="shared" si="120"/>
        <v/>
      </c>
      <c r="Q437" s="44" t="str">
        <f t="shared" si="110"/>
        <v/>
      </c>
      <c r="R437" s="44" t="str">
        <f t="shared" si="116"/>
        <v/>
      </c>
      <c r="S437" s="242">
        <f t="shared" si="117"/>
        <v>0</v>
      </c>
      <c r="T437" s="42">
        <f t="shared" si="118"/>
        <v>0</v>
      </c>
      <c r="U437" s="42">
        <f t="shared" si="111"/>
        <v>0</v>
      </c>
      <c r="V437" s="36" t="e">
        <f t="shared" si="112"/>
        <v>#DIV/0!</v>
      </c>
      <c r="W437" s="36" t="e">
        <f t="shared" si="113"/>
        <v>#DIV/0!</v>
      </c>
      <c r="X437" s="62" t="e">
        <f t="shared" si="119"/>
        <v>#DIV/0!</v>
      </c>
    </row>
    <row r="438" spans="1:24">
      <c r="A438" s="26"/>
      <c r="B438" s="27"/>
      <c r="C438" s="27"/>
      <c r="D438" s="27"/>
      <c r="E438" s="27"/>
      <c r="F438" s="27"/>
      <c r="G438" s="27"/>
      <c r="H438" s="27"/>
      <c r="I438" s="27"/>
      <c r="J438" s="27"/>
      <c r="K438" s="44" t="str">
        <f t="shared" si="121"/>
        <v/>
      </c>
      <c r="L438" s="44" t="str">
        <f t="shared" si="114"/>
        <v/>
      </c>
      <c r="M438" s="44" t="str">
        <f t="shared" si="108"/>
        <v/>
      </c>
      <c r="N438" s="44" t="str">
        <f t="shared" si="115"/>
        <v/>
      </c>
      <c r="O438" s="44" t="str">
        <f t="shared" si="109"/>
        <v/>
      </c>
      <c r="P438" s="44" t="str">
        <f t="shared" si="120"/>
        <v/>
      </c>
      <c r="Q438" s="44" t="str">
        <f t="shared" si="110"/>
        <v/>
      </c>
      <c r="R438" s="44" t="str">
        <f t="shared" si="116"/>
        <v/>
      </c>
      <c r="S438" s="242">
        <f t="shared" si="117"/>
        <v>0</v>
      </c>
      <c r="T438" s="42">
        <f t="shared" si="118"/>
        <v>0</v>
      </c>
      <c r="U438" s="42">
        <f t="shared" si="111"/>
        <v>0</v>
      </c>
      <c r="V438" s="36" t="e">
        <f t="shared" si="112"/>
        <v>#DIV/0!</v>
      </c>
      <c r="W438" s="36" t="e">
        <f t="shared" si="113"/>
        <v>#DIV/0!</v>
      </c>
      <c r="X438" s="62" t="e">
        <f t="shared" si="119"/>
        <v>#DIV/0!</v>
      </c>
    </row>
    <row r="439" spans="1:24">
      <c r="A439" s="26"/>
      <c r="B439" s="27"/>
      <c r="C439" s="27"/>
      <c r="D439" s="27"/>
      <c r="E439" s="27"/>
      <c r="F439" s="27"/>
      <c r="G439" s="27"/>
      <c r="H439" s="27"/>
      <c r="I439" s="27"/>
      <c r="J439" s="27"/>
      <c r="K439" s="44" t="str">
        <f t="shared" si="121"/>
        <v/>
      </c>
      <c r="L439" s="44" t="str">
        <f t="shared" si="114"/>
        <v/>
      </c>
      <c r="M439" s="44" t="str">
        <f t="shared" si="108"/>
        <v/>
      </c>
      <c r="N439" s="44" t="str">
        <f t="shared" si="115"/>
        <v/>
      </c>
      <c r="O439" s="44" t="str">
        <f t="shared" si="109"/>
        <v/>
      </c>
      <c r="P439" s="44" t="str">
        <f t="shared" si="120"/>
        <v/>
      </c>
      <c r="Q439" s="44" t="str">
        <f t="shared" si="110"/>
        <v/>
      </c>
      <c r="R439" s="44" t="str">
        <f t="shared" si="116"/>
        <v/>
      </c>
      <c r="S439" s="242">
        <f t="shared" si="117"/>
        <v>0</v>
      </c>
      <c r="T439" s="42">
        <f t="shared" si="118"/>
        <v>0</v>
      </c>
      <c r="U439" s="42">
        <f t="shared" si="111"/>
        <v>0</v>
      </c>
      <c r="V439" s="36" t="e">
        <f t="shared" si="112"/>
        <v>#DIV/0!</v>
      </c>
      <c r="W439" s="36" t="e">
        <f t="shared" si="113"/>
        <v>#DIV/0!</v>
      </c>
      <c r="X439" s="62" t="e">
        <f t="shared" si="119"/>
        <v>#DIV/0!</v>
      </c>
    </row>
    <row r="440" spans="1:24">
      <c r="A440" s="26"/>
      <c r="B440" s="27"/>
      <c r="C440" s="27"/>
      <c r="D440" s="27"/>
      <c r="E440" s="27"/>
      <c r="F440" s="27"/>
      <c r="G440" s="27"/>
      <c r="H440" s="27"/>
      <c r="I440" s="27"/>
      <c r="J440" s="27"/>
      <c r="K440" s="44" t="str">
        <f t="shared" si="121"/>
        <v/>
      </c>
      <c r="L440" s="44" t="str">
        <f t="shared" si="114"/>
        <v/>
      </c>
      <c r="M440" s="44" t="str">
        <f t="shared" si="108"/>
        <v/>
      </c>
      <c r="N440" s="44" t="str">
        <f t="shared" si="115"/>
        <v/>
      </c>
      <c r="O440" s="44" t="str">
        <f t="shared" si="109"/>
        <v/>
      </c>
      <c r="P440" s="44" t="str">
        <f t="shared" si="120"/>
        <v/>
      </c>
      <c r="Q440" s="44" t="str">
        <f t="shared" si="110"/>
        <v/>
      </c>
      <c r="R440" s="44" t="str">
        <f t="shared" si="116"/>
        <v/>
      </c>
      <c r="S440" s="242">
        <f t="shared" si="117"/>
        <v>0</v>
      </c>
      <c r="T440" s="42">
        <f t="shared" si="118"/>
        <v>0</v>
      </c>
      <c r="U440" s="42">
        <f t="shared" si="111"/>
        <v>0</v>
      </c>
      <c r="V440" s="36" t="e">
        <f t="shared" si="112"/>
        <v>#DIV/0!</v>
      </c>
      <c r="W440" s="36" t="e">
        <f t="shared" si="113"/>
        <v>#DIV/0!</v>
      </c>
      <c r="X440" s="62" t="e">
        <f t="shared" si="119"/>
        <v>#DIV/0!</v>
      </c>
    </row>
    <row r="441" spans="1:24">
      <c r="A441" s="26"/>
      <c r="B441" s="27"/>
      <c r="C441" s="27"/>
      <c r="D441" s="27"/>
      <c r="E441" s="27"/>
      <c r="F441" s="27"/>
      <c r="G441" s="27"/>
      <c r="H441" s="27"/>
      <c r="I441" s="27"/>
      <c r="J441" s="27"/>
      <c r="K441" s="44" t="str">
        <f t="shared" si="121"/>
        <v/>
      </c>
      <c r="L441" s="44" t="str">
        <f t="shared" si="114"/>
        <v/>
      </c>
      <c r="M441" s="44" t="str">
        <f t="shared" si="108"/>
        <v/>
      </c>
      <c r="N441" s="44" t="str">
        <f t="shared" si="115"/>
        <v/>
      </c>
      <c r="O441" s="44" t="str">
        <f t="shared" si="109"/>
        <v/>
      </c>
      <c r="P441" s="44" t="str">
        <f t="shared" si="120"/>
        <v/>
      </c>
      <c r="Q441" s="44" t="str">
        <f t="shared" si="110"/>
        <v/>
      </c>
      <c r="R441" s="44" t="str">
        <f t="shared" si="116"/>
        <v/>
      </c>
      <c r="S441" s="242">
        <f t="shared" si="117"/>
        <v>0</v>
      </c>
      <c r="T441" s="42">
        <f t="shared" si="118"/>
        <v>0</v>
      </c>
      <c r="U441" s="42">
        <f t="shared" si="111"/>
        <v>0</v>
      </c>
      <c r="V441" s="36" t="e">
        <f t="shared" si="112"/>
        <v>#DIV/0!</v>
      </c>
      <c r="W441" s="36" t="e">
        <f t="shared" si="113"/>
        <v>#DIV/0!</v>
      </c>
      <c r="X441" s="62" t="e">
        <f t="shared" si="119"/>
        <v>#DIV/0!</v>
      </c>
    </row>
    <row r="442" spans="1:24">
      <c r="A442" s="26"/>
      <c r="B442" s="27"/>
      <c r="C442" s="27"/>
      <c r="D442" s="27"/>
      <c r="E442" s="27"/>
      <c r="F442" s="27"/>
      <c r="G442" s="27"/>
      <c r="H442" s="27"/>
      <c r="I442" s="27"/>
      <c r="J442" s="27"/>
      <c r="K442" s="44" t="str">
        <f t="shared" si="121"/>
        <v/>
      </c>
      <c r="L442" s="44" t="str">
        <f t="shared" si="114"/>
        <v/>
      </c>
      <c r="M442" s="44" t="str">
        <f t="shared" si="108"/>
        <v/>
      </c>
      <c r="N442" s="44" t="str">
        <f t="shared" si="115"/>
        <v/>
      </c>
      <c r="O442" s="44" t="str">
        <f t="shared" si="109"/>
        <v/>
      </c>
      <c r="P442" s="44" t="str">
        <f t="shared" si="120"/>
        <v/>
      </c>
      <c r="Q442" s="44" t="str">
        <f t="shared" si="110"/>
        <v/>
      </c>
      <c r="R442" s="44" t="str">
        <f t="shared" si="116"/>
        <v/>
      </c>
      <c r="S442" s="242">
        <f t="shared" si="117"/>
        <v>0</v>
      </c>
      <c r="T442" s="42">
        <f t="shared" si="118"/>
        <v>0</v>
      </c>
      <c r="U442" s="42">
        <f t="shared" si="111"/>
        <v>0</v>
      </c>
      <c r="V442" s="36" t="e">
        <f t="shared" si="112"/>
        <v>#DIV/0!</v>
      </c>
      <c r="W442" s="36" t="e">
        <f t="shared" si="113"/>
        <v>#DIV/0!</v>
      </c>
      <c r="X442" s="62" t="e">
        <f t="shared" si="119"/>
        <v>#DIV/0!</v>
      </c>
    </row>
    <row r="443" spans="1:24">
      <c r="A443" s="26"/>
      <c r="B443" s="27"/>
      <c r="C443" s="27"/>
      <c r="D443" s="27"/>
      <c r="E443" s="27"/>
      <c r="F443" s="27"/>
      <c r="G443" s="27"/>
      <c r="H443" s="27"/>
      <c r="I443" s="27"/>
      <c r="J443" s="27"/>
      <c r="K443" s="44" t="str">
        <f t="shared" si="121"/>
        <v/>
      </c>
      <c r="L443" s="44" t="str">
        <f t="shared" si="114"/>
        <v/>
      </c>
      <c r="M443" s="44" t="str">
        <f t="shared" si="108"/>
        <v/>
      </c>
      <c r="N443" s="44" t="str">
        <f t="shared" si="115"/>
        <v/>
      </c>
      <c r="O443" s="44" t="str">
        <f t="shared" si="109"/>
        <v/>
      </c>
      <c r="P443" s="44" t="str">
        <f t="shared" si="120"/>
        <v/>
      </c>
      <c r="Q443" s="44" t="str">
        <f t="shared" si="110"/>
        <v/>
      </c>
      <c r="R443" s="44" t="str">
        <f t="shared" si="116"/>
        <v/>
      </c>
      <c r="S443" s="242">
        <f t="shared" si="117"/>
        <v>0</v>
      </c>
      <c r="T443" s="42">
        <f t="shared" si="118"/>
        <v>0</v>
      </c>
      <c r="U443" s="42">
        <f t="shared" si="111"/>
        <v>0</v>
      </c>
      <c r="V443" s="36" t="e">
        <f t="shared" si="112"/>
        <v>#DIV/0!</v>
      </c>
      <c r="W443" s="36" t="e">
        <f t="shared" si="113"/>
        <v>#DIV/0!</v>
      </c>
      <c r="X443" s="62" t="e">
        <f t="shared" si="119"/>
        <v>#DIV/0!</v>
      </c>
    </row>
    <row r="444" spans="1:24">
      <c r="A444" s="26"/>
      <c r="B444" s="27"/>
      <c r="C444" s="27"/>
      <c r="D444" s="27"/>
      <c r="E444" s="27"/>
      <c r="F444" s="27"/>
      <c r="G444" s="27"/>
      <c r="H444" s="27"/>
      <c r="I444" s="27"/>
      <c r="J444" s="27"/>
      <c r="K444" s="44" t="str">
        <f t="shared" si="121"/>
        <v/>
      </c>
      <c r="L444" s="44" t="str">
        <f t="shared" si="114"/>
        <v/>
      </c>
      <c r="M444" s="44" t="str">
        <f t="shared" si="108"/>
        <v/>
      </c>
      <c r="N444" s="44" t="str">
        <f t="shared" si="115"/>
        <v/>
      </c>
      <c r="O444" s="44" t="str">
        <f t="shared" si="109"/>
        <v/>
      </c>
      <c r="P444" s="44" t="str">
        <f t="shared" si="120"/>
        <v/>
      </c>
      <c r="Q444" s="44" t="str">
        <f t="shared" si="110"/>
        <v/>
      </c>
      <c r="R444" s="44" t="str">
        <f t="shared" si="116"/>
        <v/>
      </c>
      <c r="S444" s="242">
        <f t="shared" si="117"/>
        <v>0</v>
      </c>
      <c r="T444" s="42">
        <f t="shared" si="118"/>
        <v>0</v>
      </c>
      <c r="U444" s="42">
        <f t="shared" si="111"/>
        <v>0</v>
      </c>
      <c r="V444" s="36" t="e">
        <f t="shared" si="112"/>
        <v>#DIV/0!</v>
      </c>
      <c r="W444" s="36" t="e">
        <f t="shared" si="113"/>
        <v>#DIV/0!</v>
      </c>
      <c r="X444" s="62" t="e">
        <f t="shared" si="119"/>
        <v>#DIV/0!</v>
      </c>
    </row>
    <row r="445" spans="1:24">
      <c r="A445" s="26"/>
      <c r="B445" s="27"/>
      <c r="C445" s="27"/>
      <c r="D445" s="27"/>
      <c r="E445" s="27"/>
      <c r="F445" s="27"/>
      <c r="G445" s="27"/>
      <c r="H445" s="27"/>
      <c r="I445" s="27"/>
      <c r="J445" s="27"/>
      <c r="K445" s="44" t="str">
        <f t="shared" si="121"/>
        <v/>
      </c>
      <c r="L445" s="44" t="str">
        <f t="shared" si="114"/>
        <v/>
      </c>
      <c r="M445" s="44" t="str">
        <f t="shared" si="108"/>
        <v/>
      </c>
      <c r="N445" s="44" t="str">
        <f t="shared" si="115"/>
        <v/>
      </c>
      <c r="O445" s="44" t="str">
        <f t="shared" si="109"/>
        <v/>
      </c>
      <c r="P445" s="44" t="str">
        <f t="shared" si="120"/>
        <v/>
      </c>
      <c r="Q445" s="44" t="str">
        <f t="shared" si="110"/>
        <v/>
      </c>
      <c r="R445" s="44" t="str">
        <f t="shared" si="116"/>
        <v/>
      </c>
      <c r="S445" s="242">
        <f t="shared" si="117"/>
        <v>0</v>
      </c>
      <c r="T445" s="42">
        <f t="shared" si="118"/>
        <v>0</v>
      </c>
      <c r="U445" s="42">
        <f t="shared" si="111"/>
        <v>0</v>
      </c>
      <c r="V445" s="36" t="e">
        <f t="shared" si="112"/>
        <v>#DIV/0!</v>
      </c>
      <c r="W445" s="36" t="e">
        <f t="shared" si="113"/>
        <v>#DIV/0!</v>
      </c>
      <c r="X445" s="62" t="e">
        <f t="shared" si="119"/>
        <v>#DIV/0!</v>
      </c>
    </row>
    <row r="446" spans="1:24">
      <c r="A446" s="26"/>
      <c r="B446" s="27"/>
      <c r="C446" s="27"/>
      <c r="D446" s="27"/>
      <c r="E446" s="27"/>
      <c r="F446" s="27"/>
      <c r="G446" s="27"/>
      <c r="H446" s="27"/>
      <c r="I446" s="27"/>
      <c r="J446" s="27"/>
      <c r="K446" s="44" t="str">
        <f t="shared" si="121"/>
        <v/>
      </c>
      <c r="L446" s="44" t="str">
        <f t="shared" si="114"/>
        <v/>
      </c>
      <c r="M446" s="44" t="str">
        <f t="shared" si="108"/>
        <v/>
      </c>
      <c r="N446" s="44" t="str">
        <f t="shared" si="115"/>
        <v/>
      </c>
      <c r="O446" s="44" t="str">
        <f t="shared" si="109"/>
        <v/>
      </c>
      <c r="P446" s="44" t="str">
        <f t="shared" si="120"/>
        <v/>
      </c>
      <c r="Q446" s="44" t="str">
        <f t="shared" si="110"/>
        <v/>
      </c>
      <c r="R446" s="44" t="str">
        <f t="shared" si="116"/>
        <v/>
      </c>
      <c r="S446" s="242">
        <f t="shared" si="117"/>
        <v>0</v>
      </c>
      <c r="T446" s="42">
        <f t="shared" si="118"/>
        <v>0</v>
      </c>
      <c r="U446" s="42">
        <f t="shared" si="111"/>
        <v>0</v>
      </c>
      <c r="V446" s="36" t="e">
        <f t="shared" si="112"/>
        <v>#DIV/0!</v>
      </c>
      <c r="W446" s="36" t="e">
        <f t="shared" si="113"/>
        <v>#DIV/0!</v>
      </c>
      <c r="X446" s="62" t="e">
        <f t="shared" si="119"/>
        <v>#DIV/0!</v>
      </c>
    </row>
    <row r="447" spans="1:24">
      <c r="A447" s="26"/>
      <c r="B447" s="27"/>
      <c r="C447" s="27"/>
      <c r="D447" s="27"/>
      <c r="E447" s="27"/>
      <c r="F447" s="27"/>
      <c r="G447" s="27"/>
      <c r="H447" s="27"/>
      <c r="I447" s="27"/>
      <c r="J447" s="27"/>
      <c r="K447" s="44" t="str">
        <f t="shared" si="121"/>
        <v/>
      </c>
      <c r="L447" s="44" t="str">
        <f t="shared" si="114"/>
        <v/>
      </c>
      <c r="M447" s="44" t="str">
        <f t="shared" si="108"/>
        <v/>
      </c>
      <c r="N447" s="44" t="str">
        <f t="shared" si="115"/>
        <v/>
      </c>
      <c r="O447" s="44" t="str">
        <f t="shared" si="109"/>
        <v/>
      </c>
      <c r="P447" s="44" t="str">
        <f t="shared" si="120"/>
        <v/>
      </c>
      <c r="Q447" s="44" t="str">
        <f t="shared" si="110"/>
        <v/>
      </c>
      <c r="R447" s="44" t="str">
        <f t="shared" si="116"/>
        <v/>
      </c>
      <c r="S447" s="242">
        <f t="shared" si="117"/>
        <v>0</v>
      </c>
      <c r="T447" s="42">
        <f t="shared" si="118"/>
        <v>0</v>
      </c>
      <c r="U447" s="42">
        <f t="shared" si="111"/>
        <v>0</v>
      </c>
      <c r="V447" s="36" t="e">
        <f t="shared" si="112"/>
        <v>#DIV/0!</v>
      </c>
      <c r="W447" s="36" t="e">
        <f t="shared" si="113"/>
        <v>#DIV/0!</v>
      </c>
      <c r="X447" s="62" t="e">
        <f t="shared" si="119"/>
        <v>#DIV/0!</v>
      </c>
    </row>
    <row r="448" spans="1:24">
      <c r="A448" s="26"/>
      <c r="B448" s="27"/>
      <c r="C448" s="27"/>
      <c r="D448" s="27"/>
      <c r="E448" s="27"/>
      <c r="F448" s="27"/>
      <c r="G448" s="27"/>
      <c r="H448" s="27"/>
      <c r="I448" s="27"/>
      <c r="J448" s="27"/>
      <c r="K448" s="44" t="str">
        <f t="shared" si="121"/>
        <v/>
      </c>
      <c r="L448" s="44" t="str">
        <f t="shared" si="114"/>
        <v/>
      </c>
      <c r="M448" s="44" t="str">
        <f t="shared" si="108"/>
        <v/>
      </c>
      <c r="N448" s="44" t="str">
        <f t="shared" si="115"/>
        <v/>
      </c>
      <c r="O448" s="44" t="str">
        <f t="shared" si="109"/>
        <v/>
      </c>
      <c r="P448" s="44" t="str">
        <f t="shared" si="120"/>
        <v/>
      </c>
      <c r="Q448" s="44" t="str">
        <f t="shared" si="110"/>
        <v/>
      </c>
      <c r="R448" s="44" t="str">
        <f t="shared" si="116"/>
        <v/>
      </c>
      <c r="S448" s="242">
        <f t="shared" si="117"/>
        <v>0</v>
      </c>
      <c r="T448" s="42">
        <f t="shared" si="118"/>
        <v>0</v>
      </c>
      <c r="U448" s="42">
        <f t="shared" si="111"/>
        <v>0</v>
      </c>
      <c r="V448" s="36" t="e">
        <f t="shared" si="112"/>
        <v>#DIV/0!</v>
      </c>
      <c r="W448" s="36" t="e">
        <f t="shared" si="113"/>
        <v>#DIV/0!</v>
      </c>
      <c r="X448" s="62" t="e">
        <f t="shared" si="119"/>
        <v>#DIV/0!</v>
      </c>
    </row>
    <row r="449" spans="1:24">
      <c r="A449" s="26"/>
      <c r="B449" s="27"/>
      <c r="C449" s="27"/>
      <c r="D449" s="27"/>
      <c r="E449" s="27"/>
      <c r="F449" s="27"/>
      <c r="G449" s="27"/>
      <c r="H449" s="27"/>
      <c r="I449" s="27"/>
      <c r="J449" s="27"/>
      <c r="K449" s="44" t="str">
        <f t="shared" si="121"/>
        <v/>
      </c>
      <c r="L449" s="44" t="str">
        <f t="shared" si="114"/>
        <v/>
      </c>
      <c r="M449" s="44" t="str">
        <f t="shared" si="108"/>
        <v/>
      </c>
      <c r="N449" s="44" t="str">
        <f t="shared" si="115"/>
        <v/>
      </c>
      <c r="O449" s="44" t="str">
        <f t="shared" si="109"/>
        <v/>
      </c>
      <c r="P449" s="44" t="str">
        <f t="shared" si="120"/>
        <v/>
      </c>
      <c r="Q449" s="44" t="str">
        <f t="shared" si="110"/>
        <v/>
      </c>
      <c r="R449" s="44" t="str">
        <f t="shared" si="116"/>
        <v/>
      </c>
      <c r="S449" s="242">
        <f t="shared" si="117"/>
        <v>0</v>
      </c>
      <c r="T449" s="42">
        <f t="shared" si="118"/>
        <v>0</v>
      </c>
      <c r="U449" s="42">
        <f t="shared" si="111"/>
        <v>0</v>
      </c>
      <c r="V449" s="36" t="e">
        <f t="shared" si="112"/>
        <v>#DIV/0!</v>
      </c>
      <c r="W449" s="36" t="e">
        <f t="shared" si="113"/>
        <v>#DIV/0!</v>
      </c>
      <c r="X449" s="62" t="e">
        <f t="shared" si="119"/>
        <v>#DIV/0!</v>
      </c>
    </row>
    <row r="450" spans="1:24">
      <c r="A450" s="26"/>
      <c r="B450" s="27"/>
      <c r="C450" s="27"/>
      <c r="D450" s="27"/>
      <c r="E450" s="27"/>
      <c r="F450" s="27"/>
      <c r="G450" s="27"/>
      <c r="H450" s="27"/>
      <c r="I450" s="27"/>
      <c r="J450" s="27"/>
      <c r="K450" s="44" t="str">
        <f t="shared" si="121"/>
        <v/>
      </c>
      <c r="L450" s="44" t="str">
        <f t="shared" si="114"/>
        <v/>
      </c>
      <c r="M450" s="44" t="str">
        <f t="shared" si="108"/>
        <v/>
      </c>
      <c r="N450" s="44" t="str">
        <f t="shared" si="115"/>
        <v/>
      </c>
      <c r="O450" s="44" t="str">
        <f t="shared" si="109"/>
        <v/>
      </c>
      <c r="P450" s="44" t="str">
        <f t="shared" si="120"/>
        <v/>
      </c>
      <c r="Q450" s="44" t="str">
        <f t="shared" si="110"/>
        <v/>
      </c>
      <c r="R450" s="44" t="str">
        <f t="shared" si="116"/>
        <v/>
      </c>
      <c r="S450" s="242">
        <f t="shared" si="117"/>
        <v>0</v>
      </c>
      <c r="T450" s="42">
        <f t="shared" si="118"/>
        <v>0</v>
      </c>
      <c r="U450" s="42">
        <f t="shared" si="111"/>
        <v>0</v>
      </c>
      <c r="V450" s="36" t="e">
        <f t="shared" si="112"/>
        <v>#DIV/0!</v>
      </c>
      <c r="W450" s="36" t="e">
        <f t="shared" si="113"/>
        <v>#DIV/0!</v>
      </c>
      <c r="X450" s="62" t="e">
        <f t="shared" si="119"/>
        <v>#DIV/0!</v>
      </c>
    </row>
    <row r="451" spans="1:24">
      <c r="A451" s="26"/>
      <c r="B451" s="27"/>
      <c r="C451" s="27"/>
      <c r="D451" s="27"/>
      <c r="E451" s="27"/>
      <c r="F451" s="27"/>
      <c r="G451" s="27"/>
      <c r="H451" s="27"/>
      <c r="I451" s="27"/>
      <c r="J451" s="27"/>
      <c r="K451" s="44" t="str">
        <f t="shared" si="121"/>
        <v/>
      </c>
      <c r="L451" s="44" t="str">
        <f t="shared" si="114"/>
        <v/>
      </c>
      <c r="M451" s="44" t="str">
        <f t="shared" si="108"/>
        <v/>
      </c>
      <c r="N451" s="44" t="str">
        <f t="shared" si="115"/>
        <v/>
      </c>
      <c r="O451" s="44" t="str">
        <f t="shared" si="109"/>
        <v/>
      </c>
      <c r="P451" s="44" t="str">
        <f t="shared" si="120"/>
        <v/>
      </c>
      <c r="Q451" s="44" t="str">
        <f t="shared" si="110"/>
        <v/>
      </c>
      <c r="R451" s="44" t="str">
        <f t="shared" si="116"/>
        <v/>
      </c>
      <c r="S451" s="242">
        <f t="shared" si="117"/>
        <v>0</v>
      </c>
      <c r="T451" s="42">
        <f t="shared" si="118"/>
        <v>0</v>
      </c>
      <c r="U451" s="42">
        <f t="shared" si="111"/>
        <v>0</v>
      </c>
      <c r="V451" s="36" t="e">
        <f t="shared" si="112"/>
        <v>#DIV/0!</v>
      </c>
      <c r="W451" s="36" t="e">
        <f t="shared" si="113"/>
        <v>#DIV/0!</v>
      </c>
      <c r="X451" s="62" t="e">
        <f t="shared" si="119"/>
        <v>#DIV/0!</v>
      </c>
    </row>
    <row r="452" spans="1:24">
      <c r="A452" s="26"/>
      <c r="B452" s="27"/>
      <c r="C452" s="27"/>
      <c r="D452" s="27"/>
      <c r="E452" s="27"/>
      <c r="F452" s="27"/>
      <c r="G452" s="27"/>
      <c r="H452" s="27"/>
      <c r="I452" s="27"/>
      <c r="J452" s="27"/>
      <c r="K452" s="44" t="str">
        <f t="shared" ref="K452:K478" si="122">IF(C452="","",VLOOKUP(C452,成本单价,8,0))</f>
        <v/>
      </c>
      <c r="L452" s="44" t="str">
        <f t="shared" si="114"/>
        <v/>
      </c>
      <c r="M452" s="44" t="str">
        <f t="shared" ref="M452:M478" si="123">IF(E452="","",VLOOKUP(E452,成本单价,8,0))</f>
        <v/>
      </c>
      <c r="N452" s="44" t="str">
        <f t="shared" si="115"/>
        <v/>
      </c>
      <c r="O452" s="44" t="str">
        <f t="shared" ref="O452:O478" si="124">IF(G452="","",VLOOKUP(G452,成本单价,8,0))</f>
        <v/>
      </c>
      <c r="P452" s="44" t="str">
        <f t="shared" si="120"/>
        <v/>
      </c>
      <c r="Q452" s="44" t="str">
        <f t="shared" ref="Q452:Q478" si="125">IF(I452="","",VLOOKUP(I452,成本单价,8,0))</f>
        <v/>
      </c>
      <c r="R452" s="44" t="str">
        <f t="shared" si="116"/>
        <v/>
      </c>
      <c r="S452" s="242">
        <f t="shared" si="117"/>
        <v>0</v>
      </c>
      <c r="T452" s="42">
        <f t="shared" si="118"/>
        <v>0</v>
      </c>
      <c r="U452" s="42">
        <f t="shared" ref="U452:U478" si="126">T452*(1+物料比)</f>
        <v>0</v>
      </c>
      <c r="V452" s="36" t="e">
        <f t="shared" ref="V452:V478" si="127">U452/B452</f>
        <v>#DIV/0!</v>
      </c>
      <c r="W452" s="36" t="e">
        <f t="shared" ref="W452:W478" si="128">D452/B452+F452/B452+H452/B452+J452/B452</f>
        <v>#DIV/0!</v>
      </c>
      <c r="X452" s="62" t="e">
        <f t="shared" si="119"/>
        <v>#DIV/0!</v>
      </c>
    </row>
    <row r="453" spans="1:24">
      <c r="A453" s="26"/>
      <c r="B453" s="27"/>
      <c r="C453" s="27"/>
      <c r="D453" s="27"/>
      <c r="E453" s="27"/>
      <c r="F453" s="27"/>
      <c r="G453" s="27"/>
      <c r="H453" s="27"/>
      <c r="I453" s="27"/>
      <c r="J453" s="27"/>
      <c r="K453" s="44" t="str">
        <f t="shared" si="122"/>
        <v/>
      </c>
      <c r="L453" s="44" t="str">
        <f t="shared" ref="L453:L478" si="129">IFERROR(D453*K453,"")</f>
        <v/>
      </c>
      <c r="M453" s="44" t="str">
        <f t="shared" si="123"/>
        <v/>
      </c>
      <c r="N453" s="44" t="str">
        <f t="shared" ref="N453:N478" si="130">IFERROR(F453*M453,"")</f>
        <v/>
      </c>
      <c r="O453" s="44" t="str">
        <f t="shared" si="124"/>
        <v/>
      </c>
      <c r="P453" s="44" t="str">
        <f t="shared" si="120"/>
        <v/>
      </c>
      <c r="Q453" s="44" t="str">
        <f t="shared" si="125"/>
        <v/>
      </c>
      <c r="R453" s="44" t="str">
        <f t="shared" ref="R453:R478" si="131">IFERROR(J453*Q453,"")</f>
        <v/>
      </c>
      <c r="S453" s="242">
        <f t="shared" ref="S453:S478" si="132">B453*0.2</f>
        <v>0</v>
      </c>
      <c r="T453" s="42">
        <f t="shared" ref="T453:T478" si="133">IFERROR(SUM(L453,N453,P453,R453,S453),"")</f>
        <v>0</v>
      </c>
      <c r="U453" s="42">
        <f t="shared" si="126"/>
        <v>0</v>
      </c>
      <c r="V453" s="36" t="e">
        <f t="shared" si="127"/>
        <v>#DIV/0!</v>
      </c>
      <c r="W453" s="36" t="e">
        <f t="shared" si="128"/>
        <v>#DIV/0!</v>
      </c>
      <c r="X453" s="62" t="e">
        <f t="shared" ref="X453:X478" si="134">ROUNDUP(V453*(1+小吃毛利),1)</f>
        <v>#DIV/0!</v>
      </c>
    </row>
    <row r="454" spans="1:24">
      <c r="A454" s="26"/>
      <c r="B454" s="27"/>
      <c r="C454" s="27"/>
      <c r="D454" s="27"/>
      <c r="E454" s="27"/>
      <c r="F454" s="27"/>
      <c r="G454" s="27"/>
      <c r="H454" s="27"/>
      <c r="I454" s="27"/>
      <c r="J454" s="27"/>
      <c r="K454" s="44" t="str">
        <f t="shared" si="122"/>
        <v/>
      </c>
      <c r="L454" s="44" t="str">
        <f t="shared" si="129"/>
        <v/>
      </c>
      <c r="M454" s="44" t="str">
        <f t="shared" si="123"/>
        <v/>
      </c>
      <c r="N454" s="44" t="str">
        <f t="shared" si="130"/>
        <v/>
      </c>
      <c r="O454" s="44" t="str">
        <f t="shared" si="124"/>
        <v/>
      </c>
      <c r="P454" s="44" t="str">
        <f t="shared" ref="P454:P478" si="135">IFERROR(H454*O454,"")</f>
        <v/>
      </c>
      <c r="Q454" s="44" t="str">
        <f t="shared" si="125"/>
        <v/>
      </c>
      <c r="R454" s="44" t="str">
        <f t="shared" si="131"/>
        <v/>
      </c>
      <c r="S454" s="242">
        <f t="shared" si="132"/>
        <v>0</v>
      </c>
      <c r="T454" s="42">
        <f t="shared" si="133"/>
        <v>0</v>
      </c>
      <c r="U454" s="42">
        <f t="shared" si="126"/>
        <v>0</v>
      </c>
      <c r="V454" s="36" t="e">
        <f t="shared" si="127"/>
        <v>#DIV/0!</v>
      </c>
      <c r="W454" s="36" t="e">
        <f t="shared" si="128"/>
        <v>#DIV/0!</v>
      </c>
      <c r="X454" s="62" t="e">
        <f t="shared" si="134"/>
        <v>#DIV/0!</v>
      </c>
    </row>
    <row r="455" spans="1:24">
      <c r="A455" s="26"/>
      <c r="B455" s="27"/>
      <c r="C455" s="27"/>
      <c r="D455" s="27"/>
      <c r="E455" s="27"/>
      <c r="F455" s="27"/>
      <c r="G455" s="27"/>
      <c r="H455" s="27"/>
      <c r="I455" s="27"/>
      <c r="J455" s="27"/>
      <c r="K455" s="44" t="str">
        <f t="shared" si="122"/>
        <v/>
      </c>
      <c r="L455" s="44" t="str">
        <f t="shared" si="129"/>
        <v/>
      </c>
      <c r="M455" s="44" t="str">
        <f t="shared" si="123"/>
        <v/>
      </c>
      <c r="N455" s="44" t="str">
        <f t="shared" si="130"/>
        <v/>
      </c>
      <c r="O455" s="44" t="str">
        <f t="shared" si="124"/>
        <v/>
      </c>
      <c r="P455" s="44" t="str">
        <f t="shared" si="135"/>
        <v/>
      </c>
      <c r="Q455" s="44" t="str">
        <f t="shared" si="125"/>
        <v/>
      </c>
      <c r="R455" s="44" t="str">
        <f t="shared" si="131"/>
        <v/>
      </c>
      <c r="S455" s="242">
        <f t="shared" si="132"/>
        <v>0</v>
      </c>
      <c r="T455" s="42">
        <f t="shared" si="133"/>
        <v>0</v>
      </c>
      <c r="U455" s="42">
        <f t="shared" si="126"/>
        <v>0</v>
      </c>
      <c r="V455" s="36" t="e">
        <f t="shared" si="127"/>
        <v>#DIV/0!</v>
      </c>
      <c r="W455" s="36" t="e">
        <f t="shared" si="128"/>
        <v>#DIV/0!</v>
      </c>
      <c r="X455" s="62" t="e">
        <f t="shared" si="134"/>
        <v>#DIV/0!</v>
      </c>
    </row>
    <row r="456" spans="1:24">
      <c r="A456" s="26"/>
      <c r="B456" s="27"/>
      <c r="C456" s="27"/>
      <c r="D456" s="27"/>
      <c r="E456" s="27"/>
      <c r="F456" s="27"/>
      <c r="G456" s="27"/>
      <c r="H456" s="27"/>
      <c r="I456" s="27"/>
      <c r="J456" s="27"/>
      <c r="K456" s="44" t="str">
        <f t="shared" si="122"/>
        <v/>
      </c>
      <c r="L456" s="44" t="str">
        <f t="shared" si="129"/>
        <v/>
      </c>
      <c r="M456" s="44" t="str">
        <f t="shared" si="123"/>
        <v/>
      </c>
      <c r="N456" s="44" t="str">
        <f t="shared" si="130"/>
        <v/>
      </c>
      <c r="O456" s="44" t="str">
        <f t="shared" si="124"/>
        <v/>
      </c>
      <c r="P456" s="44" t="str">
        <f t="shared" si="135"/>
        <v/>
      </c>
      <c r="Q456" s="44" t="str">
        <f t="shared" si="125"/>
        <v/>
      </c>
      <c r="R456" s="44" t="str">
        <f t="shared" si="131"/>
        <v/>
      </c>
      <c r="S456" s="242">
        <f t="shared" si="132"/>
        <v>0</v>
      </c>
      <c r="T456" s="42">
        <f t="shared" si="133"/>
        <v>0</v>
      </c>
      <c r="U456" s="42">
        <f t="shared" si="126"/>
        <v>0</v>
      </c>
      <c r="V456" s="36" t="e">
        <f t="shared" si="127"/>
        <v>#DIV/0!</v>
      </c>
      <c r="W456" s="36" t="e">
        <f t="shared" si="128"/>
        <v>#DIV/0!</v>
      </c>
      <c r="X456" s="62" t="e">
        <f t="shared" si="134"/>
        <v>#DIV/0!</v>
      </c>
    </row>
    <row r="457" spans="1:24">
      <c r="A457" s="26"/>
      <c r="B457" s="27"/>
      <c r="C457" s="27"/>
      <c r="D457" s="27"/>
      <c r="E457" s="27"/>
      <c r="F457" s="27"/>
      <c r="G457" s="27"/>
      <c r="H457" s="27"/>
      <c r="I457" s="27"/>
      <c r="J457" s="27"/>
      <c r="K457" s="44" t="str">
        <f t="shared" si="122"/>
        <v/>
      </c>
      <c r="L457" s="44" t="str">
        <f t="shared" si="129"/>
        <v/>
      </c>
      <c r="M457" s="44" t="str">
        <f t="shared" si="123"/>
        <v/>
      </c>
      <c r="N457" s="44" t="str">
        <f t="shared" si="130"/>
        <v/>
      </c>
      <c r="O457" s="44" t="str">
        <f t="shared" si="124"/>
        <v/>
      </c>
      <c r="P457" s="44" t="str">
        <f t="shared" si="135"/>
        <v/>
      </c>
      <c r="Q457" s="44" t="str">
        <f t="shared" si="125"/>
        <v/>
      </c>
      <c r="R457" s="44" t="str">
        <f t="shared" si="131"/>
        <v/>
      </c>
      <c r="S457" s="242">
        <f t="shared" si="132"/>
        <v>0</v>
      </c>
      <c r="T457" s="42">
        <f t="shared" si="133"/>
        <v>0</v>
      </c>
      <c r="U457" s="42">
        <f t="shared" si="126"/>
        <v>0</v>
      </c>
      <c r="V457" s="36" t="e">
        <f t="shared" si="127"/>
        <v>#DIV/0!</v>
      </c>
      <c r="W457" s="36" t="e">
        <f t="shared" si="128"/>
        <v>#DIV/0!</v>
      </c>
      <c r="X457" s="62" t="e">
        <f t="shared" si="134"/>
        <v>#DIV/0!</v>
      </c>
    </row>
    <row r="458" spans="1:24">
      <c r="A458" s="26"/>
      <c r="B458" s="27"/>
      <c r="C458" s="27"/>
      <c r="D458" s="27"/>
      <c r="E458" s="27"/>
      <c r="F458" s="27"/>
      <c r="G458" s="27"/>
      <c r="H458" s="27"/>
      <c r="I458" s="27"/>
      <c r="J458" s="27"/>
      <c r="K458" s="44" t="str">
        <f t="shared" si="122"/>
        <v/>
      </c>
      <c r="L458" s="44" t="str">
        <f t="shared" si="129"/>
        <v/>
      </c>
      <c r="M458" s="44" t="str">
        <f t="shared" si="123"/>
        <v/>
      </c>
      <c r="N458" s="44" t="str">
        <f t="shared" si="130"/>
        <v/>
      </c>
      <c r="O458" s="44" t="str">
        <f t="shared" si="124"/>
        <v/>
      </c>
      <c r="P458" s="44" t="str">
        <f t="shared" si="135"/>
        <v/>
      </c>
      <c r="Q458" s="44" t="str">
        <f t="shared" si="125"/>
        <v/>
      </c>
      <c r="R458" s="44" t="str">
        <f t="shared" si="131"/>
        <v/>
      </c>
      <c r="S458" s="242">
        <f t="shared" si="132"/>
        <v>0</v>
      </c>
      <c r="T458" s="42">
        <f t="shared" si="133"/>
        <v>0</v>
      </c>
      <c r="U458" s="42">
        <f t="shared" si="126"/>
        <v>0</v>
      </c>
      <c r="V458" s="36" t="e">
        <f t="shared" si="127"/>
        <v>#DIV/0!</v>
      </c>
      <c r="W458" s="36" t="e">
        <f t="shared" si="128"/>
        <v>#DIV/0!</v>
      </c>
      <c r="X458" s="62" t="e">
        <f t="shared" si="134"/>
        <v>#DIV/0!</v>
      </c>
    </row>
    <row r="459" spans="1:24">
      <c r="A459" s="26"/>
      <c r="B459" s="27"/>
      <c r="C459" s="27"/>
      <c r="D459" s="27"/>
      <c r="E459" s="27"/>
      <c r="F459" s="27"/>
      <c r="G459" s="27"/>
      <c r="H459" s="27"/>
      <c r="I459" s="27"/>
      <c r="J459" s="27"/>
      <c r="K459" s="44" t="str">
        <f t="shared" si="122"/>
        <v/>
      </c>
      <c r="L459" s="44" t="str">
        <f t="shared" si="129"/>
        <v/>
      </c>
      <c r="M459" s="44" t="str">
        <f t="shared" si="123"/>
        <v/>
      </c>
      <c r="N459" s="44" t="str">
        <f t="shared" si="130"/>
        <v/>
      </c>
      <c r="O459" s="44" t="str">
        <f t="shared" si="124"/>
        <v/>
      </c>
      <c r="P459" s="44" t="str">
        <f t="shared" si="135"/>
        <v/>
      </c>
      <c r="Q459" s="44" t="str">
        <f t="shared" si="125"/>
        <v/>
      </c>
      <c r="R459" s="44" t="str">
        <f t="shared" si="131"/>
        <v/>
      </c>
      <c r="S459" s="242">
        <f t="shared" si="132"/>
        <v>0</v>
      </c>
      <c r="T459" s="42">
        <f t="shared" si="133"/>
        <v>0</v>
      </c>
      <c r="U459" s="42">
        <f t="shared" si="126"/>
        <v>0</v>
      </c>
      <c r="V459" s="36" t="e">
        <f t="shared" si="127"/>
        <v>#DIV/0!</v>
      </c>
      <c r="W459" s="36" t="e">
        <f t="shared" si="128"/>
        <v>#DIV/0!</v>
      </c>
      <c r="X459" s="62" t="e">
        <f t="shared" si="134"/>
        <v>#DIV/0!</v>
      </c>
    </row>
    <row r="460" spans="1:24">
      <c r="A460" s="26"/>
      <c r="B460" s="27"/>
      <c r="C460" s="27"/>
      <c r="D460" s="27"/>
      <c r="E460" s="27"/>
      <c r="F460" s="27"/>
      <c r="G460" s="27"/>
      <c r="H460" s="27"/>
      <c r="I460" s="27"/>
      <c r="J460" s="27"/>
      <c r="K460" s="44" t="str">
        <f t="shared" si="122"/>
        <v/>
      </c>
      <c r="L460" s="44" t="str">
        <f t="shared" si="129"/>
        <v/>
      </c>
      <c r="M460" s="44" t="str">
        <f t="shared" si="123"/>
        <v/>
      </c>
      <c r="N460" s="44" t="str">
        <f t="shared" si="130"/>
        <v/>
      </c>
      <c r="O460" s="44" t="str">
        <f t="shared" si="124"/>
        <v/>
      </c>
      <c r="P460" s="44" t="str">
        <f t="shared" si="135"/>
        <v/>
      </c>
      <c r="Q460" s="44" t="str">
        <f t="shared" si="125"/>
        <v/>
      </c>
      <c r="R460" s="44" t="str">
        <f t="shared" si="131"/>
        <v/>
      </c>
      <c r="S460" s="242">
        <f t="shared" si="132"/>
        <v>0</v>
      </c>
      <c r="T460" s="42">
        <f t="shared" si="133"/>
        <v>0</v>
      </c>
      <c r="U460" s="42">
        <f t="shared" si="126"/>
        <v>0</v>
      </c>
      <c r="V460" s="36" t="e">
        <f t="shared" si="127"/>
        <v>#DIV/0!</v>
      </c>
      <c r="W460" s="36" t="e">
        <f t="shared" si="128"/>
        <v>#DIV/0!</v>
      </c>
      <c r="X460" s="62" t="e">
        <f t="shared" si="134"/>
        <v>#DIV/0!</v>
      </c>
    </row>
    <row r="461" spans="1:24">
      <c r="A461" s="26"/>
      <c r="B461" s="27"/>
      <c r="C461" s="27"/>
      <c r="D461" s="27"/>
      <c r="E461" s="27"/>
      <c r="F461" s="27"/>
      <c r="G461" s="27"/>
      <c r="H461" s="27"/>
      <c r="I461" s="27"/>
      <c r="J461" s="27"/>
      <c r="K461" s="44" t="str">
        <f t="shared" si="122"/>
        <v/>
      </c>
      <c r="L461" s="44" t="str">
        <f t="shared" si="129"/>
        <v/>
      </c>
      <c r="M461" s="44" t="str">
        <f t="shared" si="123"/>
        <v/>
      </c>
      <c r="N461" s="44" t="str">
        <f t="shared" si="130"/>
        <v/>
      </c>
      <c r="O461" s="44" t="str">
        <f t="shared" si="124"/>
        <v/>
      </c>
      <c r="P461" s="44" t="str">
        <f t="shared" si="135"/>
        <v/>
      </c>
      <c r="Q461" s="44" t="str">
        <f t="shared" si="125"/>
        <v/>
      </c>
      <c r="R461" s="44" t="str">
        <f t="shared" si="131"/>
        <v/>
      </c>
      <c r="S461" s="242">
        <f t="shared" si="132"/>
        <v>0</v>
      </c>
      <c r="T461" s="42">
        <f t="shared" si="133"/>
        <v>0</v>
      </c>
      <c r="U461" s="42">
        <f t="shared" si="126"/>
        <v>0</v>
      </c>
      <c r="V461" s="36" t="e">
        <f t="shared" si="127"/>
        <v>#DIV/0!</v>
      </c>
      <c r="W461" s="36" t="e">
        <f t="shared" si="128"/>
        <v>#DIV/0!</v>
      </c>
      <c r="X461" s="62" t="e">
        <f t="shared" si="134"/>
        <v>#DIV/0!</v>
      </c>
    </row>
    <row r="462" spans="1:24">
      <c r="A462" s="26"/>
      <c r="B462" s="27"/>
      <c r="C462" s="27"/>
      <c r="D462" s="27"/>
      <c r="E462" s="27"/>
      <c r="F462" s="27"/>
      <c r="G462" s="27"/>
      <c r="H462" s="27"/>
      <c r="I462" s="27"/>
      <c r="J462" s="27"/>
      <c r="K462" s="44" t="str">
        <f t="shared" si="122"/>
        <v/>
      </c>
      <c r="L462" s="44" t="str">
        <f t="shared" si="129"/>
        <v/>
      </c>
      <c r="M462" s="44" t="str">
        <f t="shared" si="123"/>
        <v/>
      </c>
      <c r="N462" s="44" t="str">
        <f t="shared" si="130"/>
        <v/>
      </c>
      <c r="O462" s="44" t="str">
        <f t="shared" si="124"/>
        <v/>
      </c>
      <c r="P462" s="44" t="str">
        <f t="shared" si="135"/>
        <v/>
      </c>
      <c r="Q462" s="44" t="str">
        <f t="shared" si="125"/>
        <v/>
      </c>
      <c r="R462" s="44" t="str">
        <f t="shared" si="131"/>
        <v/>
      </c>
      <c r="S462" s="242">
        <f t="shared" si="132"/>
        <v>0</v>
      </c>
      <c r="T462" s="42">
        <f t="shared" si="133"/>
        <v>0</v>
      </c>
      <c r="U462" s="42">
        <f t="shared" si="126"/>
        <v>0</v>
      </c>
      <c r="V462" s="36" t="e">
        <f t="shared" si="127"/>
        <v>#DIV/0!</v>
      </c>
      <c r="W462" s="36" t="e">
        <f t="shared" si="128"/>
        <v>#DIV/0!</v>
      </c>
      <c r="X462" s="62" t="e">
        <f t="shared" si="134"/>
        <v>#DIV/0!</v>
      </c>
    </row>
    <row r="463" spans="1:24">
      <c r="A463" s="26"/>
      <c r="B463" s="27"/>
      <c r="C463" s="27"/>
      <c r="D463" s="27"/>
      <c r="E463" s="27"/>
      <c r="F463" s="27"/>
      <c r="G463" s="27"/>
      <c r="H463" s="27"/>
      <c r="I463" s="27"/>
      <c r="J463" s="27"/>
      <c r="K463" s="44" t="str">
        <f t="shared" si="122"/>
        <v/>
      </c>
      <c r="L463" s="44" t="str">
        <f t="shared" si="129"/>
        <v/>
      </c>
      <c r="M463" s="44" t="str">
        <f t="shared" si="123"/>
        <v/>
      </c>
      <c r="N463" s="44" t="str">
        <f t="shared" si="130"/>
        <v/>
      </c>
      <c r="O463" s="44" t="str">
        <f t="shared" si="124"/>
        <v/>
      </c>
      <c r="P463" s="44" t="str">
        <f t="shared" si="135"/>
        <v/>
      </c>
      <c r="Q463" s="44" t="str">
        <f t="shared" si="125"/>
        <v/>
      </c>
      <c r="R463" s="44" t="str">
        <f t="shared" si="131"/>
        <v/>
      </c>
      <c r="S463" s="242">
        <f t="shared" si="132"/>
        <v>0</v>
      </c>
      <c r="T463" s="42">
        <f t="shared" si="133"/>
        <v>0</v>
      </c>
      <c r="U463" s="42">
        <f t="shared" si="126"/>
        <v>0</v>
      </c>
      <c r="V463" s="36" t="e">
        <f t="shared" si="127"/>
        <v>#DIV/0!</v>
      </c>
      <c r="W463" s="36" t="e">
        <f t="shared" si="128"/>
        <v>#DIV/0!</v>
      </c>
      <c r="X463" s="62" t="e">
        <f t="shared" si="134"/>
        <v>#DIV/0!</v>
      </c>
    </row>
    <row r="464" spans="1:24">
      <c r="A464" s="26"/>
      <c r="B464" s="27"/>
      <c r="C464" s="27"/>
      <c r="D464" s="27"/>
      <c r="E464" s="27"/>
      <c r="F464" s="27"/>
      <c r="G464" s="27"/>
      <c r="H464" s="27"/>
      <c r="I464" s="27"/>
      <c r="J464" s="27"/>
      <c r="K464" s="44" t="str">
        <f t="shared" si="122"/>
        <v/>
      </c>
      <c r="L464" s="44" t="str">
        <f t="shared" si="129"/>
        <v/>
      </c>
      <c r="M464" s="44" t="str">
        <f t="shared" si="123"/>
        <v/>
      </c>
      <c r="N464" s="44" t="str">
        <f t="shared" si="130"/>
        <v/>
      </c>
      <c r="O464" s="44" t="str">
        <f t="shared" si="124"/>
        <v/>
      </c>
      <c r="P464" s="44" t="str">
        <f t="shared" si="135"/>
        <v/>
      </c>
      <c r="Q464" s="44" t="str">
        <f t="shared" si="125"/>
        <v/>
      </c>
      <c r="R464" s="44" t="str">
        <f t="shared" si="131"/>
        <v/>
      </c>
      <c r="S464" s="242">
        <f t="shared" si="132"/>
        <v>0</v>
      </c>
      <c r="T464" s="42">
        <f t="shared" si="133"/>
        <v>0</v>
      </c>
      <c r="U464" s="42">
        <f t="shared" si="126"/>
        <v>0</v>
      </c>
      <c r="V464" s="36" t="e">
        <f t="shared" si="127"/>
        <v>#DIV/0!</v>
      </c>
      <c r="W464" s="36" t="e">
        <f t="shared" si="128"/>
        <v>#DIV/0!</v>
      </c>
      <c r="X464" s="62" t="e">
        <f t="shared" si="134"/>
        <v>#DIV/0!</v>
      </c>
    </row>
    <row r="465" spans="1:24">
      <c r="A465" s="26"/>
      <c r="B465" s="27"/>
      <c r="C465" s="27"/>
      <c r="D465" s="27"/>
      <c r="E465" s="27"/>
      <c r="F465" s="27"/>
      <c r="G465" s="27"/>
      <c r="H465" s="27"/>
      <c r="I465" s="27"/>
      <c r="J465" s="27"/>
      <c r="K465" s="44" t="str">
        <f t="shared" si="122"/>
        <v/>
      </c>
      <c r="L465" s="44" t="str">
        <f t="shared" si="129"/>
        <v/>
      </c>
      <c r="M465" s="44" t="str">
        <f t="shared" si="123"/>
        <v/>
      </c>
      <c r="N465" s="44" t="str">
        <f t="shared" si="130"/>
        <v/>
      </c>
      <c r="O465" s="44" t="str">
        <f t="shared" si="124"/>
        <v/>
      </c>
      <c r="P465" s="44" t="str">
        <f t="shared" si="135"/>
        <v/>
      </c>
      <c r="Q465" s="44" t="str">
        <f t="shared" si="125"/>
        <v/>
      </c>
      <c r="R465" s="44" t="str">
        <f t="shared" si="131"/>
        <v/>
      </c>
      <c r="S465" s="242">
        <f t="shared" si="132"/>
        <v>0</v>
      </c>
      <c r="T465" s="42">
        <f t="shared" si="133"/>
        <v>0</v>
      </c>
      <c r="U465" s="42">
        <f t="shared" si="126"/>
        <v>0</v>
      </c>
      <c r="V465" s="36" t="e">
        <f t="shared" si="127"/>
        <v>#DIV/0!</v>
      </c>
      <c r="W465" s="36" t="e">
        <f t="shared" si="128"/>
        <v>#DIV/0!</v>
      </c>
      <c r="X465" s="62" t="e">
        <f t="shared" si="134"/>
        <v>#DIV/0!</v>
      </c>
    </row>
    <row r="466" spans="1:24">
      <c r="A466" s="26"/>
      <c r="B466" s="27"/>
      <c r="C466" s="27"/>
      <c r="D466" s="27"/>
      <c r="E466" s="27"/>
      <c r="F466" s="27"/>
      <c r="G466" s="27"/>
      <c r="H466" s="27"/>
      <c r="I466" s="27"/>
      <c r="J466" s="27"/>
      <c r="K466" s="44" t="str">
        <f t="shared" si="122"/>
        <v/>
      </c>
      <c r="L466" s="44" t="str">
        <f t="shared" si="129"/>
        <v/>
      </c>
      <c r="M466" s="44" t="str">
        <f t="shared" si="123"/>
        <v/>
      </c>
      <c r="N466" s="44" t="str">
        <f t="shared" si="130"/>
        <v/>
      </c>
      <c r="O466" s="44" t="str">
        <f t="shared" si="124"/>
        <v/>
      </c>
      <c r="P466" s="44" t="str">
        <f t="shared" si="135"/>
        <v/>
      </c>
      <c r="Q466" s="44" t="str">
        <f t="shared" si="125"/>
        <v/>
      </c>
      <c r="R466" s="44" t="str">
        <f t="shared" si="131"/>
        <v/>
      </c>
      <c r="S466" s="242">
        <f t="shared" si="132"/>
        <v>0</v>
      </c>
      <c r="T466" s="42">
        <f t="shared" si="133"/>
        <v>0</v>
      </c>
      <c r="U466" s="42">
        <f t="shared" si="126"/>
        <v>0</v>
      </c>
      <c r="V466" s="36" t="e">
        <f t="shared" si="127"/>
        <v>#DIV/0!</v>
      </c>
      <c r="W466" s="36" t="e">
        <f t="shared" si="128"/>
        <v>#DIV/0!</v>
      </c>
      <c r="X466" s="62" t="e">
        <f t="shared" si="134"/>
        <v>#DIV/0!</v>
      </c>
    </row>
    <row r="467" spans="1:24">
      <c r="A467" s="26"/>
      <c r="B467" s="27"/>
      <c r="C467" s="27"/>
      <c r="D467" s="27"/>
      <c r="E467" s="27"/>
      <c r="F467" s="27"/>
      <c r="G467" s="27"/>
      <c r="H467" s="27"/>
      <c r="I467" s="27"/>
      <c r="J467" s="27"/>
      <c r="K467" s="44" t="str">
        <f t="shared" si="122"/>
        <v/>
      </c>
      <c r="L467" s="44" t="str">
        <f t="shared" si="129"/>
        <v/>
      </c>
      <c r="M467" s="44" t="str">
        <f t="shared" si="123"/>
        <v/>
      </c>
      <c r="N467" s="44" t="str">
        <f t="shared" si="130"/>
        <v/>
      </c>
      <c r="O467" s="44" t="str">
        <f t="shared" si="124"/>
        <v/>
      </c>
      <c r="P467" s="44" t="str">
        <f t="shared" si="135"/>
        <v/>
      </c>
      <c r="Q467" s="44" t="str">
        <f t="shared" si="125"/>
        <v/>
      </c>
      <c r="R467" s="44" t="str">
        <f t="shared" si="131"/>
        <v/>
      </c>
      <c r="S467" s="242">
        <f t="shared" si="132"/>
        <v>0</v>
      </c>
      <c r="T467" s="42">
        <f t="shared" si="133"/>
        <v>0</v>
      </c>
      <c r="U467" s="42">
        <f t="shared" si="126"/>
        <v>0</v>
      </c>
      <c r="V467" s="36" t="e">
        <f t="shared" si="127"/>
        <v>#DIV/0!</v>
      </c>
      <c r="W467" s="36" t="e">
        <f t="shared" si="128"/>
        <v>#DIV/0!</v>
      </c>
      <c r="X467" s="62" t="e">
        <f t="shared" si="134"/>
        <v>#DIV/0!</v>
      </c>
    </row>
    <row r="468" spans="1:24">
      <c r="A468" s="26"/>
      <c r="B468" s="27"/>
      <c r="C468" s="27"/>
      <c r="D468" s="27"/>
      <c r="E468" s="27"/>
      <c r="F468" s="27"/>
      <c r="G468" s="27"/>
      <c r="H468" s="27"/>
      <c r="I468" s="27"/>
      <c r="J468" s="27"/>
      <c r="K468" s="44" t="str">
        <f t="shared" si="122"/>
        <v/>
      </c>
      <c r="L468" s="44" t="str">
        <f t="shared" si="129"/>
        <v/>
      </c>
      <c r="M468" s="44" t="str">
        <f t="shared" si="123"/>
        <v/>
      </c>
      <c r="N468" s="44" t="str">
        <f t="shared" si="130"/>
        <v/>
      </c>
      <c r="O468" s="44" t="str">
        <f t="shared" si="124"/>
        <v/>
      </c>
      <c r="P468" s="44" t="str">
        <f t="shared" si="135"/>
        <v/>
      </c>
      <c r="Q468" s="44" t="str">
        <f t="shared" si="125"/>
        <v/>
      </c>
      <c r="R468" s="44" t="str">
        <f t="shared" si="131"/>
        <v/>
      </c>
      <c r="S468" s="242">
        <f t="shared" si="132"/>
        <v>0</v>
      </c>
      <c r="T468" s="42">
        <f t="shared" si="133"/>
        <v>0</v>
      </c>
      <c r="U468" s="42">
        <f t="shared" si="126"/>
        <v>0</v>
      </c>
      <c r="V468" s="36" t="e">
        <f t="shared" si="127"/>
        <v>#DIV/0!</v>
      </c>
      <c r="W468" s="36" t="e">
        <f t="shared" si="128"/>
        <v>#DIV/0!</v>
      </c>
      <c r="X468" s="62" t="e">
        <f t="shared" si="134"/>
        <v>#DIV/0!</v>
      </c>
    </row>
    <row r="469" spans="1:24">
      <c r="A469" s="26"/>
      <c r="B469" s="27"/>
      <c r="C469" s="27"/>
      <c r="D469" s="27"/>
      <c r="E469" s="27"/>
      <c r="F469" s="27"/>
      <c r="G469" s="27"/>
      <c r="H469" s="27"/>
      <c r="I469" s="27"/>
      <c r="J469" s="27"/>
      <c r="K469" s="44" t="str">
        <f t="shared" si="122"/>
        <v/>
      </c>
      <c r="L469" s="44" t="str">
        <f t="shared" si="129"/>
        <v/>
      </c>
      <c r="M469" s="44" t="str">
        <f t="shared" si="123"/>
        <v/>
      </c>
      <c r="N469" s="44" t="str">
        <f t="shared" si="130"/>
        <v/>
      </c>
      <c r="O469" s="44" t="str">
        <f t="shared" si="124"/>
        <v/>
      </c>
      <c r="P469" s="44" t="str">
        <f t="shared" si="135"/>
        <v/>
      </c>
      <c r="Q469" s="44" t="str">
        <f t="shared" si="125"/>
        <v/>
      </c>
      <c r="R469" s="44" t="str">
        <f t="shared" si="131"/>
        <v/>
      </c>
      <c r="S469" s="242">
        <f t="shared" si="132"/>
        <v>0</v>
      </c>
      <c r="T469" s="42">
        <f t="shared" si="133"/>
        <v>0</v>
      </c>
      <c r="U469" s="42">
        <f t="shared" si="126"/>
        <v>0</v>
      </c>
      <c r="V469" s="36" t="e">
        <f t="shared" si="127"/>
        <v>#DIV/0!</v>
      </c>
      <c r="W469" s="36" t="e">
        <f t="shared" si="128"/>
        <v>#DIV/0!</v>
      </c>
      <c r="X469" s="62" t="e">
        <f t="shared" si="134"/>
        <v>#DIV/0!</v>
      </c>
    </row>
    <row r="470" spans="1:24">
      <c r="A470" s="26"/>
      <c r="B470" s="27"/>
      <c r="C470" s="27"/>
      <c r="D470" s="27"/>
      <c r="E470" s="27"/>
      <c r="F470" s="27"/>
      <c r="G470" s="27"/>
      <c r="H470" s="27"/>
      <c r="I470" s="27"/>
      <c r="J470" s="27"/>
      <c r="K470" s="44" t="str">
        <f t="shared" si="122"/>
        <v/>
      </c>
      <c r="L470" s="44" t="str">
        <f t="shared" si="129"/>
        <v/>
      </c>
      <c r="M470" s="44" t="str">
        <f t="shared" si="123"/>
        <v/>
      </c>
      <c r="N470" s="44" t="str">
        <f t="shared" si="130"/>
        <v/>
      </c>
      <c r="O470" s="44" t="str">
        <f t="shared" si="124"/>
        <v/>
      </c>
      <c r="P470" s="44" t="str">
        <f t="shared" si="135"/>
        <v/>
      </c>
      <c r="Q470" s="44" t="str">
        <f t="shared" si="125"/>
        <v/>
      </c>
      <c r="R470" s="44" t="str">
        <f t="shared" si="131"/>
        <v/>
      </c>
      <c r="S470" s="242">
        <f t="shared" si="132"/>
        <v>0</v>
      </c>
      <c r="T470" s="42">
        <f t="shared" si="133"/>
        <v>0</v>
      </c>
      <c r="U470" s="42">
        <f t="shared" si="126"/>
        <v>0</v>
      </c>
      <c r="V470" s="36" t="e">
        <f t="shared" si="127"/>
        <v>#DIV/0!</v>
      </c>
      <c r="W470" s="36" t="e">
        <f t="shared" si="128"/>
        <v>#DIV/0!</v>
      </c>
      <c r="X470" s="62" t="e">
        <f t="shared" si="134"/>
        <v>#DIV/0!</v>
      </c>
    </row>
    <row r="471" spans="1:24">
      <c r="A471" s="26"/>
      <c r="B471" s="27"/>
      <c r="C471" s="27"/>
      <c r="D471" s="27"/>
      <c r="E471" s="27"/>
      <c r="F471" s="27"/>
      <c r="G471" s="27"/>
      <c r="H471" s="27"/>
      <c r="I471" s="27"/>
      <c r="J471" s="27"/>
      <c r="K471" s="44" t="str">
        <f t="shared" si="122"/>
        <v/>
      </c>
      <c r="L471" s="44" t="str">
        <f t="shared" si="129"/>
        <v/>
      </c>
      <c r="M471" s="44" t="str">
        <f t="shared" si="123"/>
        <v/>
      </c>
      <c r="N471" s="44" t="str">
        <f t="shared" si="130"/>
        <v/>
      </c>
      <c r="O471" s="44" t="str">
        <f t="shared" si="124"/>
        <v/>
      </c>
      <c r="P471" s="44" t="str">
        <f t="shared" si="135"/>
        <v/>
      </c>
      <c r="Q471" s="44" t="str">
        <f t="shared" si="125"/>
        <v/>
      </c>
      <c r="R471" s="44" t="str">
        <f t="shared" si="131"/>
        <v/>
      </c>
      <c r="S471" s="242">
        <f t="shared" si="132"/>
        <v>0</v>
      </c>
      <c r="T471" s="42">
        <f t="shared" si="133"/>
        <v>0</v>
      </c>
      <c r="U471" s="42">
        <f t="shared" si="126"/>
        <v>0</v>
      </c>
      <c r="V471" s="36" t="e">
        <f t="shared" si="127"/>
        <v>#DIV/0!</v>
      </c>
      <c r="W471" s="36" t="e">
        <f t="shared" si="128"/>
        <v>#DIV/0!</v>
      </c>
      <c r="X471" s="62" t="e">
        <f t="shared" si="134"/>
        <v>#DIV/0!</v>
      </c>
    </row>
    <row r="472" spans="1:24">
      <c r="A472" s="26"/>
      <c r="B472" s="27"/>
      <c r="C472" s="27"/>
      <c r="D472" s="27"/>
      <c r="E472" s="27"/>
      <c r="F472" s="27"/>
      <c r="G472" s="27"/>
      <c r="H472" s="27"/>
      <c r="I472" s="27"/>
      <c r="J472" s="27"/>
      <c r="K472" s="44" t="str">
        <f t="shared" si="122"/>
        <v/>
      </c>
      <c r="L472" s="44" t="str">
        <f t="shared" si="129"/>
        <v/>
      </c>
      <c r="M472" s="44" t="str">
        <f t="shared" si="123"/>
        <v/>
      </c>
      <c r="N472" s="44" t="str">
        <f t="shared" si="130"/>
        <v/>
      </c>
      <c r="O472" s="44" t="str">
        <f t="shared" si="124"/>
        <v/>
      </c>
      <c r="P472" s="44" t="str">
        <f t="shared" si="135"/>
        <v/>
      </c>
      <c r="Q472" s="44" t="str">
        <f t="shared" si="125"/>
        <v/>
      </c>
      <c r="R472" s="44" t="str">
        <f t="shared" si="131"/>
        <v/>
      </c>
      <c r="S472" s="242">
        <f t="shared" si="132"/>
        <v>0</v>
      </c>
      <c r="T472" s="42">
        <f t="shared" si="133"/>
        <v>0</v>
      </c>
      <c r="U472" s="42">
        <f t="shared" si="126"/>
        <v>0</v>
      </c>
      <c r="V472" s="36" t="e">
        <f t="shared" si="127"/>
        <v>#DIV/0!</v>
      </c>
      <c r="W472" s="36" t="e">
        <f t="shared" si="128"/>
        <v>#DIV/0!</v>
      </c>
      <c r="X472" s="62" t="e">
        <f t="shared" si="134"/>
        <v>#DIV/0!</v>
      </c>
    </row>
    <row r="473" spans="1:24">
      <c r="A473" s="26"/>
      <c r="B473" s="27"/>
      <c r="C473" s="27"/>
      <c r="D473" s="27"/>
      <c r="E473" s="27"/>
      <c r="F473" s="27"/>
      <c r="G473" s="27"/>
      <c r="H473" s="27"/>
      <c r="I473" s="27"/>
      <c r="J473" s="27"/>
      <c r="K473" s="44" t="str">
        <f t="shared" si="122"/>
        <v/>
      </c>
      <c r="L473" s="44" t="str">
        <f t="shared" si="129"/>
        <v/>
      </c>
      <c r="M473" s="44" t="str">
        <f t="shared" si="123"/>
        <v/>
      </c>
      <c r="N473" s="44" t="str">
        <f t="shared" si="130"/>
        <v/>
      </c>
      <c r="O473" s="44" t="str">
        <f t="shared" si="124"/>
        <v/>
      </c>
      <c r="P473" s="44" t="str">
        <f t="shared" si="135"/>
        <v/>
      </c>
      <c r="Q473" s="44" t="str">
        <f t="shared" si="125"/>
        <v/>
      </c>
      <c r="R473" s="44" t="str">
        <f t="shared" si="131"/>
        <v/>
      </c>
      <c r="S473" s="242">
        <f t="shared" si="132"/>
        <v>0</v>
      </c>
      <c r="T473" s="42">
        <f t="shared" si="133"/>
        <v>0</v>
      </c>
      <c r="U473" s="42">
        <f t="shared" si="126"/>
        <v>0</v>
      </c>
      <c r="V473" s="36" t="e">
        <f t="shared" si="127"/>
        <v>#DIV/0!</v>
      </c>
      <c r="W473" s="36" t="e">
        <f t="shared" si="128"/>
        <v>#DIV/0!</v>
      </c>
      <c r="X473" s="62" t="e">
        <f t="shared" si="134"/>
        <v>#DIV/0!</v>
      </c>
    </row>
    <row r="474" spans="1:24">
      <c r="A474" s="26"/>
      <c r="B474" s="27"/>
      <c r="C474" s="27"/>
      <c r="D474" s="27"/>
      <c r="E474" s="27"/>
      <c r="F474" s="27"/>
      <c r="G474" s="27"/>
      <c r="H474" s="27"/>
      <c r="I474" s="27"/>
      <c r="J474" s="27"/>
      <c r="K474" s="44" t="str">
        <f t="shared" si="122"/>
        <v/>
      </c>
      <c r="L474" s="44" t="str">
        <f t="shared" si="129"/>
        <v/>
      </c>
      <c r="M474" s="44" t="str">
        <f t="shared" si="123"/>
        <v/>
      </c>
      <c r="N474" s="44" t="str">
        <f t="shared" si="130"/>
        <v/>
      </c>
      <c r="O474" s="44" t="str">
        <f t="shared" si="124"/>
        <v/>
      </c>
      <c r="P474" s="44" t="str">
        <f t="shared" si="135"/>
        <v/>
      </c>
      <c r="Q474" s="44" t="str">
        <f t="shared" si="125"/>
        <v/>
      </c>
      <c r="R474" s="44" t="str">
        <f t="shared" si="131"/>
        <v/>
      </c>
      <c r="S474" s="242">
        <f t="shared" si="132"/>
        <v>0</v>
      </c>
      <c r="T474" s="42">
        <f t="shared" si="133"/>
        <v>0</v>
      </c>
      <c r="U474" s="42">
        <f t="shared" si="126"/>
        <v>0</v>
      </c>
      <c r="V474" s="36" t="e">
        <f t="shared" si="127"/>
        <v>#DIV/0!</v>
      </c>
      <c r="W474" s="36" t="e">
        <f t="shared" si="128"/>
        <v>#DIV/0!</v>
      </c>
      <c r="X474" s="62" t="e">
        <f t="shared" si="134"/>
        <v>#DIV/0!</v>
      </c>
    </row>
    <row r="475" spans="1:24">
      <c r="A475" s="26"/>
      <c r="B475" s="27"/>
      <c r="C475" s="27"/>
      <c r="D475" s="27"/>
      <c r="E475" s="27"/>
      <c r="F475" s="27"/>
      <c r="G475" s="27"/>
      <c r="H475" s="27"/>
      <c r="I475" s="27"/>
      <c r="J475" s="27"/>
      <c r="K475" s="44" t="str">
        <f t="shared" si="122"/>
        <v/>
      </c>
      <c r="L475" s="44" t="str">
        <f t="shared" si="129"/>
        <v/>
      </c>
      <c r="M475" s="44" t="str">
        <f t="shared" si="123"/>
        <v/>
      </c>
      <c r="N475" s="44" t="str">
        <f t="shared" si="130"/>
        <v/>
      </c>
      <c r="O475" s="44" t="str">
        <f t="shared" si="124"/>
        <v/>
      </c>
      <c r="P475" s="44" t="str">
        <f t="shared" si="135"/>
        <v/>
      </c>
      <c r="Q475" s="44" t="str">
        <f t="shared" si="125"/>
        <v/>
      </c>
      <c r="R475" s="44" t="str">
        <f t="shared" si="131"/>
        <v/>
      </c>
      <c r="S475" s="242">
        <f t="shared" si="132"/>
        <v>0</v>
      </c>
      <c r="T475" s="42">
        <f t="shared" si="133"/>
        <v>0</v>
      </c>
      <c r="U475" s="42">
        <f t="shared" si="126"/>
        <v>0</v>
      </c>
      <c r="V475" s="36" t="e">
        <f t="shared" si="127"/>
        <v>#DIV/0!</v>
      </c>
      <c r="W475" s="36" t="e">
        <f t="shared" si="128"/>
        <v>#DIV/0!</v>
      </c>
      <c r="X475" s="62" t="e">
        <f t="shared" si="134"/>
        <v>#DIV/0!</v>
      </c>
    </row>
    <row r="476" spans="1:24">
      <c r="A476" s="26"/>
      <c r="B476" s="27"/>
      <c r="C476" s="27"/>
      <c r="D476" s="27"/>
      <c r="E476" s="27"/>
      <c r="F476" s="27"/>
      <c r="G476" s="27"/>
      <c r="H476" s="27"/>
      <c r="I476" s="27"/>
      <c r="J476" s="27"/>
      <c r="K476" s="44" t="str">
        <f t="shared" si="122"/>
        <v/>
      </c>
      <c r="L476" s="44" t="str">
        <f t="shared" si="129"/>
        <v/>
      </c>
      <c r="M476" s="44" t="str">
        <f t="shared" si="123"/>
        <v/>
      </c>
      <c r="N476" s="44" t="str">
        <f t="shared" si="130"/>
        <v/>
      </c>
      <c r="O476" s="44" t="str">
        <f t="shared" si="124"/>
        <v/>
      </c>
      <c r="P476" s="44" t="str">
        <f t="shared" si="135"/>
        <v/>
      </c>
      <c r="Q476" s="44" t="str">
        <f t="shared" si="125"/>
        <v/>
      </c>
      <c r="R476" s="44" t="str">
        <f t="shared" si="131"/>
        <v/>
      </c>
      <c r="S476" s="242">
        <f t="shared" si="132"/>
        <v>0</v>
      </c>
      <c r="T476" s="42">
        <f t="shared" si="133"/>
        <v>0</v>
      </c>
      <c r="U476" s="42">
        <f t="shared" si="126"/>
        <v>0</v>
      </c>
      <c r="V476" s="36" t="e">
        <f t="shared" si="127"/>
        <v>#DIV/0!</v>
      </c>
      <c r="W476" s="36" t="e">
        <f t="shared" si="128"/>
        <v>#DIV/0!</v>
      </c>
      <c r="X476" s="62" t="e">
        <f t="shared" si="134"/>
        <v>#DIV/0!</v>
      </c>
    </row>
    <row r="477" spans="1:24">
      <c r="A477" s="26"/>
      <c r="B477" s="27"/>
      <c r="C477" s="27"/>
      <c r="D477" s="27"/>
      <c r="E477" s="27"/>
      <c r="F477" s="27"/>
      <c r="G477" s="27"/>
      <c r="H477" s="27"/>
      <c r="I477" s="27"/>
      <c r="J477" s="27"/>
      <c r="K477" s="44" t="str">
        <f t="shared" si="122"/>
        <v/>
      </c>
      <c r="L477" s="44" t="str">
        <f t="shared" si="129"/>
        <v/>
      </c>
      <c r="M477" s="44" t="str">
        <f t="shared" si="123"/>
        <v/>
      </c>
      <c r="N477" s="44" t="str">
        <f t="shared" si="130"/>
        <v/>
      </c>
      <c r="O477" s="44" t="str">
        <f t="shared" si="124"/>
        <v/>
      </c>
      <c r="P477" s="44" t="str">
        <f t="shared" si="135"/>
        <v/>
      </c>
      <c r="Q477" s="44" t="str">
        <f t="shared" si="125"/>
        <v/>
      </c>
      <c r="R477" s="44" t="str">
        <f t="shared" si="131"/>
        <v/>
      </c>
      <c r="S477" s="242">
        <f t="shared" si="132"/>
        <v>0</v>
      </c>
      <c r="T477" s="42">
        <f t="shared" si="133"/>
        <v>0</v>
      </c>
      <c r="U477" s="42">
        <f t="shared" si="126"/>
        <v>0</v>
      </c>
      <c r="V477" s="36" t="e">
        <f t="shared" si="127"/>
        <v>#DIV/0!</v>
      </c>
      <c r="W477" s="36" t="e">
        <f t="shared" si="128"/>
        <v>#DIV/0!</v>
      </c>
      <c r="X477" s="62" t="e">
        <f t="shared" si="134"/>
        <v>#DIV/0!</v>
      </c>
    </row>
    <row r="478" spans="1:24">
      <c r="A478" s="26"/>
      <c r="B478" s="27"/>
      <c r="C478" s="27"/>
      <c r="D478" s="27"/>
      <c r="E478" s="27"/>
      <c r="F478" s="27"/>
      <c r="G478" s="27"/>
      <c r="H478" s="27"/>
      <c r="I478" s="27"/>
      <c r="J478" s="27"/>
      <c r="K478" s="44" t="str">
        <f t="shared" si="122"/>
        <v/>
      </c>
      <c r="L478" s="44" t="str">
        <f t="shared" si="129"/>
        <v/>
      </c>
      <c r="M478" s="44" t="str">
        <f t="shared" si="123"/>
        <v/>
      </c>
      <c r="N478" s="44" t="str">
        <f t="shared" si="130"/>
        <v/>
      </c>
      <c r="O478" s="44" t="str">
        <f t="shared" si="124"/>
        <v/>
      </c>
      <c r="P478" s="44" t="str">
        <f t="shared" si="135"/>
        <v/>
      </c>
      <c r="Q478" s="44" t="str">
        <f t="shared" si="125"/>
        <v/>
      </c>
      <c r="R478" s="44" t="str">
        <f t="shared" si="131"/>
        <v/>
      </c>
      <c r="S478" s="242">
        <f t="shared" si="132"/>
        <v>0</v>
      </c>
      <c r="T478" s="42">
        <f t="shared" si="133"/>
        <v>0</v>
      </c>
      <c r="U478" s="42">
        <f t="shared" si="126"/>
        <v>0</v>
      </c>
      <c r="V478" s="36" t="e">
        <f t="shared" si="127"/>
        <v>#DIV/0!</v>
      </c>
      <c r="W478" s="36" t="e">
        <f t="shared" si="128"/>
        <v>#DIV/0!</v>
      </c>
      <c r="X478" s="62" t="e">
        <f t="shared" si="134"/>
        <v>#DIV/0!</v>
      </c>
    </row>
  </sheetData>
  <mergeCells count="8">
    <mergeCell ref="W1:W2"/>
    <mergeCell ref="X1:X2"/>
    <mergeCell ref="A1:A2"/>
    <mergeCell ref="B1:B2"/>
    <mergeCell ref="S1:S2"/>
    <mergeCell ref="T1:T2"/>
    <mergeCell ref="U1:U2"/>
    <mergeCell ref="V1:V2"/>
  </mergeCells>
  <phoneticPr fontId="22" type="noConversion"/>
  <conditionalFormatting sqref="A3:A5 A7:A53">
    <cfRule type="expression" dxfId="61" priority="10">
      <formula>COUNTIF(本周午菜,A3)+COUNTIF(本周晚菜,A3)&gt;0</formula>
    </cfRule>
  </conditionalFormatting>
  <conditionalFormatting sqref="A90:A478">
    <cfRule type="expression" dxfId="60" priority="8">
      <formula>COUNTIF(本周午菜,A90)+COUNTIF(本周晚菜,A90)&gt;0</formula>
    </cfRule>
  </conditionalFormatting>
  <pageMargins left="0.35433070866141736" right="0.35433070866141736" top="0.39370078740157483" bottom="0.39370078740157483" header="0.51181102362204722" footer="0.51181102362204722"/>
  <pageSetup paperSize="12" orientation="landscape" horizontalDpi="4294967292" verticalDpi="3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791"/>
  <sheetViews>
    <sheetView workbookViewId="0">
      <pane xSplit="2" ySplit="1" topLeftCell="C47" activePane="bottomRight" state="frozen"/>
      <selection pane="topRight" activeCell="D1" sqref="D1"/>
      <selection pane="bottomLeft" activeCell="A2" sqref="A2"/>
      <selection pane="bottomRight" activeCell="J55" sqref="J55"/>
    </sheetView>
  </sheetViews>
  <sheetFormatPr defaultRowHeight="14.25"/>
  <cols>
    <col min="1" max="1" width="12.375" style="12" customWidth="1"/>
    <col min="2" max="2" width="23.75" customWidth="1"/>
    <col min="3" max="3" width="9.25" customWidth="1"/>
    <col min="4" max="4" width="8.875" customWidth="1"/>
    <col min="5" max="5" width="9.25" customWidth="1"/>
    <col min="6" max="6" width="6" customWidth="1"/>
    <col min="7" max="7" width="8" customWidth="1"/>
    <col min="8" max="8" width="10" customWidth="1"/>
    <col min="9" max="9" width="15" style="8" customWidth="1"/>
  </cols>
  <sheetData>
    <row r="1" spans="1:9">
      <c r="A1" s="10" t="s">
        <v>24</v>
      </c>
      <c r="B1" s="5" t="s">
        <v>25</v>
      </c>
      <c r="C1" s="6" t="s">
        <v>26</v>
      </c>
      <c r="D1" s="6" t="s">
        <v>27</v>
      </c>
      <c r="E1" s="1"/>
      <c r="F1" s="6" t="s">
        <v>28</v>
      </c>
      <c r="G1" s="5" t="s">
        <v>29</v>
      </c>
      <c r="H1" s="6" t="s">
        <v>30</v>
      </c>
      <c r="I1" s="7" t="s">
        <v>98</v>
      </c>
    </row>
    <row r="2" spans="1:9">
      <c r="A2" s="11">
        <v>41274</v>
      </c>
      <c r="B2" s="14" t="s">
        <v>1262</v>
      </c>
      <c r="C2" s="6"/>
      <c r="D2" s="6"/>
      <c r="E2" s="1"/>
      <c r="F2" s="6"/>
      <c r="G2" s="5"/>
      <c r="H2" s="6"/>
      <c r="I2" s="7">
        <v>1.7</v>
      </c>
    </row>
    <row r="3" spans="1:9">
      <c r="A3" s="11">
        <v>41274</v>
      </c>
      <c r="B3" s="14" t="s">
        <v>1263</v>
      </c>
      <c r="C3" s="6"/>
      <c r="D3" s="6"/>
      <c r="E3" s="1"/>
      <c r="F3" s="6"/>
      <c r="G3" s="5"/>
      <c r="H3" s="6"/>
      <c r="I3" s="7">
        <v>2.27</v>
      </c>
    </row>
    <row r="4" spans="1:9">
      <c r="A4" s="11">
        <v>41274</v>
      </c>
      <c r="B4" s="14" t="s">
        <v>1314</v>
      </c>
      <c r="C4" s="6"/>
      <c r="D4" s="6"/>
      <c r="E4" s="1"/>
      <c r="F4" s="6"/>
      <c r="G4" s="5"/>
      <c r="H4" s="6"/>
      <c r="I4" s="7">
        <v>2.27</v>
      </c>
    </row>
    <row r="5" spans="1:9">
      <c r="A5" s="12">
        <v>41019</v>
      </c>
      <c r="B5" s="16" t="s">
        <v>319</v>
      </c>
      <c r="C5" s="1"/>
      <c r="D5" s="1"/>
      <c r="E5" s="1"/>
      <c r="F5" s="1"/>
      <c r="G5" s="1"/>
      <c r="H5" s="1">
        <v>4.2352941176470589</v>
      </c>
      <c r="I5" s="248">
        <f>150/42</f>
        <v>3.5714285714285716</v>
      </c>
    </row>
    <row r="6" spans="1:9">
      <c r="B6" s="16" t="s">
        <v>2306</v>
      </c>
      <c r="C6" s="1"/>
      <c r="D6" s="1"/>
      <c r="E6" s="1"/>
      <c r="F6" s="1"/>
      <c r="G6" s="1"/>
      <c r="H6" s="1"/>
      <c r="I6" s="248">
        <v>3.78</v>
      </c>
    </row>
    <row r="7" spans="1:9">
      <c r="B7" s="16" t="s">
        <v>2756</v>
      </c>
      <c r="C7" s="1"/>
      <c r="D7" s="1"/>
      <c r="E7" s="1"/>
      <c r="F7" s="1"/>
      <c r="G7" s="1"/>
      <c r="H7" s="1"/>
      <c r="I7" s="262">
        <v>1</v>
      </c>
    </row>
    <row r="8" spans="1:9">
      <c r="B8" s="16" t="s">
        <v>2541</v>
      </c>
      <c r="C8" s="1"/>
      <c r="D8" s="1"/>
      <c r="E8" s="1"/>
      <c r="F8" s="1"/>
      <c r="G8" s="1"/>
      <c r="H8" s="1"/>
      <c r="I8" s="262">
        <v>5</v>
      </c>
    </row>
    <row r="9" spans="1:9">
      <c r="A9" s="11"/>
      <c r="B9" s="14" t="s">
        <v>2163</v>
      </c>
      <c r="C9" s="6"/>
      <c r="D9" s="6"/>
      <c r="E9" s="1"/>
      <c r="F9" s="6"/>
      <c r="G9" s="5"/>
      <c r="H9" s="6"/>
      <c r="I9" s="7">
        <v>30</v>
      </c>
    </row>
    <row r="10" spans="1:9">
      <c r="A10" s="11"/>
      <c r="B10" s="14" t="s">
        <v>2162</v>
      </c>
      <c r="C10" s="6"/>
      <c r="D10" s="6"/>
      <c r="E10" s="1"/>
      <c r="F10" s="6"/>
      <c r="G10" s="5"/>
      <c r="H10" s="6"/>
      <c r="I10" s="7">
        <v>5.5</v>
      </c>
    </row>
    <row r="11" spans="1:9">
      <c r="A11" s="11"/>
      <c r="B11" s="14" t="s">
        <v>2161</v>
      </c>
      <c r="C11" s="6"/>
      <c r="D11" s="6"/>
      <c r="E11" s="1"/>
      <c r="F11" s="6"/>
      <c r="G11" s="5"/>
      <c r="H11" s="6"/>
      <c r="I11" s="7">
        <v>15</v>
      </c>
    </row>
    <row r="12" spans="1:9">
      <c r="A12" s="11"/>
      <c r="B12" s="14" t="s">
        <v>2728</v>
      </c>
      <c r="C12" s="6"/>
      <c r="D12" s="6"/>
      <c r="E12" s="1"/>
      <c r="F12" s="6"/>
      <c r="G12" s="5"/>
      <c r="H12" s="6"/>
      <c r="I12" s="7">
        <v>12</v>
      </c>
    </row>
    <row r="13" spans="1:9">
      <c r="A13" s="11"/>
      <c r="B13" s="14" t="s">
        <v>2155</v>
      </c>
      <c r="C13" s="6"/>
      <c r="D13" s="6"/>
      <c r="E13" s="1"/>
      <c r="F13" s="6"/>
      <c r="G13" s="5"/>
      <c r="H13" s="6"/>
      <c r="I13" s="7">
        <v>31.5</v>
      </c>
    </row>
    <row r="14" spans="1:9">
      <c r="A14" s="11"/>
      <c r="B14" s="14" t="s">
        <v>2137</v>
      </c>
      <c r="C14" s="6"/>
      <c r="D14" s="6"/>
      <c r="E14" s="1"/>
      <c r="F14" s="6"/>
      <c r="G14" s="5"/>
      <c r="H14" s="6"/>
      <c r="I14" s="7">
        <v>7</v>
      </c>
    </row>
    <row r="15" spans="1:9">
      <c r="A15" s="11">
        <v>41274</v>
      </c>
      <c r="B15" s="14" t="s">
        <v>1417</v>
      </c>
      <c r="C15" s="6"/>
      <c r="D15" s="6"/>
      <c r="E15" s="1"/>
      <c r="F15" s="6"/>
      <c r="G15" s="5"/>
      <c r="H15" s="6"/>
      <c r="I15" s="7">
        <v>2.27</v>
      </c>
    </row>
    <row r="16" spans="1:9">
      <c r="A16" s="11">
        <v>41274</v>
      </c>
      <c r="B16" s="14" t="s">
        <v>1315</v>
      </c>
      <c r="C16" s="6"/>
      <c r="D16" s="6"/>
      <c r="E16" s="1"/>
      <c r="F16" s="6"/>
      <c r="G16" s="5"/>
      <c r="H16" s="6"/>
      <c r="I16" s="7">
        <v>4</v>
      </c>
    </row>
    <row r="17" spans="1:9">
      <c r="A17" s="11">
        <v>41274</v>
      </c>
      <c r="B17" s="14" t="s">
        <v>1425</v>
      </c>
      <c r="C17" s="6"/>
      <c r="D17" s="6"/>
      <c r="E17" s="1"/>
      <c r="F17" s="6"/>
      <c r="G17" s="5"/>
      <c r="H17" s="6"/>
      <c r="I17" s="7">
        <v>6.15</v>
      </c>
    </row>
    <row r="18" spans="1:9">
      <c r="A18" s="11">
        <v>41274</v>
      </c>
      <c r="B18" s="14" t="s">
        <v>1264</v>
      </c>
      <c r="C18" s="6"/>
      <c r="D18" s="6"/>
      <c r="E18" s="1"/>
      <c r="F18" s="6"/>
      <c r="G18" s="5"/>
      <c r="H18" s="6"/>
      <c r="I18" s="7">
        <v>2.5</v>
      </c>
    </row>
    <row r="19" spans="1:9">
      <c r="A19" s="11">
        <v>41274</v>
      </c>
      <c r="B19" s="14" t="s">
        <v>1265</v>
      </c>
      <c r="C19" s="6"/>
      <c r="D19" s="6">
        <v>183</v>
      </c>
      <c r="E19" s="1"/>
      <c r="F19" s="6"/>
      <c r="G19" s="5"/>
      <c r="H19" s="6"/>
      <c r="I19" s="7">
        <f>D19/40</f>
        <v>4.5750000000000002</v>
      </c>
    </row>
    <row r="20" spans="1:9">
      <c r="A20" s="11"/>
      <c r="B20" s="14" t="s">
        <v>1488</v>
      </c>
      <c r="C20" s="6"/>
      <c r="D20" s="6"/>
      <c r="E20" s="1"/>
      <c r="F20" s="6"/>
      <c r="G20" s="5"/>
      <c r="H20" s="6"/>
      <c r="I20" s="7">
        <v>2</v>
      </c>
    </row>
    <row r="21" spans="1:9">
      <c r="A21" s="11"/>
      <c r="B21" s="14" t="s">
        <v>1681</v>
      </c>
      <c r="C21" s="6"/>
      <c r="D21" s="6"/>
      <c r="E21" s="1"/>
      <c r="F21" s="6"/>
      <c r="G21" s="5"/>
      <c r="H21" s="6"/>
      <c r="I21" s="7">
        <v>3</v>
      </c>
    </row>
    <row r="22" spans="1:9">
      <c r="A22" s="11"/>
      <c r="B22" s="14" t="s">
        <v>1685</v>
      </c>
      <c r="C22" s="6"/>
      <c r="D22" s="6"/>
      <c r="E22" s="1"/>
      <c r="F22" s="6"/>
      <c r="G22" s="5"/>
      <c r="H22" s="6"/>
      <c r="I22" s="7">
        <v>6</v>
      </c>
    </row>
    <row r="23" spans="1:9">
      <c r="A23" s="11"/>
      <c r="B23" s="14" t="s">
        <v>1707</v>
      </c>
      <c r="C23" s="6"/>
      <c r="D23" s="6"/>
      <c r="E23" s="1"/>
      <c r="F23" s="6"/>
      <c r="G23" s="5"/>
      <c r="H23" s="6"/>
      <c r="I23" s="7">
        <v>9</v>
      </c>
    </row>
    <row r="24" spans="1:9">
      <c r="A24" s="11"/>
      <c r="B24" s="14" t="s">
        <v>1833</v>
      </c>
      <c r="C24" s="6"/>
      <c r="D24" s="6"/>
      <c r="E24" s="1"/>
      <c r="F24" s="6"/>
      <c r="G24" s="5"/>
      <c r="H24" s="6"/>
      <c r="I24" s="7">
        <v>30</v>
      </c>
    </row>
    <row r="25" spans="1:9">
      <c r="A25" s="11"/>
      <c r="B25" s="14" t="s">
        <v>1839</v>
      </c>
      <c r="C25" s="6"/>
      <c r="D25" s="6"/>
      <c r="E25" s="1"/>
      <c r="F25" s="6"/>
      <c r="G25" s="5"/>
      <c r="H25" s="6"/>
      <c r="I25" s="7">
        <v>8</v>
      </c>
    </row>
    <row r="26" spans="1:9">
      <c r="A26" s="11"/>
      <c r="B26" s="14" t="s">
        <v>1663</v>
      </c>
      <c r="C26" s="6"/>
      <c r="D26" s="6"/>
      <c r="E26" s="1"/>
      <c r="F26" s="6"/>
      <c r="G26" s="5"/>
      <c r="H26" s="6"/>
      <c r="I26" s="7">
        <v>4.3</v>
      </c>
    </row>
    <row r="27" spans="1:9">
      <c r="A27" s="11"/>
      <c r="B27" s="14" t="s">
        <v>1817</v>
      </c>
      <c r="C27" s="6"/>
      <c r="D27" s="6"/>
      <c r="E27" s="1"/>
      <c r="F27" s="6"/>
      <c r="G27" s="5"/>
      <c r="H27" s="6"/>
      <c r="I27" s="7">
        <v>20</v>
      </c>
    </row>
    <row r="28" spans="1:9">
      <c r="A28" s="11"/>
      <c r="B28" s="14" t="s">
        <v>1721</v>
      </c>
      <c r="C28" s="6"/>
      <c r="D28" s="6"/>
      <c r="E28" s="1"/>
      <c r="F28" s="6"/>
      <c r="G28" s="5"/>
      <c r="H28" s="6"/>
      <c r="I28" s="7">
        <v>4.5</v>
      </c>
    </row>
    <row r="29" spans="1:9">
      <c r="A29" s="11"/>
      <c r="B29" s="14" t="s">
        <v>1721</v>
      </c>
      <c r="C29" s="6"/>
      <c r="D29" s="6"/>
      <c r="E29" s="1"/>
      <c r="F29" s="6"/>
      <c r="G29" s="5"/>
      <c r="H29" s="6"/>
      <c r="I29" s="7">
        <v>1.93</v>
      </c>
    </row>
    <row r="30" spans="1:9">
      <c r="A30" s="11"/>
      <c r="B30" s="14" t="s">
        <v>2138</v>
      </c>
      <c r="C30" s="6"/>
      <c r="D30" s="6"/>
      <c r="E30" s="1"/>
      <c r="F30" s="6"/>
      <c r="G30" s="5"/>
      <c r="H30" s="6"/>
      <c r="I30" s="7">
        <v>2.8</v>
      </c>
    </row>
    <row r="31" spans="1:9">
      <c r="A31" s="11"/>
      <c r="B31" s="14" t="s">
        <v>1728</v>
      </c>
      <c r="C31" s="6"/>
      <c r="D31" s="6"/>
      <c r="E31" s="1"/>
      <c r="F31" s="6"/>
      <c r="G31" s="5"/>
      <c r="H31" s="6"/>
      <c r="I31" s="7">
        <v>2.8</v>
      </c>
    </row>
    <row r="32" spans="1:9">
      <c r="A32" s="11"/>
      <c r="B32" s="14" t="s">
        <v>1521</v>
      </c>
      <c r="C32" s="6"/>
      <c r="D32" s="6"/>
      <c r="E32" s="1"/>
      <c r="F32" s="6"/>
      <c r="G32" s="5"/>
      <c r="H32" s="6"/>
      <c r="I32" s="7">
        <v>2.15</v>
      </c>
    </row>
    <row r="33" spans="1:9">
      <c r="A33" s="11"/>
      <c r="B33" s="14" t="s">
        <v>1708</v>
      </c>
      <c r="C33" s="6"/>
      <c r="D33" s="6"/>
      <c r="E33" s="1"/>
      <c r="F33" s="6"/>
      <c r="G33" s="5"/>
      <c r="H33" s="6"/>
      <c r="I33" s="7">
        <v>10</v>
      </c>
    </row>
    <row r="34" spans="1:9">
      <c r="A34" s="11"/>
      <c r="B34" s="14" t="s">
        <v>2005</v>
      </c>
      <c r="C34" s="6"/>
      <c r="D34" s="6"/>
      <c r="E34" s="1"/>
      <c r="F34" s="6"/>
      <c r="G34" s="5"/>
      <c r="H34" s="6"/>
      <c r="I34" s="7">
        <v>8.5</v>
      </c>
    </row>
    <row r="35" spans="1:9">
      <c r="A35" s="11"/>
      <c r="B35" s="14" t="s">
        <v>2004</v>
      </c>
      <c r="C35" s="6"/>
      <c r="D35" s="6"/>
      <c r="E35" s="1"/>
      <c r="F35" s="6"/>
      <c r="G35" s="5"/>
      <c r="H35" s="6"/>
      <c r="I35" s="7">
        <v>4</v>
      </c>
    </row>
    <row r="36" spans="1:9">
      <c r="A36" s="11"/>
      <c r="B36" s="14" t="s">
        <v>1536</v>
      </c>
      <c r="C36" s="6"/>
      <c r="D36" s="6"/>
      <c r="E36" s="1"/>
      <c r="F36" s="6"/>
      <c r="G36" s="5"/>
      <c r="H36" s="6"/>
      <c r="I36" s="7">
        <v>3.84</v>
      </c>
    </row>
    <row r="37" spans="1:9">
      <c r="A37" s="11"/>
      <c r="B37" s="14" t="s">
        <v>1587</v>
      </c>
      <c r="C37" s="6"/>
      <c r="D37" s="6"/>
      <c r="E37" s="1"/>
      <c r="F37" s="6"/>
      <c r="G37" s="5"/>
      <c r="H37" s="6"/>
      <c r="I37" s="7">
        <v>2.5</v>
      </c>
    </row>
    <row r="38" spans="1:9">
      <c r="A38" s="11"/>
      <c r="B38" s="14" t="s">
        <v>2162</v>
      </c>
      <c r="C38" s="6"/>
      <c r="D38" s="6"/>
      <c r="E38" s="1"/>
      <c r="F38" s="6"/>
      <c r="G38" s="5"/>
      <c r="H38" s="6"/>
      <c r="I38" s="7">
        <v>5.5</v>
      </c>
    </row>
    <row r="39" spans="1:9">
      <c r="A39" s="11"/>
      <c r="B39" s="14" t="s">
        <v>2727</v>
      </c>
      <c r="C39" s="6"/>
      <c r="D39" s="6"/>
      <c r="E39" s="1"/>
      <c r="F39" s="6"/>
      <c r="G39" s="5"/>
      <c r="H39" s="6"/>
      <c r="I39" s="7">
        <v>1.93</v>
      </c>
    </row>
    <row r="40" spans="1:9">
      <c r="A40" s="11"/>
      <c r="B40" s="14" t="s">
        <v>1483</v>
      </c>
      <c r="C40" s="6"/>
      <c r="D40" s="6"/>
      <c r="E40" s="1"/>
      <c r="F40" s="6"/>
      <c r="G40" s="5"/>
      <c r="H40" s="6"/>
      <c r="I40" s="7">
        <v>9.3000000000000007</v>
      </c>
    </row>
    <row r="41" spans="1:9">
      <c r="A41" s="11"/>
      <c r="B41" s="14"/>
      <c r="C41" s="6"/>
      <c r="D41" s="6"/>
      <c r="E41" s="1"/>
      <c r="F41" s="6"/>
      <c r="G41" s="5"/>
      <c r="H41" s="6"/>
      <c r="I41" s="7"/>
    </row>
    <row r="42" spans="1:9">
      <c r="A42" s="11"/>
      <c r="B42" s="14" t="s">
        <v>1471</v>
      </c>
      <c r="C42" s="6"/>
      <c r="D42" s="6"/>
      <c r="E42" s="1"/>
      <c r="F42" s="6"/>
      <c r="G42" s="5"/>
      <c r="H42" s="6"/>
      <c r="I42" s="7">
        <v>10.77</v>
      </c>
    </row>
    <row r="43" spans="1:9">
      <c r="A43" s="11">
        <v>41274</v>
      </c>
      <c r="B43" s="14" t="s">
        <v>1443</v>
      </c>
      <c r="C43" s="6"/>
      <c r="D43" s="6"/>
      <c r="E43" s="1"/>
      <c r="F43" s="6"/>
      <c r="G43" s="5"/>
      <c r="H43" s="6"/>
      <c r="I43" s="7">
        <v>2.2999999999999998</v>
      </c>
    </row>
    <row r="44" spans="1:9">
      <c r="A44" s="11">
        <v>41274</v>
      </c>
      <c r="B44" s="14" t="s">
        <v>1468</v>
      </c>
      <c r="C44" s="6"/>
      <c r="D44" s="6"/>
      <c r="E44" s="1"/>
      <c r="F44" s="6"/>
      <c r="G44" s="5"/>
      <c r="H44" s="6"/>
      <c r="I44" s="7">
        <v>2.77</v>
      </c>
    </row>
    <row r="45" spans="1:9">
      <c r="A45" s="11">
        <v>41274</v>
      </c>
      <c r="B45" s="18" t="s">
        <v>1266</v>
      </c>
      <c r="C45" s="6"/>
      <c r="D45" s="6"/>
      <c r="E45" s="1"/>
      <c r="F45" s="6"/>
      <c r="G45" s="5"/>
      <c r="H45" s="6"/>
      <c r="I45" s="7">
        <v>4</v>
      </c>
    </row>
    <row r="46" spans="1:9">
      <c r="A46" s="11">
        <v>41274</v>
      </c>
      <c r="B46" s="18" t="s">
        <v>1267</v>
      </c>
      <c r="C46" s="6"/>
      <c r="D46" s="6"/>
      <c r="E46" s="1"/>
      <c r="F46" s="6"/>
      <c r="G46" s="5"/>
      <c r="H46" s="6"/>
      <c r="I46" s="7">
        <v>4.7</v>
      </c>
    </row>
    <row r="47" spans="1:9">
      <c r="A47" s="11">
        <v>41274</v>
      </c>
      <c r="B47" s="18" t="s">
        <v>1268</v>
      </c>
      <c r="C47" s="6"/>
      <c r="D47" s="6"/>
      <c r="E47" s="1"/>
      <c r="F47" s="6"/>
      <c r="G47" s="5"/>
      <c r="H47" s="6"/>
      <c r="I47" s="7">
        <v>2.2000000000000002</v>
      </c>
    </row>
    <row r="48" spans="1:9">
      <c r="A48" s="11">
        <v>41274</v>
      </c>
      <c r="B48" s="20" t="s">
        <v>1269</v>
      </c>
      <c r="C48" s="6"/>
      <c r="D48" s="6"/>
      <c r="E48" s="1"/>
      <c r="F48" s="6"/>
      <c r="G48" s="5"/>
      <c r="H48" s="6"/>
      <c r="I48" s="7">
        <v>15.3</v>
      </c>
    </row>
    <row r="49" spans="1:9">
      <c r="A49" s="11">
        <v>41274</v>
      </c>
      <c r="B49" s="47" t="s">
        <v>1421</v>
      </c>
      <c r="C49" s="6"/>
      <c r="D49" s="6"/>
      <c r="E49" s="1"/>
      <c r="F49" s="6"/>
      <c r="G49" s="5"/>
      <c r="H49" s="6"/>
      <c r="I49" s="7">
        <v>6.8</v>
      </c>
    </row>
    <row r="50" spans="1:9">
      <c r="A50" s="11">
        <v>41274</v>
      </c>
      <c r="B50" s="26" t="s">
        <v>1270</v>
      </c>
      <c r="C50" s="6"/>
      <c r="D50" s="6"/>
      <c r="E50" s="1"/>
      <c r="F50" s="6"/>
      <c r="G50" s="5"/>
      <c r="H50" s="6"/>
      <c r="I50" s="7">
        <v>20</v>
      </c>
    </row>
    <row r="51" spans="1:9">
      <c r="A51" s="11">
        <v>41274</v>
      </c>
      <c r="B51" s="26" t="s">
        <v>1410</v>
      </c>
      <c r="C51" s="6"/>
      <c r="D51" s="6"/>
      <c r="E51" s="1"/>
      <c r="F51" s="6"/>
      <c r="G51" s="5"/>
      <c r="H51" s="6"/>
      <c r="I51" s="7">
        <v>15</v>
      </c>
    </row>
    <row r="52" spans="1:9">
      <c r="A52" s="11">
        <v>41274</v>
      </c>
      <c r="B52" s="26" t="s">
        <v>1271</v>
      </c>
      <c r="C52" s="6"/>
      <c r="D52" s="6"/>
      <c r="E52" s="1"/>
      <c r="F52" s="6"/>
      <c r="G52" s="5"/>
      <c r="H52" s="6"/>
      <c r="I52" s="7">
        <v>9</v>
      </c>
    </row>
    <row r="53" spans="1:9">
      <c r="A53" s="11">
        <v>41274</v>
      </c>
      <c r="B53" s="26" t="s">
        <v>1272</v>
      </c>
      <c r="C53" s="6"/>
      <c r="D53" s="6"/>
      <c r="E53" s="1"/>
      <c r="F53" s="6"/>
      <c r="G53" s="5"/>
      <c r="H53" s="6"/>
      <c r="I53" s="7">
        <v>15</v>
      </c>
    </row>
    <row r="54" spans="1:9">
      <c r="A54" s="11">
        <v>41274</v>
      </c>
      <c r="B54" s="26" t="s">
        <v>1273</v>
      </c>
      <c r="C54" s="6"/>
      <c r="D54" s="6"/>
      <c r="E54" s="1"/>
      <c r="F54" s="6"/>
      <c r="G54" s="5"/>
      <c r="H54" s="6"/>
      <c r="I54" s="7">
        <v>10</v>
      </c>
    </row>
    <row r="55" spans="1:9">
      <c r="A55" s="11"/>
      <c r="B55" s="26" t="s">
        <v>3157</v>
      </c>
      <c r="C55" s="297"/>
      <c r="D55" s="297"/>
      <c r="E55" s="298"/>
      <c r="F55" s="297"/>
      <c r="G55" s="299"/>
      <c r="H55" s="297"/>
      <c r="I55" s="7">
        <v>1.8</v>
      </c>
    </row>
    <row r="56" spans="1:9">
      <c r="A56" s="11"/>
      <c r="B56" s="26" t="s">
        <v>3161</v>
      </c>
      <c r="C56" s="297"/>
      <c r="D56" s="297"/>
      <c r="E56" s="298"/>
      <c r="F56" s="297"/>
      <c r="G56" s="299"/>
      <c r="H56" s="297"/>
      <c r="I56" s="7">
        <v>9.5</v>
      </c>
    </row>
    <row r="57" spans="1:9" ht="15.75">
      <c r="A57" s="12">
        <v>41080</v>
      </c>
      <c r="B57" s="300" t="s">
        <v>37</v>
      </c>
      <c r="H57">
        <v>1.6470588235294117</v>
      </c>
      <c r="I57" s="278">
        <v>1.6470588235294117</v>
      </c>
    </row>
    <row r="58" spans="1:9" ht="15.75">
      <c r="A58" s="12">
        <v>41080</v>
      </c>
      <c r="B58" s="15" t="s">
        <v>113</v>
      </c>
      <c r="H58">
        <v>1.0588235294117647</v>
      </c>
      <c r="I58" s="278">
        <v>1.0588235294117647</v>
      </c>
    </row>
    <row r="59" spans="1:9" ht="15.75">
      <c r="A59" s="12">
        <v>41080</v>
      </c>
      <c r="B59" s="15" t="s">
        <v>6</v>
      </c>
      <c r="H59">
        <v>1.7647058823529411</v>
      </c>
      <c r="I59" s="278">
        <v>1.7647058823529411</v>
      </c>
    </row>
    <row r="60" spans="1:9" ht="15.75">
      <c r="A60" s="12">
        <v>41080</v>
      </c>
      <c r="B60" s="15" t="s">
        <v>80</v>
      </c>
      <c r="H60">
        <v>0.94117647058823539</v>
      </c>
      <c r="I60" s="278">
        <v>0.94117647058823539</v>
      </c>
    </row>
    <row r="61" spans="1:9" ht="15.75">
      <c r="A61" s="12">
        <v>41080</v>
      </c>
      <c r="B61" s="15" t="s">
        <v>133</v>
      </c>
      <c r="H61">
        <v>1.7647058823529411</v>
      </c>
      <c r="I61" s="278">
        <v>1.7647058823529411</v>
      </c>
    </row>
    <row r="62" spans="1:9" ht="15.75">
      <c r="A62" s="12">
        <v>41080</v>
      </c>
      <c r="B62" s="15" t="s">
        <v>147</v>
      </c>
      <c r="H62">
        <v>2.1176470588235294</v>
      </c>
      <c r="I62" s="278">
        <v>2.1176470588235294</v>
      </c>
    </row>
    <row r="63" spans="1:9" ht="15.75">
      <c r="A63" s="12">
        <v>41080</v>
      </c>
      <c r="B63" s="14" t="s">
        <v>2816</v>
      </c>
      <c r="H63">
        <v>1.1764705882352942</v>
      </c>
      <c r="I63" s="278">
        <v>1.1764705882352942</v>
      </c>
    </row>
    <row r="64" spans="1:9" ht="15.75">
      <c r="A64" s="12">
        <v>41080</v>
      </c>
      <c r="B64" s="15" t="s">
        <v>2792</v>
      </c>
      <c r="H64">
        <v>1.6235294117647059</v>
      </c>
      <c r="I64" s="278">
        <v>1.6235294117647059</v>
      </c>
    </row>
    <row r="65" spans="1:9" ht="15.75">
      <c r="A65" s="12">
        <v>41080</v>
      </c>
      <c r="B65" s="15" t="s">
        <v>159</v>
      </c>
      <c r="H65">
        <v>3.0588235294117649</v>
      </c>
      <c r="I65" s="278">
        <v>3.0588235294117649</v>
      </c>
    </row>
    <row r="66" spans="1:9" ht="15.75">
      <c r="A66" s="12">
        <v>41080</v>
      </c>
      <c r="B66" s="15" t="s">
        <v>151</v>
      </c>
      <c r="H66">
        <v>2.4705882352941178</v>
      </c>
      <c r="I66" s="278">
        <v>2.4705882352941178</v>
      </c>
    </row>
    <row r="67" spans="1:9" ht="15.75">
      <c r="A67" s="12">
        <v>41080</v>
      </c>
      <c r="B67" s="15" t="s">
        <v>40</v>
      </c>
      <c r="H67">
        <v>1.2941176470588236</v>
      </c>
      <c r="I67" s="278">
        <v>1.2941176470588236</v>
      </c>
    </row>
    <row r="68" spans="1:9" ht="15.75">
      <c r="A68" s="12">
        <v>41080</v>
      </c>
      <c r="B68" s="15" t="s">
        <v>112</v>
      </c>
      <c r="H68">
        <v>2.2941176470588234</v>
      </c>
      <c r="I68" s="278">
        <v>2.2941176470588234</v>
      </c>
    </row>
    <row r="69" spans="1:9" ht="15.75">
      <c r="A69" s="12">
        <v>41080</v>
      </c>
      <c r="B69" s="15" t="s">
        <v>128</v>
      </c>
      <c r="H69">
        <v>0.94117647058823539</v>
      </c>
      <c r="I69" s="278">
        <v>0.94117647058823539</v>
      </c>
    </row>
    <row r="70" spans="1:9" ht="15.75">
      <c r="A70" s="12">
        <v>41080</v>
      </c>
      <c r="B70" s="15" t="s">
        <v>136</v>
      </c>
      <c r="H70">
        <v>0.88235294117647056</v>
      </c>
      <c r="I70" s="278">
        <v>0.88235294117647056</v>
      </c>
    </row>
    <row r="71" spans="1:9" ht="15.75">
      <c r="A71" s="12">
        <v>41080</v>
      </c>
      <c r="B71" s="15" t="s">
        <v>124</v>
      </c>
      <c r="H71">
        <v>3.4117647058823528</v>
      </c>
      <c r="I71" s="278">
        <v>3.4117647058823528</v>
      </c>
    </row>
    <row r="72" spans="1:9" ht="15.75">
      <c r="A72" s="12">
        <v>41080</v>
      </c>
      <c r="B72" s="15" t="s">
        <v>160</v>
      </c>
      <c r="H72">
        <v>4.2352941176470589</v>
      </c>
      <c r="I72" s="278">
        <v>4.2352941176470589</v>
      </c>
    </row>
    <row r="73" spans="1:9" ht="15.75">
      <c r="A73" s="12">
        <v>41080</v>
      </c>
      <c r="B73" s="15" t="s">
        <v>109</v>
      </c>
      <c r="H73">
        <v>1.2941176470588236</v>
      </c>
      <c r="I73" s="278">
        <v>1.2941176470588236</v>
      </c>
    </row>
    <row r="74" spans="1:9" ht="15.75">
      <c r="A74" s="12">
        <v>41080</v>
      </c>
      <c r="B74" s="15" t="s">
        <v>72</v>
      </c>
      <c r="H74">
        <v>1.1176470588235294</v>
      </c>
      <c r="I74" s="278">
        <v>1.1176470588235294</v>
      </c>
    </row>
    <row r="75" spans="1:9" ht="15.75">
      <c r="A75" s="12">
        <v>41080</v>
      </c>
      <c r="B75" s="15" t="s">
        <v>46</v>
      </c>
      <c r="H75">
        <v>2.5882352941176472</v>
      </c>
      <c r="I75" s="278">
        <v>2.5882352941176472</v>
      </c>
    </row>
    <row r="76" spans="1:9" ht="15.75">
      <c r="A76" s="12">
        <v>41080</v>
      </c>
      <c r="B76" s="15" t="s">
        <v>33</v>
      </c>
      <c r="H76">
        <v>1.7647058823529411</v>
      </c>
      <c r="I76" s="278">
        <v>1.7647058823529411</v>
      </c>
    </row>
    <row r="77" spans="1:9" ht="15.75">
      <c r="A77" s="12">
        <v>41080</v>
      </c>
      <c r="B77" s="15" t="s">
        <v>14</v>
      </c>
      <c r="H77">
        <v>2.2352941176470589</v>
      </c>
      <c r="I77" s="278">
        <v>2.2352941176470589</v>
      </c>
    </row>
    <row r="78" spans="1:9" ht="15.75">
      <c r="A78" s="12">
        <v>41080</v>
      </c>
      <c r="B78" s="15" t="s">
        <v>1</v>
      </c>
      <c r="H78">
        <v>2.1176470588235294</v>
      </c>
      <c r="I78" s="278">
        <v>2.1176470588235294</v>
      </c>
    </row>
    <row r="79" spans="1:9" ht="15.75">
      <c r="A79" s="12">
        <v>41080</v>
      </c>
      <c r="B79" s="15" t="s">
        <v>43</v>
      </c>
      <c r="H79">
        <v>2.1176470588235294</v>
      </c>
      <c r="I79" s="278">
        <v>2.1176470588235294</v>
      </c>
    </row>
    <row r="80" spans="1:9" ht="15.75">
      <c r="A80" s="12">
        <v>41080</v>
      </c>
      <c r="B80" s="15" t="s">
        <v>35</v>
      </c>
      <c r="H80">
        <v>1.6470588235294117</v>
      </c>
      <c r="I80" s="278">
        <v>1.6470588235294117</v>
      </c>
    </row>
    <row r="81" spans="1:9" ht="15.75">
      <c r="A81" s="12">
        <v>41080</v>
      </c>
      <c r="B81" s="15" t="s">
        <v>38</v>
      </c>
      <c r="H81">
        <v>1.6470588235294117</v>
      </c>
      <c r="I81" s="278">
        <v>1.6470588235294117</v>
      </c>
    </row>
    <row r="82" spans="1:9" ht="15.75">
      <c r="A82" s="12">
        <v>41080</v>
      </c>
      <c r="B82" s="15" t="s">
        <v>36</v>
      </c>
      <c r="H82">
        <v>8.3529411764705888</v>
      </c>
      <c r="I82" s="278">
        <v>8.3529411764705888</v>
      </c>
    </row>
    <row r="83" spans="1:9" ht="15.75">
      <c r="A83" s="12">
        <v>41080</v>
      </c>
      <c r="B83" s="15" t="s">
        <v>44</v>
      </c>
      <c r="H83">
        <v>2.7058823529411762</v>
      </c>
      <c r="I83" s="278">
        <v>2.7058823529411762</v>
      </c>
    </row>
    <row r="84" spans="1:9" ht="15.75">
      <c r="A84" s="12">
        <v>41080</v>
      </c>
      <c r="B84" s="15" t="s">
        <v>31</v>
      </c>
      <c r="H84">
        <v>2.882352941176471</v>
      </c>
      <c r="I84" s="278">
        <v>2.882352941176471</v>
      </c>
    </row>
    <row r="85" spans="1:9" ht="15.75">
      <c r="A85" s="12">
        <v>41080</v>
      </c>
      <c r="B85" s="15" t="s">
        <v>2817</v>
      </c>
      <c r="H85">
        <v>2.9411764705882355</v>
      </c>
      <c r="I85" s="278">
        <v>2.9411764705882355</v>
      </c>
    </row>
    <row r="86" spans="1:9" ht="15.75">
      <c r="A86" s="12">
        <v>41080</v>
      </c>
      <c r="B86" s="15" t="s">
        <v>2818</v>
      </c>
      <c r="H86">
        <v>2.7058823529411762</v>
      </c>
      <c r="I86" s="278">
        <v>2.7058823529411762</v>
      </c>
    </row>
    <row r="87" spans="1:9" ht="15.75">
      <c r="A87" s="12">
        <v>41080</v>
      </c>
      <c r="B87" s="15" t="s">
        <v>161</v>
      </c>
      <c r="H87">
        <v>1.1764705882352942</v>
      </c>
      <c r="I87" s="278">
        <v>1.1764705882352942</v>
      </c>
    </row>
    <row r="88" spans="1:9" ht="15.75">
      <c r="A88" s="12">
        <v>41080</v>
      </c>
      <c r="B88" s="15" t="s">
        <v>162</v>
      </c>
      <c r="H88">
        <v>1.2941176470588236</v>
      </c>
      <c r="I88" s="278">
        <v>1.2941176470588236</v>
      </c>
    </row>
    <row r="89" spans="1:9" ht="15.75">
      <c r="A89" s="12">
        <v>41080</v>
      </c>
      <c r="B89" s="15" t="s">
        <v>45</v>
      </c>
      <c r="H89">
        <v>1.2941176470588236</v>
      </c>
      <c r="I89" s="278">
        <v>1.2941176470588236</v>
      </c>
    </row>
    <row r="90" spans="1:9" ht="15.75">
      <c r="A90" s="12">
        <v>41080</v>
      </c>
      <c r="B90" s="195" t="s">
        <v>163</v>
      </c>
      <c r="H90">
        <v>6</v>
      </c>
      <c r="I90" s="278">
        <v>6</v>
      </c>
    </row>
    <row r="91" spans="1:9" ht="15.75">
      <c r="A91" s="12">
        <v>41080</v>
      </c>
      <c r="B91" s="15" t="s">
        <v>164</v>
      </c>
      <c r="H91">
        <v>5.0588235294117645</v>
      </c>
      <c r="I91" s="278">
        <v>5.0588235294117645</v>
      </c>
    </row>
    <row r="92" spans="1:9" ht="15.75">
      <c r="A92" s="12">
        <v>41080</v>
      </c>
      <c r="B92" s="15" t="s">
        <v>39</v>
      </c>
      <c r="H92">
        <v>3.2941176470588234</v>
      </c>
      <c r="I92" s="278">
        <v>3.2941176470588234</v>
      </c>
    </row>
    <row r="93" spans="1:9" ht="15.75">
      <c r="A93" s="12">
        <v>41080</v>
      </c>
      <c r="B93" s="15" t="s">
        <v>165</v>
      </c>
      <c r="H93">
        <v>1.8823529411764708</v>
      </c>
      <c r="I93" s="278">
        <v>1.8823529411764708</v>
      </c>
    </row>
    <row r="94" spans="1:9" ht="15.75">
      <c r="A94" s="12">
        <v>41080</v>
      </c>
      <c r="B94" s="15" t="s">
        <v>146</v>
      </c>
      <c r="H94">
        <v>0.70588235294117652</v>
      </c>
      <c r="I94" s="278">
        <v>0.70588235294117652</v>
      </c>
    </row>
    <row r="95" spans="1:9" ht="15.75">
      <c r="A95" s="12">
        <v>41080</v>
      </c>
      <c r="B95" s="15" t="s">
        <v>148</v>
      </c>
      <c r="H95">
        <v>1.1764705882352942</v>
      </c>
      <c r="I95" s="278">
        <v>1.1764705882352942</v>
      </c>
    </row>
    <row r="96" spans="1:9" ht="15.75">
      <c r="A96" s="12">
        <v>41080</v>
      </c>
      <c r="B96" s="15" t="s">
        <v>32</v>
      </c>
      <c r="H96">
        <v>0.70588235294117652</v>
      </c>
      <c r="I96" s="278">
        <v>0.70588235294117652</v>
      </c>
    </row>
    <row r="97" spans="1:9" ht="15.75">
      <c r="A97" s="12">
        <v>41080</v>
      </c>
      <c r="B97" s="15" t="s">
        <v>115</v>
      </c>
      <c r="H97">
        <v>4.2352941176470589</v>
      </c>
      <c r="I97" s="278">
        <v>4.2352941176470589</v>
      </c>
    </row>
    <row r="98" spans="1:9" ht="15.75">
      <c r="A98" s="12">
        <v>41080</v>
      </c>
      <c r="B98" s="15" t="s">
        <v>166</v>
      </c>
      <c r="H98">
        <v>6</v>
      </c>
      <c r="I98" s="278">
        <v>6</v>
      </c>
    </row>
    <row r="99" spans="1:9" ht="15.75">
      <c r="A99" s="12">
        <v>41080</v>
      </c>
      <c r="B99" s="15" t="s">
        <v>90</v>
      </c>
      <c r="H99">
        <v>6.5882352941176467</v>
      </c>
      <c r="I99" s="278">
        <v>6.5882352941176467</v>
      </c>
    </row>
    <row r="100" spans="1:9" ht="15.75">
      <c r="A100" s="12">
        <v>41080</v>
      </c>
      <c r="B100" s="15" t="s">
        <v>106</v>
      </c>
      <c r="H100">
        <v>7.1764705882352935</v>
      </c>
      <c r="I100" s="278">
        <v>7.1764705882352935</v>
      </c>
    </row>
    <row r="101" spans="1:9" ht="15.75">
      <c r="A101" s="12">
        <v>41080</v>
      </c>
      <c r="B101" s="15" t="s">
        <v>167</v>
      </c>
      <c r="H101">
        <v>4.2352941176470589</v>
      </c>
      <c r="I101" s="278">
        <v>4.2352941176470589</v>
      </c>
    </row>
    <row r="102" spans="1:9" ht="15.75">
      <c r="A102" s="12">
        <v>41080</v>
      </c>
      <c r="B102" s="15" t="s">
        <v>83</v>
      </c>
      <c r="H102">
        <v>2.3529411764705883</v>
      </c>
      <c r="I102" s="278">
        <v>2.3529411764705883</v>
      </c>
    </row>
    <row r="103" spans="1:9" ht="15.75">
      <c r="A103" s="12">
        <v>41080</v>
      </c>
      <c r="B103" s="195" t="s">
        <v>168</v>
      </c>
      <c r="H103">
        <v>7.0588235294117645</v>
      </c>
      <c r="I103" s="278">
        <v>7.0588235294117645</v>
      </c>
    </row>
    <row r="104" spans="1:9" ht="15.75">
      <c r="A104" s="12">
        <v>41080</v>
      </c>
      <c r="B104" s="195" t="s">
        <v>105</v>
      </c>
      <c r="H104">
        <v>11.764705882352942</v>
      </c>
      <c r="I104" s="278">
        <v>11.764705882352942</v>
      </c>
    </row>
    <row r="105" spans="1:9" ht="15.75">
      <c r="A105" s="12">
        <v>41080</v>
      </c>
      <c r="B105" s="195" t="s">
        <v>169</v>
      </c>
      <c r="H105">
        <v>11.764705882352942</v>
      </c>
      <c r="I105" s="278">
        <v>11.764705882352942</v>
      </c>
    </row>
    <row r="106" spans="1:9" ht="15.75">
      <c r="A106" s="12">
        <v>41080</v>
      </c>
      <c r="B106" s="195" t="s">
        <v>84</v>
      </c>
      <c r="H106">
        <v>5.882352941176471</v>
      </c>
      <c r="I106" s="278">
        <v>5.882352941176471</v>
      </c>
    </row>
    <row r="107" spans="1:9" ht="15.75">
      <c r="A107" s="12">
        <v>41080</v>
      </c>
      <c r="B107" s="195" t="s">
        <v>63</v>
      </c>
      <c r="H107">
        <v>11.764705882352942</v>
      </c>
      <c r="I107" s="278">
        <v>11.764705882352942</v>
      </c>
    </row>
    <row r="108" spans="1:9" ht="15.75">
      <c r="A108" s="12">
        <v>41080</v>
      </c>
      <c r="B108" s="195" t="s">
        <v>2819</v>
      </c>
      <c r="H108">
        <v>9.4117647058823533</v>
      </c>
      <c r="I108" s="278">
        <v>9.4117647058823533</v>
      </c>
    </row>
    <row r="109" spans="1:9" ht="15.75">
      <c r="A109" s="12">
        <v>41080</v>
      </c>
      <c r="B109" s="15" t="s">
        <v>145</v>
      </c>
      <c r="H109">
        <v>4.2352941176470589</v>
      </c>
      <c r="I109" s="278">
        <v>4.2352941176470589</v>
      </c>
    </row>
    <row r="110" spans="1:9" ht="15.75">
      <c r="A110" s="12">
        <v>41080</v>
      </c>
      <c r="B110" s="15" t="s">
        <v>130</v>
      </c>
      <c r="H110">
        <v>0.94117647058823539</v>
      </c>
      <c r="I110" s="278">
        <v>0.94117647058823539</v>
      </c>
    </row>
    <row r="111" spans="1:9" ht="15.75">
      <c r="A111" s="12">
        <v>41080</v>
      </c>
      <c r="B111" s="15" t="s">
        <v>131</v>
      </c>
      <c r="H111">
        <v>0.88235294117647056</v>
      </c>
      <c r="I111" s="278">
        <v>0.88235294117647056</v>
      </c>
    </row>
    <row r="112" spans="1:9" ht="15.75">
      <c r="A112" s="12">
        <v>41080</v>
      </c>
      <c r="B112" s="15" t="s">
        <v>129</v>
      </c>
      <c r="H112">
        <v>1</v>
      </c>
      <c r="I112" s="278">
        <v>1</v>
      </c>
    </row>
    <row r="113" spans="1:9" ht="15.75">
      <c r="A113" s="12">
        <v>41080</v>
      </c>
      <c r="B113" s="15" t="s">
        <v>141</v>
      </c>
      <c r="H113">
        <v>1.5294117647058825</v>
      </c>
      <c r="I113" s="278">
        <v>1.5294117647058825</v>
      </c>
    </row>
    <row r="114" spans="1:9" ht="15.75">
      <c r="A114" s="12">
        <v>41080</v>
      </c>
      <c r="B114" s="15" t="s">
        <v>47</v>
      </c>
      <c r="H114">
        <v>0.94117647058823539</v>
      </c>
      <c r="I114" s="278">
        <v>0.94117647058823539</v>
      </c>
    </row>
    <row r="115" spans="1:9" ht="15.75">
      <c r="A115" s="12">
        <v>41080</v>
      </c>
      <c r="B115" s="15" t="s">
        <v>0</v>
      </c>
      <c r="H115">
        <v>2.1176470588235294</v>
      </c>
      <c r="I115" s="278">
        <v>2.1176470588235294</v>
      </c>
    </row>
    <row r="116" spans="1:9" ht="15.75">
      <c r="A116" s="12">
        <v>41080</v>
      </c>
      <c r="B116" s="15" t="s">
        <v>138</v>
      </c>
      <c r="H116">
        <v>1.5294117647058825</v>
      </c>
      <c r="I116" s="278">
        <v>1.5294117647058825</v>
      </c>
    </row>
    <row r="117" spans="1:9" ht="15.75">
      <c r="A117" s="12">
        <v>41080</v>
      </c>
      <c r="B117" s="15" t="s">
        <v>132</v>
      </c>
      <c r="H117">
        <v>0.76470588235294124</v>
      </c>
      <c r="I117" s="278">
        <v>0.76470588235294124</v>
      </c>
    </row>
    <row r="118" spans="1:9" ht="15.75">
      <c r="A118" s="12">
        <v>41080</v>
      </c>
      <c r="B118" s="15" t="s">
        <v>34</v>
      </c>
      <c r="H118">
        <v>2.2352941176470589</v>
      </c>
      <c r="I118" s="278">
        <v>2.2352941176470589</v>
      </c>
    </row>
    <row r="119" spans="1:9" ht="15.75">
      <c r="A119" s="12">
        <v>41080</v>
      </c>
      <c r="B119" s="15" t="s">
        <v>170</v>
      </c>
      <c r="H119">
        <v>2.2352941176470589</v>
      </c>
      <c r="I119" s="278">
        <v>2.2352941176470589</v>
      </c>
    </row>
    <row r="120" spans="1:9" ht="15.75">
      <c r="A120" s="12">
        <v>41080</v>
      </c>
      <c r="B120" s="15" t="s">
        <v>134</v>
      </c>
      <c r="H120">
        <v>2.2941176470588234</v>
      </c>
      <c r="I120" s="278">
        <v>2.2941176470588234</v>
      </c>
    </row>
    <row r="121" spans="1:9" ht="15.75">
      <c r="A121" s="12">
        <v>41080</v>
      </c>
      <c r="B121" s="15" t="s">
        <v>58</v>
      </c>
      <c r="H121">
        <v>2.1176470588235294</v>
      </c>
      <c r="I121" s="278">
        <v>2.1176470588235294</v>
      </c>
    </row>
    <row r="122" spans="1:9" ht="15.75">
      <c r="A122" s="12">
        <v>41080</v>
      </c>
      <c r="B122" s="15" t="s">
        <v>8</v>
      </c>
      <c r="H122">
        <v>2.1176470588235294</v>
      </c>
      <c r="I122" s="278">
        <v>2.1176470588235294</v>
      </c>
    </row>
    <row r="123" spans="1:9" ht="15.75">
      <c r="A123" s="12">
        <v>41080</v>
      </c>
      <c r="B123" s="15" t="s">
        <v>2</v>
      </c>
      <c r="H123">
        <v>4.1176470588235299</v>
      </c>
      <c r="I123" s="278">
        <v>4.1176470588235299</v>
      </c>
    </row>
    <row r="124" spans="1:9" ht="15.75">
      <c r="A124" s="12">
        <v>41080</v>
      </c>
      <c r="B124" s="15" t="s">
        <v>139</v>
      </c>
      <c r="H124">
        <v>2</v>
      </c>
      <c r="I124" s="278">
        <v>2</v>
      </c>
    </row>
    <row r="125" spans="1:9" ht="15.75">
      <c r="A125" s="12">
        <v>41080</v>
      </c>
      <c r="B125" s="15" t="s">
        <v>59</v>
      </c>
      <c r="H125">
        <v>2.1176470588235294</v>
      </c>
      <c r="I125" s="278">
        <v>2.1176470588235294</v>
      </c>
    </row>
    <row r="126" spans="1:9" ht="15.75">
      <c r="A126" s="12">
        <v>41080</v>
      </c>
      <c r="B126" s="15" t="s">
        <v>142</v>
      </c>
      <c r="H126">
        <v>3.5294117647058822</v>
      </c>
      <c r="I126" s="278">
        <v>3.5294117647058822</v>
      </c>
    </row>
    <row r="127" spans="1:9" ht="15.75">
      <c r="A127" s="12">
        <v>41080</v>
      </c>
      <c r="B127" s="15" t="s">
        <v>143</v>
      </c>
      <c r="H127">
        <v>2.3529411764705883</v>
      </c>
      <c r="I127" s="278">
        <v>2.3529411764705883</v>
      </c>
    </row>
    <row r="128" spans="1:9" ht="15.75">
      <c r="A128" s="12">
        <v>41080</v>
      </c>
      <c r="B128" s="15" t="s">
        <v>71</v>
      </c>
      <c r="H128">
        <v>2.3529411764705883</v>
      </c>
      <c r="I128" s="278">
        <v>2.3529411764705883</v>
      </c>
    </row>
    <row r="129" spans="1:9" ht="15.75">
      <c r="A129" s="12">
        <v>41080</v>
      </c>
      <c r="B129" s="15" t="s">
        <v>140</v>
      </c>
      <c r="H129">
        <v>1.7647058823529411</v>
      </c>
      <c r="I129" s="278">
        <v>1.7647058823529411</v>
      </c>
    </row>
    <row r="130" spans="1:9" ht="15.75">
      <c r="A130" s="12">
        <v>41080</v>
      </c>
      <c r="B130" s="15" t="s">
        <v>82</v>
      </c>
      <c r="H130">
        <v>1.8823529411764708</v>
      </c>
      <c r="I130" s="278">
        <v>1.8823529411764708</v>
      </c>
    </row>
    <row r="131" spans="1:9" ht="15.75">
      <c r="A131" s="12">
        <v>41080</v>
      </c>
      <c r="B131" s="15" t="s">
        <v>41</v>
      </c>
      <c r="H131">
        <v>1</v>
      </c>
      <c r="I131" s="278">
        <v>1</v>
      </c>
    </row>
    <row r="132" spans="1:9" ht="15.75">
      <c r="A132" s="12">
        <v>41080</v>
      </c>
      <c r="B132" s="15" t="s">
        <v>152</v>
      </c>
      <c r="H132">
        <v>0.94117647058823539</v>
      </c>
      <c r="I132" s="278">
        <v>0.94117647058823539</v>
      </c>
    </row>
    <row r="133" spans="1:9" ht="15.75">
      <c r="A133" s="12">
        <v>41080</v>
      </c>
      <c r="B133" s="15" t="s">
        <v>137</v>
      </c>
      <c r="H133">
        <v>2.7058823529411762</v>
      </c>
      <c r="I133" s="278">
        <v>2.7058823529411762</v>
      </c>
    </row>
    <row r="134" spans="1:9" ht="15.75">
      <c r="A134" s="12">
        <v>41080</v>
      </c>
      <c r="B134" s="15" t="s">
        <v>171</v>
      </c>
      <c r="H134">
        <v>4.4705882352941178</v>
      </c>
      <c r="I134" s="278">
        <v>4.4705882352941178</v>
      </c>
    </row>
    <row r="135" spans="1:9" ht="15.75">
      <c r="A135" s="12">
        <v>41080</v>
      </c>
      <c r="B135" s="15" t="s">
        <v>111</v>
      </c>
      <c r="H135">
        <v>17.647058823529413</v>
      </c>
      <c r="I135" s="278">
        <v>17.647058823529413</v>
      </c>
    </row>
    <row r="136" spans="1:9" ht="15.75">
      <c r="A136" s="12">
        <v>41080</v>
      </c>
      <c r="B136" s="15" t="s">
        <v>172</v>
      </c>
      <c r="H136">
        <v>14.117647058823529</v>
      </c>
      <c r="I136" s="278">
        <v>14.117647058823529</v>
      </c>
    </row>
    <row r="137" spans="1:9" ht="15.75">
      <c r="A137" s="12">
        <v>41080</v>
      </c>
      <c r="B137" s="15" t="s">
        <v>144</v>
      </c>
      <c r="H137">
        <v>4.7058823529411766</v>
      </c>
      <c r="I137" s="278">
        <v>4.7058823529411766</v>
      </c>
    </row>
    <row r="138" spans="1:9" ht="15.75">
      <c r="A138" s="12">
        <v>41080</v>
      </c>
      <c r="B138" s="15" t="s">
        <v>62</v>
      </c>
      <c r="H138">
        <v>0</v>
      </c>
      <c r="I138" s="278">
        <v>0</v>
      </c>
    </row>
    <row r="139" spans="1:9" ht="15.75">
      <c r="A139" s="12">
        <v>41080</v>
      </c>
      <c r="B139" s="15" t="s">
        <v>173</v>
      </c>
      <c r="H139">
        <v>0</v>
      </c>
      <c r="I139" s="278">
        <v>0</v>
      </c>
    </row>
    <row r="140" spans="1:9" ht="15.75">
      <c r="A140" s="12">
        <v>41080</v>
      </c>
      <c r="B140" s="15" t="s">
        <v>3</v>
      </c>
      <c r="H140">
        <v>9.4117647058823533</v>
      </c>
      <c r="I140" s="278">
        <v>9.4117647058823533</v>
      </c>
    </row>
    <row r="141" spans="1:9" ht="15.75">
      <c r="A141" s="12">
        <v>41080</v>
      </c>
      <c r="B141" s="15" t="s">
        <v>114</v>
      </c>
      <c r="H141">
        <v>3.5294117647058822</v>
      </c>
      <c r="I141" s="278">
        <v>3.5294117647058822</v>
      </c>
    </row>
    <row r="142" spans="1:9" ht="15.75">
      <c r="A142" s="12">
        <v>41080</v>
      </c>
      <c r="B142" s="15" t="s">
        <v>135</v>
      </c>
      <c r="H142">
        <v>0.94117647058823539</v>
      </c>
      <c r="I142" s="278">
        <v>0.94117647058823539</v>
      </c>
    </row>
    <row r="143" spans="1:9" ht="15.75">
      <c r="A143" s="12">
        <v>41080</v>
      </c>
      <c r="B143" s="195" t="s">
        <v>174</v>
      </c>
      <c r="H143">
        <v>0</v>
      </c>
      <c r="I143" s="278">
        <v>0</v>
      </c>
    </row>
    <row r="144" spans="1:9" ht="15.75">
      <c r="A144" s="12">
        <v>41080</v>
      </c>
      <c r="B144" s="15" t="s">
        <v>175</v>
      </c>
      <c r="H144">
        <v>2.9411764705882355</v>
      </c>
      <c r="I144" s="278">
        <v>2.9411764705882355</v>
      </c>
    </row>
    <row r="145" spans="1:9" ht="15.75">
      <c r="A145" s="12">
        <v>41080</v>
      </c>
      <c r="B145" s="15" t="s">
        <v>176</v>
      </c>
      <c r="H145">
        <v>1.7647058823529411</v>
      </c>
      <c r="I145" s="278">
        <v>1.7647058823529411</v>
      </c>
    </row>
    <row r="146" spans="1:9" ht="15.75">
      <c r="A146" s="12">
        <v>41080</v>
      </c>
      <c r="B146" s="15" t="s">
        <v>177</v>
      </c>
      <c r="H146">
        <v>3.5294117647058822</v>
      </c>
      <c r="I146" s="278">
        <v>3.5294117647058822</v>
      </c>
    </row>
    <row r="147" spans="1:9" ht="15.75">
      <c r="A147" s="12">
        <v>41080</v>
      </c>
      <c r="B147" s="15" t="s">
        <v>178</v>
      </c>
      <c r="H147">
        <v>2.3529411764705883</v>
      </c>
      <c r="I147" s="278">
        <v>2.3529411764705883</v>
      </c>
    </row>
    <row r="148" spans="1:9" ht="15.75">
      <c r="A148" s="12">
        <v>41080</v>
      </c>
      <c r="B148" s="195" t="s">
        <v>52</v>
      </c>
      <c r="H148">
        <v>11.764705882352942</v>
      </c>
      <c r="I148" s="278">
        <v>11.764705882352942</v>
      </c>
    </row>
    <row r="149" spans="1:9" ht="15.75">
      <c r="A149" s="12">
        <v>41080</v>
      </c>
      <c r="B149" s="15" t="s">
        <v>1274</v>
      </c>
      <c r="H149">
        <v>7.6470588235294121</v>
      </c>
      <c r="I149" s="278">
        <v>7.6470588235294121</v>
      </c>
    </row>
    <row r="150" spans="1:9" ht="15.75">
      <c r="A150" s="12">
        <v>41080</v>
      </c>
      <c r="B150" s="15" t="s">
        <v>2820</v>
      </c>
      <c r="H150">
        <v>7.6470588235294121</v>
      </c>
      <c r="I150" s="278">
        <v>7.6470588235294121</v>
      </c>
    </row>
    <row r="151" spans="1:9" ht="15.75">
      <c r="A151" s="12">
        <v>41080</v>
      </c>
      <c r="B151" s="15" t="s">
        <v>1275</v>
      </c>
      <c r="H151">
        <v>7.6470588235294121</v>
      </c>
      <c r="I151" s="278">
        <v>7.6470588235294121</v>
      </c>
    </row>
    <row r="152" spans="1:9" ht="15.75">
      <c r="A152" s="12">
        <v>41080</v>
      </c>
      <c r="B152" s="195" t="s">
        <v>181</v>
      </c>
      <c r="H152">
        <v>9.4117647058823533</v>
      </c>
      <c r="I152" s="278">
        <v>9.4117647058823533</v>
      </c>
    </row>
    <row r="153" spans="1:9" ht="15.75">
      <c r="A153" s="12">
        <v>41080</v>
      </c>
      <c r="B153" s="195" t="s">
        <v>66</v>
      </c>
      <c r="H153">
        <v>2.3529411764705883</v>
      </c>
      <c r="I153" s="278">
        <v>2.3529411764705883</v>
      </c>
    </row>
    <row r="154" spans="1:9" ht="15.75">
      <c r="A154" s="12">
        <v>41080</v>
      </c>
      <c r="B154" s="195" t="s">
        <v>182</v>
      </c>
      <c r="H154">
        <v>7.0588235294117645</v>
      </c>
      <c r="I154" s="278">
        <v>7.0588235294117645</v>
      </c>
    </row>
    <row r="155" spans="1:9" ht="15.75">
      <c r="A155" s="12">
        <v>41080</v>
      </c>
      <c r="B155" s="195" t="s">
        <v>2821</v>
      </c>
      <c r="H155">
        <v>11.764705882352942</v>
      </c>
      <c r="I155" s="278">
        <v>11.764705882352942</v>
      </c>
    </row>
    <row r="156" spans="1:9" ht="15.75">
      <c r="A156" s="12">
        <v>41080</v>
      </c>
      <c r="B156" s="195" t="s">
        <v>96</v>
      </c>
      <c r="H156">
        <v>7.0588235294117645</v>
      </c>
      <c r="I156" s="278">
        <v>7.0588235294117645</v>
      </c>
    </row>
    <row r="157" spans="1:9" ht="15.75">
      <c r="A157" s="12">
        <v>41080</v>
      </c>
      <c r="B157" s="195" t="s">
        <v>184</v>
      </c>
      <c r="H157">
        <v>11.764705882352942</v>
      </c>
      <c r="I157" s="278">
        <v>11.764705882352942</v>
      </c>
    </row>
    <row r="158" spans="1:9" ht="15.75">
      <c r="A158" s="12">
        <v>41080</v>
      </c>
      <c r="B158" s="195" t="s">
        <v>4</v>
      </c>
      <c r="H158">
        <v>11.764705882352942</v>
      </c>
      <c r="I158" s="278">
        <v>11.764705882352942</v>
      </c>
    </row>
    <row r="159" spans="1:9" ht="15.75">
      <c r="A159" s="12">
        <v>41080</v>
      </c>
      <c r="B159" s="195" t="s">
        <v>185</v>
      </c>
      <c r="H159">
        <v>0</v>
      </c>
      <c r="I159" s="278">
        <v>0</v>
      </c>
    </row>
    <row r="160" spans="1:9" ht="15.75">
      <c r="A160" s="12">
        <v>41080</v>
      </c>
      <c r="B160" s="195" t="s">
        <v>61</v>
      </c>
      <c r="H160">
        <v>1.1764705882352942</v>
      </c>
      <c r="I160" s="278">
        <v>1.1764705882352942</v>
      </c>
    </row>
    <row r="161" spans="1:9" ht="15.75">
      <c r="A161" s="12">
        <v>41080</v>
      </c>
      <c r="B161" s="195" t="s">
        <v>186</v>
      </c>
      <c r="H161">
        <v>5.2941176470588234</v>
      </c>
      <c r="I161" s="278">
        <v>5.2941176470588234</v>
      </c>
    </row>
    <row r="162" spans="1:9" ht="15.75">
      <c r="A162" s="12">
        <v>41080</v>
      </c>
      <c r="B162" s="195" t="s">
        <v>187</v>
      </c>
      <c r="H162">
        <v>5.882352941176471</v>
      </c>
      <c r="I162" s="278">
        <v>5.882352941176471</v>
      </c>
    </row>
    <row r="163" spans="1:9" ht="15.75">
      <c r="A163" s="12">
        <v>41080</v>
      </c>
      <c r="B163" s="195" t="s">
        <v>149</v>
      </c>
      <c r="H163">
        <v>4.1176470588235299</v>
      </c>
      <c r="I163" s="278">
        <v>4.1176470588235299</v>
      </c>
    </row>
    <row r="164" spans="1:9" ht="15.75">
      <c r="A164" s="12">
        <v>41080</v>
      </c>
      <c r="B164" s="195" t="s">
        <v>188</v>
      </c>
      <c r="H164">
        <v>4.1176470588235299</v>
      </c>
      <c r="I164" s="278">
        <v>4.1176470588235299</v>
      </c>
    </row>
    <row r="165" spans="1:9" ht="15.75">
      <c r="B165" s="16"/>
      <c r="I165" s="278"/>
    </row>
    <row r="166" spans="1:9" ht="15.75">
      <c r="A166" s="12">
        <v>41080</v>
      </c>
      <c r="B166" s="16" t="s">
        <v>2822</v>
      </c>
      <c r="H166">
        <v>18.214285714285715</v>
      </c>
      <c r="I166" s="278">
        <v>18.214285714285715</v>
      </c>
    </row>
    <row r="167" spans="1:9" ht="15.75">
      <c r="A167" s="12">
        <v>41080</v>
      </c>
      <c r="B167" s="16" t="s">
        <v>2823</v>
      </c>
      <c r="H167">
        <v>16.785714285714288</v>
      </c>
      <c r="I167" s="278">
        <v>16.785714285714288</v>
      </c>
    </row>
    <row r="168" spans="1:9" ht="15.75">
      <c r="A168" s="12">
        <v>41080</v>
      </c>
      <c r="B168" s="16" t="s">
        <v>2824</v>
      </c>
      <c r="H168">
        <v>15.142857142857144</v>
      </c>
      <c r="I168" s="278">
        <v>15.142857142857144</v>
      </c>
    </row>
    <row r="169" spans="1:9" ht="15.75">
      <c r="A169" s="12">
        <v>41080</v>
      </c>
      <c r="B169" s="16" t="s">
        <v>2825</v>
      </c>
      <c r="H169">
        <v>18.214285714285715</v>
      </c>
      <c r="I169" s="278">
        <v>18.214285714285715</v>
      </c>
    </row>
    <row r="170" spans="1:9" ht="15.75">
      <c r="A170" s="12">
        <v>41080</v>
      </c>
      <c r="B170" s="16" t="s">
        <v>2826</v>
      </c>
      <c r="H170">
        <v>15.142857142857144</v>
      </c>
      <c r="I170" s="278">
        <v>15.142857142857144</v>
      </c>
    </row>
    <row r="171" spans="1:9" ht="15.75">
      <c r="A171" s="12">
        <v>41080</v>
      </c>
      <c r="B171" s="16" t="s">
        <v>2827</v>
      </c>
      <c r="H171">
        <v>9.4285714285714288</v>
      </c>
      <c r="I171" s="278">
        <v>9.4285714285714288</v>
      </c>
    </row>
    <row r="172" spans="1:9" ht="15.75">
      <c r="A172" s="12">
        <v>41080</v>
      </c>
      <c r="B172" s="16" t="s">
        <v>2828</v>
      </c>
      <c r="H172">
        <v>10.857142857142858</v>
      </c>
      <c r="I172" s="278">
        <v>10.857142857142858</v>
      </c>
    </row>
    <row r="173" spans="1:9" ht="15.75">
      <c r="A173" s="12">
        <v>41080</v>
      </c>
      <c r="B173" s="16" t="s">
        <v>2829</v>
      </c>
      <c r="H173">
        <v>9.6428571428571441</v>
      </c>
      <c r="I173" s="278">
        <v>9.6428571428571441</v>
      </c>
    </row>
    <row r="174" spans="1:9" ht="15.75">
      <c r="A174" s="12">
        <v>41080</v>
      </c>
      <c r="B174" s="16" t="s">
        <v>2830</v>
      </c>
      <c r="H174">
        <v>19.428571428571431</v>
      </c>
      <c r="I174" s="278">
        <v>19.428571428571431</v>
      </c>
    </row>
    <row r="175" spans="1:9" ht="15.75">
      <c r="A175" s="12">
        <v>41080</v>
      </c>
      <c r="B175" s="16" t="s">
        <v>2831</v>
      </c>
      <c r="H175">
        <v>19.428571428571431</v>
      </c>
      <c r="I175" s="278">
        <v>19.428571428571431</v>
      </c>
    </row>
    <row r="176" spans="1:9" ht="15.75">
      <c r="A176" s="12">
        <v>41080</v>
      </c>
      <c r="B176" s="16" t="s">
        <v>2832</v>
      </c>
      <c r="H176">
        <v>8</v>
      </c>
      <c r="I176" s="278">
        <v>8</v>
      </c>
    </row>
    <row r="177" spans="1:9" ht="15.75">
      <c r="A177" s="12">
        <v>41080</v>
      </c>
      <c r="B177" s="16" t="s">
        <v>2833</v>
      </c>
      <c r="H177">
        <v>5.1428571428571432</v>
      </c>
      <c r="I177" s="278">
        <v>5.1428571428571432</v>
      </c>
    </row>
    <row r="178" spans="1:9" ht="15.75">
      <c r="A178" s="12">
        <v>41080</v>
      </c>
      <c r="B178" s="16" t="s">
        <v>2834</v>
      </c>
      <c r="H178">
        <v>15.714285714285715</v>
      </c>
      <c r="I178" s="278">
        <v>15.714285714285715</v>
      </c>
    </row>
    <row r="179" spans="1:9" ht="15.75">
      <c r="A179" s="12">
        <v>41080</v>
      </c>
      <c r="B179" s="16" t="s">
        <v>2835</v>
      </c>
      <c r="H179">
        <v>18.571428571428573</v>
      </c>
      <c r="I179" s="278">
        <v>18.571428571428573</v>
      </c>
    </row>
    <row r="180" spans="1:9" ht="15.75">
      <c r="A180" s="12">
        <v>41080</v>
      </c>
      <c r="B180" s="16" t="s">
        <v>50</v>
      </c>
      <c r="H180">
        <v>13.571428571428573</v>
      </c>
      <c r="I180" s="278">
        <v>13.571428571428573</v>
      </c>
    </row>
    <row r="181" spans="1:9" ht="15.75">
      <c r="A181" s="12">
        <v>41080</v>
      </c>
      <c r="B181" s="16" t="s">
        <v>48</v>
      </c>
      <c r="H181">
        <v>12.285714285714286</v>
      </c>
      <c r="I181" s="278">
        <v>12.285714285714286</v>
      </c>
    </row>
    <row r="182" spans="1:9" ht="15.75">
      <c r="A182" s="12">
        <v>41080</v>
      </c>
      <c r="B182" s="16" t="s">
        <v>189</v>
      </c>
      <c r="H182">
        <v>14.714285714285717</v>
      </c>
      <c r="I182" s="278">
        <v>14.714285714285717</v>
      </c>
    </row>
    <row r="183" spans="1:9" ht="15.75">
      <c r="A183" s="12">
        <v>41080</v>
      </c>
      <c r="B183" s="16" t="s">
        <v>190</v>
      </c>
      <c r="H183">
        <v>13</v>
      </c>
      <c r="I183" s="278">
        <v>13</v>
      </c>
    </row>
    <row r="184" spans="1:9" ht="15.75">
      <c r="A184" s="12">
        <v>41080</v>
      </c>
      <c r="B184" s="16" t="s">
        <v>191</v>
      </c>
      <c r="H184">
        <v>13.857142857142858</v>
      </c>
      <c r="I184" s="278">
        <v>13.857142857142858</v>
      </c>
    </row>
    <row r="185" spans="1:9" ht="15.75">
      <c r="A185" s="12">
        <v>41080</v>
      </c>
      <c r="B185" s="16" t="s">
        <v>192</v>
      </c>
      <c r="H185">
        <v>16.857142857142858</v>
      </c>
      <c r="I185" s="278">
        <v>16.857142857142858</v>
      </c>
    </row>
    <row r="186" spans="1:9" ht="15.75">
      <c r="A186" s="12">
        <v>41080</v>
      </c>
      <c r="B186" s="16" t="s">
        <v>193</v>
      </c>
      <c r="H186">
        <v>14.000000000000002</v>
      </c>
      <c r="I186" s="278">
        <v>14.000000000000002</v>
      </c>
    </row>
    <row r="187" spans="1:9" ht="15.75">
      <c r="A187" s="12">
        <v>41080</v>
      </c>
      <c r="B187" s="16" t="s">
        <v>194</v>
      </c>
      <c r="H187">
        <v>13.285714285714288</v>
      </c>
      <c r="I187" s="278">
        <v>13.285714285714288</v>
      </c>
    </row>
    <row r="188" spans="1:9" ht="15.75">
      <c r="A188" s="12">
        <v>41080</v>
      </c>
      <c r="B188" s="16" t="s">
        <v>195</v>
      </c>
      <c r="H188">
        <v>14.000000000000002</v>
      </c>
      <c r="I188" s="278">
        <v>14.000000000000002</v>
      </c>
    </row>
    <row r="189" spans="1:9" ht="15.75">
      <c r="A189" s="12">
        <v>41080</v>
      </c>
      <c r="B189" s="16" t="s">
        <v>196</v>
      </c>
      <c r="H189">
        <v>15.285714285714286</v>
      </c>
      <c r="I189" s="278">
        <v>15.285714285714286</v>
      </c>
    </row>
    <row r="190" spans="1:9" ht="15.75">
      <c r="A190" s="12">
        <v>41080</v>
      </c>
      <c r="B190" s="16" t="s">
        <v>197</v>
      </c>
      <c r="H190">
        <v>13.714285714285715</v>
      </c>
      <c r="I190" s="278">
        <v>13.714285714285715</v>
      </c>
    </row>
    <row r="191" spans="1:9" ht="15.75">
      <c r="A191" s="12">
        <v>41080</v>
      </c>
      <c r="B191" s="16" t="s">
        <v>198</v>
      </c>
      <c r="H191">
        <v>17.285714285714285</v>
      </c>
      <c r="I191" s="278">
        <v>17.285714285714285</v>
      </c>
    </row>
    <row r="192" spans="1:9" ht="15.75">
      <c r="A192" s="12">
        <v>41080</v>
      </c>
      <c r="B192" s="16" t="s">
        <v>199</v>
      </c>
      <c r="H192">
        <v>20.428571428571431</v>
      </c>
      <c r="I192" s="278">
        <v>20.428571428571431</v>
      </c>
    </row>
    <row r="193" spans="1:9" ht="15.75">
      <c r="A193" s="12">
        <v>41080</v>
      </c>
      <c r="B193" s="16" t="s">
        <v>200</v>
      </c>
      <c r="H193">
        <v>12.571428571428573</v>
      </c>
      <c r="I193" s="278">
        <v>12.571428571428573</v>
      </c>
    </row>
    <row r="194" spans="1:9" ht="15.75">
      <c r="A194" s="12">
        <v>41080</v>
      </c>
      <c r="B194" s="16" t="s">
        <v>201</v>
      </c>
      <c r="H194">
        <v>14.714285714285717</v>
      </c>
      <c r="I194" s="278">
        <v>14.714285714285717</v>
      </c>
    </row>
    <row r="195" spans="1:9" ht="15.75">
      <c r="A195" s="12">
        <v>41080</v>
      </c>
      <c r="B195" s="16" t="s">
        <v>202</v>
      </c>
      <c r="H195">
        <v>9.4285714285714288</v>
      </c>
      <c r="I195" s="278">
        <v>9.4285714285714288</v>
      </c>
    </row>
    <row r="196" spans="1:9" ht="15.75">
      <c r="A196" s="12">
        <v>41080</v>
      </c>
      <c r="B196" s="16" t="s">
        <v>203</v>
      </c>
      <c r="H196">
        <v>11.142857142857144</v>
      </c>
      <c r="I196" s="278">
        <v>11.142857142857144</v>
      </c>
    </row>
    <row r="197" spans="1:9" ht="15.75">
      <c r="A197" s="12">
        <v>41080</v>
      </c>
      <c r="B197" s="16" t="s">
        <v>204</v>
      </c>
      <c r="H197">
        <v>7.2857142857142856</v>
      </c>
      <c r="I197" s="278">
        <v>7.2857142857142856</v>
      </c>
    </row>
    <row r="198" spans="1:9" ht="15.75">
      <c r="A198" s="12">
        <v>41080</v>
      </c>
      <c r="B198" s="16" t="s">
        <v>205</v>
      </c>
      <c r="H198">
        <v>13</v>
      </c>
      <c r="I198" s="278">
        <v>13</v>
      </c>
    </row>
    <row r="199" spans="1:9" ht="15.75">
      <c r="A199" s="12">
        <v>41080</v>
      </c>
      <c r="B199" s="16" t="s">
        <v>206</v>
      </c>
      <c r="H199">
        <v>14.428571428571429</v>
      </c>
      <c r="I199" s="278">
        <v>14.428571428571429</v>
      </c>
    </row>
    <row r="200" spans="1:9" ht="15.75">
      <c r="A200" s="12">
        <v>41080</v>
      </c>
      <c r="B200" s="16" t="s">
        <v>207</v>
      </c>
      <c r="H200">
        <v>14.428571428571429</v>
      </c>
      <c r="I200" s="278">
        <v>14.428571428571429</v>
      </c>
    </row>
    <row r="201" spans="1:9" ht="15.75">
      <c r="A201" s="12">
        <v>41080</v>
      </c>
      <c r="B201" s="16" t="s">
        <v>2836</v>
      </c>
      <c r="H201">
        <v>25.428571428571431</v>
      </c>
      <c r="I201" s="278">
        <v>25.428571428571431</v>
      </c>
    </row>
    <row r="202" spans="1:9" ht="15.75">
      <c r="A202" s="12">
        <v>41080</v>
      </c>
      <c r="B202" s="16" t="s">
        <v>2837</v>
      </c>
      <c r="H202">
        <v>18.142857142857142</v>
      </c>
      <c r="I202" s="278">
        <v>18.142857142857142</v>
      </c>
    </row>
    <row r="203" spans="1:9" ht="15.75">
      <c r="A203" s="12">
        <v>41080</v>
      </c>
      <c r="B203" s="16" t="s">
        <v>2838</v>
      </c>
      <c r="H203">
        <v>8.1428571428571441</v>
      </c>
      <c r="I203" s="278">
        <v>8.1428571428571441</v>
      </c>
    </row>
    <row r="204" spans="1:9" ht="15.75">
      <c r="A204" s="12">
        <v>41080</v>
      </c>
      <c r="B204" s="16" t="s">
        <v>49</v>
      </c>
      <c r="H204">
        <v>12.000000000000002</v>
      </c>
      <c r="I204" s="278">
        <v>12.000000000000002</v>
      </c>
    </row>
    <row r="205" spans="1:9" ht="15.75">
      <c r="A205" s="12">
        <v>41080</v>
      </c>
      <c r="B205" s="16" t="s">
        <v>2839</v>
      </c>
      <c r="H205">
        <v>19.142857142857146</v>
      </c>
      <c r="I205" s="278">
        <v>19.142857142857146</v>
      </c>
    </row>
    <row r="206" spans="1:9" ht="15.75">
      <c r="A206" s="12">
        <v>41080</v>
      </c>
      <c r="B206" s="16" t="s">
        <v>208</v>
      </c>
      <c r="H206">
        <v>14.428571428571429</v>
      </c>
      <c r="I206" s="278">
        <v>14.428571428571429</v>
      </c>
    </row>
    <row r="207" spans="1:9" ht="15.75">
      <c r="A207" s="12">
        <v>41080</v>
      </c>
      <c r="B207" s="16" t="s">
        <v>209</v>
      </c>
      <c r="H207">
        <v>24.428571428571431</v>
      </c>
      <c r="I207" s="278">
        <v>24.428571428571431</v>
      </c>
    </row>
    <row r="208" spans="1:9" ht="15.75">
      <c r="A208" s="12">
        <v>41080</v>
      </c>
      <c r="B208" s="16" t="s">
        <v>210</v>
      </c>
      <c r="H208">
        <v>4.4285714285714288</v>
      </c>
      <c r="I208" s="278">
        <v>4.4285714285714288</v>
      </c>
    </row>
    <row r="209" spans="1:9" ht="15.75">
      <c r="A209" s="12">
        <v>41080</v>
      </c>
      <c r="B209" s="16" t="s">
        <v>211</v>
      </c>
      <c r="H209">
        <v>11.285714285714286</v>
      </c>
      <c r="I209" s="278">
        <v>11.285714285714286</v>
      </c>
    </row>
    <row r="210" spans="1:9" ht="15.75">
      <c r="A210" s="12">
        <v>41080</v>
      </c>
      <c r="B210" s="16" t="s">
        <v>212</v>
      </c>
      <c r="H210">
        <v>7.5714285714285721</v>
      </c>
      <c r="I210" s="278">
        <v>7.5714285714285721</v>
      </c>
    </row>
    <row r="211" spans="1:9" ht="15.75">
      <c r="A211" s="12">
        <v>41080</v>
      </c>
      <c r="B211" s="16" t="s">
        <v>213</v>
      </c>
      <c r="H211">
        <v>12.571428571428573</v>
      </c>
      <c r="I211" s="278">
        <v>12.571428571428573</v>
      </c>
    </row>
    <row r="212" spans="1:9" ht="15.75">
      <c r="A212" s="12">
        <v>41080</v>
      </c>
      <c r="B212" s="16" t="s">
        <v>214</v>
      </c>
      <c r="H212">
        <v>15.428571428571431</v>
      </c>
      <c r="I212" s="278">
        <v>15.428571428571431</v>
      </c>
    </row>
    <row r="213" spans="1:9" ht="15.75">
      <c r="A213" s="12">
        <v>41080</v>
      </c>
      <c r="B213" s="16" t="s">
        <v>215</v>
      </c>
      <c r="H213">
        <v>30.857142857142861</v>
      </c>
      <c r="I213" s="278">
        <v>30.857142857142861</v>
      </c>
    </row>
    <row r="214" spans="1:9" ht="15.75">
      <c r="A214" s="12">
        <v>41080</v>
      </c>
      <c r="B214" s="16" t="s">
        <v>216</v>
      </c>
      <c r="H214">
        <v>17.571428571428573</v>
      </c>
      <c r="I214" s="278">
        <v>17.571428571428573</v>
      </c>
    </row>
    <row r="215" spans="1:9" ht="15.75">
      <c r="A215" s="12">
        <v>41080</v>
      </c>
      <c r="B215" s="16" t="s">
        <v>217</v>
      </c>
      <c r="H215">
        <v>14.142857142857144</v>
      </c>
      <c r="I215" s="278">
        <v>14.142857142857144</v>
      </c>
    </row>
    <row r="216" spans="1:9" ht="15.75">
      <c r="A216" s="12">
        <v>41080</v>
      </c>
      <c r="B216" s="16" t="s">
        <v>218</v>
      </c>
      <c r="H216">
        <v>17.571428571428573</v>
      </c>
      <c r="I216" s="278">
        <v>17.571428571428573</v>
      </c>
    </row>
    <row r="217" spans="1:9" ht="15.75">
      <c r="A217" s="12">
        <v>41080</v>
      </c>
      <c r="B217" s="16" t="s">
        <v>219</v>
      </c>
      <c r="H217">
        <v>33.000000000000007</v>
      </c>
      <c r="I217" s="278">
        <v>33.000000000000007</v>
      </c>
    </row>
    <row r="218" spans="1:9" ht="15.75">
      <c r="A218" s="12">
        <v>41080</v>
      </c>
      <c r="B218" s="16" t="s">
        <v>220</v>
      </c>
      <c r="H218">
        <v>25.571428571428569</v>
      </c>
      <c r="I218" s="278">
        <v>25.571428571428569</v>
      </c>
    </row>
    <row r="219" spans="1:9" ht="15.75">
      <c r="A219" s="12">
        <v>41080</v>
      </c>
      <c r="B219" s="16" t="s">
        <v>5</v>
      </c>
      <c r="H219">
        <v>33.000000000000007</v>
      </c>
      <c r="I219" s="278">
        <v>33.000000000000007</v>
      </c>
    </row>
    <row r="220" spans="1:9" ht="15.75">
      <c r="A220" s="12">
        <v>41080</v>
      </c>
      <c r="B220" s="16" t="s">
        <v>103</v>
      </c>
      <c r="H220">
        <v>33.000000000000007</v>
      </c>
      <c r="I220" s="278">
        <v>33.000000000000007</v>
      </c>
    </row>
    <row r="221" spans="1:9" ht="15.75">
      <c r="A221" s="12">
        <v>41080</v>
      </c>
      <c r="B221" s="16" t="s">
        <v>221</v>
      </c>
      <c r="H221">
        <v>21.571428571428573</v>
      </c>
      <c r="I221" s="278">
        <v>21.571428571428573</v>
      </c>
    </row>
    <row r="222" spans="1:9" ht="15.75">
      <c r="A222" s="12">
        <v>41080</v>
      </c>
      <c r="B222" s="16" t="s">
        <v>222</v>
      </c>
      <c r="H222">
        <v>24.142857142857142</v>
      </c>
      <c r="I222" s="278">
        <v>24.142857142857142</v>
      </c>
    </row>
    <row r="223" spans="1:9" ht="15.75">
      <c r="A223" s="12">
        <v>41080</v>
      </c>
      <c r="B223" s="16" t="s">
        <v>223</v>
      </c>
      <c r="H223">
        <v>24.857142857142858</v>
      </c>
      <c r="I223" s="278">
        <v>24.857142857142858</v>
      </c>
    </row>
    <row r="224" spans="1:9" ht="15.75">
      <c r="A224" s="12">
        <v>41080</v>
      </c>
      <c r="B224" s="16" t="s">
        <v>224</v>
      </c>
      <c r="H224">
        <v>26.571428571428577</v>
      </c>
      <c r="I224" s="278">
        <v>26.571428571428577</v>
      </c>
    </row>
    <row r="225" spans="1:9" ht="15.75">
      <c r="A225" s="12">
        <v>41080</v>
      </c>
      <c r="B225" s="16" t="s">
        <v>225</v>
      </c>
      <c r="H225">
        <v>28.000000000000004</v>
      </c>
      <c r="I225" s="278">
        <v>28.000000000000004</v>
      </c>
    </row>
    <row r="226" spans="1:9" ht="15.75">
      <c r="A226" s="12">
        <v>41080</v>
      </c>
      <c r="B226" s="16" t="s">
        <v>226</v>
      </c>
      <c r="H226">
        <v>14.714285714285717</v>
      </c>
      <c r="I226" s="278">
        <v>14.714285714285717</v>
      </c>
    </row>
    <row r="227" spans="1:9" ht="15.75">
      <c r="A227" s="12">
        <v>41080</v>
      </c>
      <c r="B227" s="16" t="s">
        <v>156</v>
      </c>
      <c r="H227">
        <v>2.7142857142857144</v>
      </c>
      <c r="I227" s="278">
        <v>2.7142857142857144</v>
      </c>
    </row>
    <row r="228" spans="1:9" ht="15.75">
      <c r="A228" s="12">
        <v>41080</v>
      </c>
      <c r="B228" s="16" t="s">
        <v>227</v>
      </c>
      <c r="H228">
        <v>24.142857142857142</v>
      </c>
      <c r="I228" s="278">
        <v>24.142857142857142</v>
      </c>
    </row>
    <row r="229" spans="1:9" ht="15.75">
      <c r="A229" s="12">
        <v>41080</v>
      </c>
      <c r="B229" s="16" t="s">
        <v>228</v>
      </c>
      <c r="H229">
        <v>11.285714285714286</v>
      </c>
      <c r="I229" s="278">
        <v>11.285714285714286</v>
      </c>
    </row>
    <row r="230" spans="1:9" ht="15.75">
      <c r="A230" s="12">
        <v>41080</v>
      </c>
      <c r="B230" s="16" t="s">
        <v>57</v>
      </c>
      <c r="H230">
        <v>18</v>
      </c>
      <c r="I230" s="278">
        <v>18</v>
      </c>
    </row>
    <row r="231" spans="1:9" ht="15.75">
      <c r="A231" s="12">
        <v>41080</v>
      </c>
      <c r="B231" s="16" t="s">
        <v>229</v>
      </c>
      <c r="H231">
        <v>9.8571428571428577</v>
      </c>
      <c r="I231" s="278">
        <v>9.8571428571428577</v>
      </c>
    </row>
    <row r="232" spans="1:9" ht="15.75">
      <c r="A232" s="12">
        <v>41080</v>
      </c>
      <c r="B232" s="16" t="s">
        <v>230</v>
      </c>
      <c r="H232">
        <v>12.285714285714286</v>
      </c>
      <c r="I232" s="278">
        <v>12.285714285714286</v>
      </c>
    </row>
    <row r="233" spans="1:9" ht="15.75">
      <c r="A233" s="12">
        <v>41080</v>
      </c>
      <c r="B233" s="16" t="s">
        <v>231</v>
      </c>
      <c r="H233">
        <v>6.1428571428571432</v>
      </c>
      <c r="I233" s="278">
        <v>6.1428571428571432</v>
      </c>
    </row>
    <row r="234" spans="1:9" ht="15.75">
      <c r="A234" s="12">
        <v>41080</v>
      </c>
      <c r="B234" s="16" t="s">
        <v>232</v>
      </c>
      <c r="H234">
        <v>22.714285714285715</v>
      </c>
      <c r="I234" s="278">
        <v>22.714285714285715</v>
      </c>
    </row>
    <row r="235" spans="1:9" ht="15.75">
      <c r="A235" s="12">
        <v>41080</v>
      </c>
      <c r="B235" s="16" t="s">
        <v>233</v>
      </c>
      <c r="H235">
        <v>23.714285714285719</v>
      </c>
      <c r="I235" s="278">
        <v>23.714285714285719</v>
      </c>
    </row>
    <row r="236" spans="1:9" ht="15.75">
      <c r="A236" s="12">
        <v>41080</v>
      </c>
      <c r="B236" s="16" t="s">
        <v>234</v>
      </c>
      <c r="H236">
        <v>21.857142857142861</v>
      </c>
      <c r="I236" s="278">
        <v>21.857142857142861</v>
      </c>
    </row>
    <row r="237" spans="1:9" ht="15.75">
      <c r="A237" s="12">
        <v>41080</v>
      </c>
      <c r="B237" s="16" t="s">
        <v>235</v>
      </c>
      <c r="H237">
        <v>34.714285714285715</v>
      </c>
      <c r="I237" s="278">
        <v>34.714285714285715</v>
      </c>
    </row>
    <row r="238" spans="1:9" ht="15.75">
      <c r="A238" s="12">
        <v>41080</v>
      </c>
      <c r="B238" s="16" t="s">
        <v>236</v>
      </c>
      <c r="H238">
        <v>33.285714285714292</v>
      </c>
      <c r="I238" s="278">
        <v>33.285714285714292</v>
      </c>
    </row>
    <row r="239" spans="1:9" ht="15.75">
      <c r="A239" s="12">
        <v>41080</v>
      </c>
      <c r="B239" s="16" t="s">
        <v>104</v>
      </c>
      <c r="H239">
        <v>24.714285714285715</v>
      </c>
      <c r="I239" s="278">
        <v>24.714285714285715</v>
      </c>
    </row>
    <row r="240" spans="1:9" ht="15.75">
      <c r="A240" s="12">
        <v>41080</v>
      </c>
      <c r="B240" s="16" t="s">
        <v>86</v>
      </c>
      <c r="H240">
        <v>24.714285714285715</v>
      </c>
      <c r="I240" s="278">
        <v>24.714285714285715</v>
      </c>
    </row>
    <row r="241" spans="1:9" ht="15.75">
      <c r="A241" s="12">
        <v>41080</v>
      </c>
      <c r="B241" s="16" t="s">
        <v>237</v>
      </c>
      <c r="H241">
        <v>19.857142857142858</v>
      </c>
      <c r="I241" s="278">
        <v>19.857142857142858</v>
      </c>
    </row>
    <row r="242" spans="1:9" ht="15.75">
      <c r="A242" s="12">
        <v>41080</v>
      </c>
      <c r="B242" s="16" t="s">
        <v>238</v>
      </c>
      <c r="H242">
        <v>12.285714285714286</v>
      </c>
      <c r="I242" s="278">
        <v>12.285714285714286</v>
      </c>
    </row>
    <row r="243" spans="1:9" ht="15.75">
      <c r="A243" s="12">
        <v>41080</v>
      </c>
      <c r="B243" s="16" t="s">
        <v>157</v>
      </c>
      <c r="H243">
        <v>19.428571428571431</v>
      </c>
      <c r="I243" s="278">
        <v>19.428571428571431</v>
      </c>
    </row>
    <row r="244" spans="1:9" ht="15.75">
      <c r="A244" s="12">
        <v>41080</v>
      </c>
      <c r="B244" s="16" t="s">
        <v>239</v>
      </c>
      <c r="H244">
        <v>33.285714285714292</v>
      </c>
      <c r="I244" s="278">
        <v>33.285714285714292</v>
      </c>
    </row>
    <row r="245" spans="1:9" ht="15.75">
      <c r="A245" s="12">
        <v>41080</v>
      </c>
      <c r="B245" s="16" t="s">
        <v>240</v>
      </c>
      <c r="H245">
        <v>12.285714285714286</v>
      </c>
      <c r="I245" s="278">
        <v>12.285714285714286</v>
      </c>
    </row>
    <row r="246" spans="1:9" ht="15.75">
      <c r="A246" s="12">
        <v>41080</v>
      </c>
      <c r="B246" s="16" t="s">
        <v>241</v>
      </c>
      <c r="H246">
        <v>8.4285714285714288</v>
      </c>
      <c r="I246" s="278">
        <v>8.4285714285714288</v>
      </c>
    </row>
    <row r="247" spans="1:9" ht="15.75">
      <c r="A247" s="12">
        <v>41080</v>
      </c>
      <c r="B247" s="16" t="s">
        <v>242</v>
      </c>
      <c r="H247">
        <v>13.714285714285715</v>
      </c>
      <c r="I247" s="278">
        <v>13.714285714285715</v>
      </c>
    </row>
    <row r="248" spans="1:9" ht="15.75">
      <c r="A248" s="12">
        <v>41080</v>
      </c>
      <c r="B248" s="16" t="s">
        <v>243</v>
      </c>
      <c r="H248">
        <v>13</v>
      </c>
      <c r="I248" s="278">
        <v>13</v>
      </c>
    </row>
    <row r="249" spans="1:9" ht="15.75">
      <c r="A249" s="12">
        <v>41080</v>
      </c>
      <c r="B249" s="16" t="s">
        <v>244</v>
      </c>
      <c r="H249">
        <v>10.857142857142858</v>
      </c>
      <c r="I249" s="278">
        <v>10.857142857142858</v>
      </c>
    </row>
    <row r="250" spans="1:9" ht="15.75">
      <c r="A250" s="12">
        <v>41080</v>
      </c>
      <c r="B250" s="16" t="s">
        <v>99</v>
      </c>
      <c r="H250">
        <v>10.857142857142858</v>
      </c>
      <c r="I250" s="278">
        <v>10.857142857142858</v>
      </c>
    </row>
    <row r="251" spans="1:9" ht="15.75">
      <c r="A251" s="12">
        <v>41080</v>
      </c>
      <c r="B251" s="16" t="s">
        <v>245</v>
      </c>
      <c r="H251">
        <v>11.571428571428571</v>
      </c>
      <c r="I251" s="278">
        <v>11.571428571428571</v>
      </c>
    </row>
    <row r="252" spans="1:9" ht="15.75">
      <c r="A252" s="12">
        <v>41080</v>
      </c>
      <c r="B252" s="16" t="s">
        <v>246</v>
      </c>
      <c r="H252">
        <v>7.2857142857142856</v>
      </c>
      <c r="I252" s="278">
        <v>7.2857142857142856</v>
      </c>
    </row>
    <row r="253" spans="1:9" ht="15.75">
      <c r="A253" s="12">
        <v>41080</v>
      </c>
      <c r="B253" s="16" t="s">
        <v>153</v>
      </c>
      <c r="H253">
        <v>9.2857142857142865</v>
      </c>
      <c r="I253" s="278">
        <v>9.2857142857142865</v>
      </c>
    </row>
    <row r="254" spans="1:9" ht="15.75">
      <c r="A254" s="12">
        <v>41080</v>
      </c>
      <c r="B254" s="16" t="s">
        <v>247</v>
      </c>
      <c r="H254">
        <v>3.0000000000000004</v>
      </c>
      <c r="I254" s="278">
        <v>3.0000000000000004</v>
      </c>
    </row>
    <row r="255" spans="1:9" ht="15.75">
      <c r="A255" s="12">
        <v>41080</v>
      </c>
      <c r="B255" s="16" t="s">
        <v>248</v>
      </c>
      <c r="H255">
        <v>11.285714285714286</v>
      </c>
      <c r="I255" s="278">
        <v>11.285714285714286</v>
      </c>
    </row>
    <row r="256" spans="1:9" ht="15.75">
      <c r="A256" s="12">
        <v>41080</v>
      </c>
      <c r="B256" s="16" t="s">
        <v>249</v>
      </c>
      <c r="H256">
        <v>10.142857142857142</v>
      </c>
      <c r="I256" s="278">
        <v>10.142857142857142</v>
      </c>
    </row>
    <row r="257" spans="1:9" ht="15.75">
      <c r="A257" s="12">
        <v>41080</v>
      </c>
      <c r="B257" s="16" t="s">
        <v>250</v>
      </c>
      <c r="H257">
        <v>9.4285714285714288</v>
      </c>
      <c r="I257" s="278">
        <v>9.4285714285714288</v>
      </c>
    </row>
    <row r="258" spans="1:9" ht="15.75">
      <c r="A258" s="12">
        <v>41080</v>
      </c>
      <c r="B258" s="16" t="s">
        <v>251</v>
      </c>
      <c r="H258">
        <v>10.857142857142858</v>
      </c>
      <c r="I258" s="278">
        <v>10.857142857142858</v>
      </c>
    </row>
    <row r="259" spans="1:9" ht="15.75">
      <c r="A259" s="12">
        <v>41080</v>
      </c>
      <c r="B259" s="16" t="s">
        <v>252</v>
      </c>
      <c r="H259">
        <v>9.2857142857142865</v>
      </c>
      <c r="I259" s="278">
        <v>9.2857142857142865</v>
      </c>
    </row>
    <row r="260" spans="1:9" ht="15.75">
      <c r="A260" s="12">
        <v>41080</v>
      </c>
      <c r="B260" s="16" t="s">
        <v>253</v>
      </c>
      <c r="H260">
        <v>9.2857142857142865</v>
      </c>
      <c r="I260" s="278">
        <v>9.2857142857142865</v>
      </c>
    </row>
    <row r="261" spans="1:9" ht="15.75">
      <c r="A261" s="12">
        <v>41080</v>
      </c>
      <c r="B261" s="16" t="s">
        <v>254</v>
      </c>
      <c r="H261">
        <v>11.285714285714286</v>
      </c>
      <c r="I261" s="278">
        <v>11.285714285714286</v>
      </c>
    </row>
    <row r="262" spans="1:9" ht="15.75">
      <c r="A262" s="12">
        <v>41080</v>
      </c>
      <c r="B262" s="16" t="s">
        <v>255</v>
      </c>
      <c r="H262">
        <v>15.714285714285715</v>
      </c>
      <c r="I262" s="278">
        <v>15.714285714285715</v>
      </c>
    </row>
    <row r="263" spans="1:9" ht="15.75">
      <c r="A263" s="12">
        <v>41080</v>
      </c>
      <c r="B263" s="16" t="s">
        <v>256</v>
      </c>
      <c r="H263">
        <v>23.285714285714288</v>
      </c>
      <c r="I263" s="278">
        <v>23.285714285714288</v>
      </c>
    </row>
    <row r="264" spans="1:9" ht="15.75">
      <c r="A264" s="12">
        <v>41080</v>
      </c>
      <c r="B264" s="16" t="s">
        <v>257</v>
      </c>
      <c r="H264">
        <v>22.571428571428573</v>
      </c>
      <c r="I264" s="278">
        <v>22.571428571428573</v>
      </c>
    </row>
    <row r="265" spans="1:9" ht="15.75">
      <c r="A265" s="12">
        <v>41080</v>
      </c>
      <c r="B265" s="16" t="s">
        <v>77</v>
      </c>
      <c r="H265">
        <v>14.142857142857144</v>
      </c>
      <c r="I265" s="278">
        <v>14.142857142857144</v>
      </c>
    </row>
    <row r="266" spans="1:9" ht="15.75">
      <c r="A266" s="12">
        <v>41080</v>
      </c>
      <c r="B266" s="16" t="s">
        <v>94</v>
      </c>
      <c r="H266">
        <v>8.4285714285714288</v>
      </c>
      <c r="I266" s="278">
        <v>8.4285714285714288</v>
      </c>
    </row>
    <row r="267" spans="1:9" ht="15.75">
      <c r="A267" s="12">
        <v>41080</v>
      </c>
      <c r="B267" s="16" t="s">
        <v>95</v>
      </c>
      <c r="H267">
        <v>2.7142857142857144</v>
      </c>
      <c r="I267" s="278">
        <v>2.7142857142857144</v>
      </c>
    </row>
    <row r="268" spans="1:9" ht="15.75">
      <c r="A268" s="12">
        <v>41080</v>
      </c>
      <c r="B268" s="16" t="s">
        <v>89</v>
      </c>
      <c r="H268">
        <v>11.285714285714286</v>
      </c>
      <c r="I268" s="278">
        <v>11.285714285714286</v>
      </c>
    </row>
    <row r="269" spans="1:9" ht="15.75">
      <c r="A269" s="12">
        <v>41080</v>
      </c>
      <c r="B269" s="16" t="s">
        <v>258</v>
      </c>
      <c r="H269">
        <v>11.285714285714286</v>
      </c>
      <c r="I269" s="278">
        <v>11.285714285714286</v>
      </c>
    </row>
    <row r="270" spans="1:9" ht="15.75">
      <c r="A270" s="12">
        <v>41080</v>
      </c>
      <c r="B270" s="16" t="s">
        <v>259</v>
      </c>
      <c r="H270">
        <v>5.5714285714285721</v>
      </c>
      <c r="I270" s="278">
        <v>5.5714285714285721</v>
      </c>
    </row>
    <row r="271" spans="1:9" ht="15.75">
      <c r="A271" s="12">
        <v>41080</v>
      </c>
      <c r="B271" s="16" t="s">
        <v>260</v>
      </c>
      <c r="H271">
        <v>19.428571428571431</v>
      </c>
      <c r="I271" s="278">
        <v>19.428571428571431</v>
      </c>
    </row>
    <row r="272" spans="1:9" ht="15.75">
      <c r="A272" s="12">
        <v>41080</v>
      </c>
      <c r="B272" s="16" t="s">
        <v>261</v>
      </c>
      <c r="H272">
        <v>8</v>
      </c>
      <c r="I272" s="278">
        <v>8</v>
      </c>
    </row>
    <row r="273" spans="1:9" ht="15.75">
      <c r="A273" s="12">
        <v>41080</v>
      </c>
      <c r="B273" s="16" t="s">
        <v>154</v>
      </c>
      <c r="H273">
        <v>8</v>
      </c>
      <c r="I273" s="278">
        <v>8</v>
      </c>
    </row>
    <row r="274" spans="1:9" ht="15.75">
      <c r="A274" s="12">
        <v>41080</v>
      </c>
      <c r="B274" s="16" t="s">
        <v>262</v>
      </c>
      <c r="H274">
        <v>11.000000000000002</v>
      </c>
      <c r="I274" s="278">
        <v>11.000000000000002</v>
      </c>
    </row>
    <row r="275" spans="1:9" ht="15.75">
      <c r="A275" s="12">
        <v>41080</v>
      </c>
      <c r="B275" s="16" t="s">
        <v>263</v>
      </c>
      <c r="H275">
        <v>6.5714285714285712</v>
      </c>
      <c r="I275" s="278">
        <v>6.5714285714285712</v>
      </c>
    </row>
    <row r="276" spans="1:9" ht="15.75">
      <c r="A276" s="12">
        <v>41080</v>
      </c>
      <c r="B276" s="16" t="s">
        <v>155</v>
      </c>
      <c r="H276">
        <v>6.5714285714285712</v>
      </c>
      <c r="I276" s="278">
        <v>6.5714285714285712</v>
      </c>
    </row>
    <row r="277" spans="1:9" ht="15.75">
      <c r="A277" s="12">
        <v>41080</v>
      </c>
      <c r="B277" s="16" t="s">
        <v>264</v>
      </c>
      <c r="H277">
        <v>13.285714285714288</v>
      </c>
      <c r="I277" s="278">
        <v>13.285714285714288</v>
      </c>
    </row>
    <row r="278" spans="1:9" ht="15.75">
      <c r="A278" s="12">
        <v>41080</v>
      </c>
      <c r="B278" s="16" t="s">
        <v>265</v>
      </c>
      <c r="H278">
        <v>7.8571428571428577</v>
      </c>
      <c r="I278" s="278">
        <v>7.8571428571428577</v>
      </c>
    </row>
    <row r="279" spans="1:9" ht="15.75">
      <c r="A279" s="12">
        <v>41080</v>
      </c>
      <c r="B279" s="16" t="s">
        <v>100</v>
      </c>
      <c r="H279">
        <v>7.8571428571428577</v>
      </c>
      <c r="I279" s="278">
        <v>7.8571428571428577</v>
      </c>
    </row>
    <row r="280" spans="1:9" ht="15.75">
      <c r="A280" s="12">
        <v>41080</v>
      </c>
      <c r="B280" s="16" t="s">
        <v>266</v>
      </c>
      <c r="H280">
        <v>5.7142857142857144</v>
      </c>
      <c r="I280" s="278">
        <v>5.7142857142857144</v>
      </c>
    </row>
    <row r="281" spans="1:9" ht="15.75">
      <c r="A281" s="12">
        <v>41080</v>
      </c>
      <c r="B281" s="16" t="s">
        <v>97</v>
      </c>
      <c r="H281">
        <v>7.4285714285714297</v>
      </c>
      <c r="I281" s="278">
        <v>7.4285714285714297</v>
      </c>
    </row>
    <row r="282" spans="1:9" ht="15.75">
      <c r="A282" s="12">
        <v>41080</v>
      </c>
      <c r="B282" s="16" t="s">
        <v>267</v>
      </c>
      <c r="H282">
        <v>11.857142857142859</v>
      </c>
      <c r="I282" s="278">
        <v>11.857142857142859</v>
      </c>
    </row>
    <row r="283" spans="1:9" ht="15.75">
      <c r="A283" s="12">
        <v>41080</v>
      </c>
      <c r="B283" s="16" t="s">
        <v>268</v>
      </c>
      <c r="H283">
        <v>10.571428571428573</v>
      </c>
      <c r="I283" s="278">
        <v>10.571428571428573</v>
      </c>
    </row>
    <row r="284" spans="1:9" ht="15.75">
      <c r="A284" s="12">
        <v>41080</v>
      </c>
      <c r="B284" s="16" t="s">
        <v>91</v>
      </c>
      <c r="H284">
        <v>16.285714285714288</v>
      </c>
      <c r="I284" s="278">
        <v>16.285714285714288</v>
      </c>
    </row>
    <row r="285" spans="1:9" ht="15.75">
      <c r="A285" s="12">
        <v>41080</v>
      </c>
      <c r="B285" s="16" t="s">
        <v>269</v>
      </c>
      <c r="H285">
        <v>2.7142857142857144</v>
      </c>
      <c r="I285" s="278">
        <v>2.7142857142857144</v>
      </c>
    </row>
    <row r="286" spans="1:9" ht="15.75">
      <c r="A286" s="12">
        <v>41080</v>
      </c>
      <c r="B286" s="16" t="s">
        <v>270</v>
      </c>
      <c r="H286">
        <v>9.571428571428573</v>
      </c>
      <c r="I286" s="278">
        <v>9.571428571428573</v>
      </c>
    </row>
    <row r="287" spans="1:9" ht="15.75">
      <c r="A287" s="12">
        <v>41080</v>
      </c>
      <c r="B287" s="16" t="s">
        <v>271</v>
      </c>
      <c r="H287">
        <v>9</v>
      </c>
      <c r="I287" s="278">
        <v>9</v>
      </c>
    </row>
    <row r="288" spans="1:9" ht="15.75">
      <c r="A288" s="12">
        <v>41080</v>
      </c>
      <c r="B288" s="16" t="s">
        <v>272</v>
      </c>
      <c r="H288">
        <v>6.5714285714285712</v>
      </c>
      <c r="I288" s="278">
        <v>6.5714285714285712</v>
      </c>
    </row>
    <row r="289" spans="1:9" ht="15.75">
      <c r="A289" s="12">
        <v>41080</v>
      </c>
      <c r="B289" s="16" t="s">
        <v>273</v>
      </c>
      <c r="H289">
        <v>20.857142857142858</v>
      </c>
      <c r="I289" s="278">
        <v>20.857142857142858</v>
      </c>
    </row>
    <row r="290" spans="1:9" ht="15.75">
      <c r="A290" s="12">
        <v>41080</v>
      </c>
      <c r="B290" s="16" t="s">
        <v>274</v>
      </c>
      <c r="H290">
        <v>5</v>
      </c>
      <c r="I290" s="278">
        <v>5</v>
      </c>
    </row>
    <row r="291" spans="1:9" ht="15.75">
      <c r="A291" s="12">
        <v>41080</v>
      </c>
      <c r="B291" s="16" t="s">
        <v>275</v>
      </c>
      <c r="H291">
        <v>12.714285714285715</v>
      </c>
      <c r="I291" s="278">
        <v>12.714285714285715</v>
      </c>
    </row>
    <row r="292" spans="1:9" ht="15.75">
      <c r="A292" s="12">
        <v>41080</v>
      </c>
      <c r="B292" s="16" t="s">
        <v>276</v>
      </c>
      <c r="H292">
        <v>5</v>
      </c>
      <c r="I292" s="278">
        <v>5</v>
      </c>
    </row>
    <row r="293" spans="1:9" ht="15.75">
      <c r="A293" s="12">
        <v>41080</v>
      </c>
      <c r="B293" s="16" t="s">
        <v>277</v>
      </c>
      <c r="H293">
        <v>9.8571428571428577</v>
      </c>
      <c r="I293" s="278">
        <v>9.8571428571428577</v>
      </c>
    </row>
    <row r="294" spans="1:9" ht="15.75">
      <c r="A294" s="12">
        <v>41080</v>
      </c>
      <c r="B294" s="16" t="s">
        <v>2840</v>
      </c>
      <c r="H294">
        <v>20.142857142857142</v>
      </c>
      <c r="I294" s="278">
        <v>20.142857142857142</v>
      </c>
    </row>
    <row r="295" spans="1:9" ht="15.75">
      <c r="A295" s="12">
        <v>41080</v>
      </c>
      <c r="B295" s="16" t="s">
        <v>279</v>
      </c>
      <c r="H295">
        <v>11.571428571428571</v>
      </c>
      <c r="I295" s="278">
        <v>11.571428571428571</v>
      </c>
    </row>
    <row r="296" spans="1:9" ht="15.75">
      <c r="A296" s="12">
        <v>41080</v>
      </c>
      <c r="B296" s="16" t="s">
        <v>76</v>
      </c>
      <c r="H296">
        <v>10.714285714285715</v>
      </c>
      <c r="I296" s="278">
        <v>10.714285714285715</v>
      </c>
    </row>
    <row r="297" spans="1:9" ht="15.75">
      <c r="A297" s="12">
        <v>41080</v>
      </c>
      <c r="B297" s="16" t="s">
        <v>280</v>
      </c>
      <c r="H297">
        <v>7.7142857142857153</v>
      </c>
      <c r="I297" s="278">
        <v>7.7142857142857153</v>
      </c>
    </row>
    <row r="298" spans="1:9" ht="15.75">
      <c r="A298" s="12">
        <v>41080</v>
      </c>
      <c r="B298" s="16" t="s">
        <v>51</v>
      </c>
      <c r="H298">
        <v>7.0000000000000009</v>
      </c>
      <c r="I298" s="278">
        <v>7.0000000000000009</v>
      </c>
    </row>
    <row r="299" spans="1:9" ht="15.75">
      <c r="A299" s="12">
        <v>41080</v>
      </c>
      <c r="B299" s="16" t="s">
        <v>2341</v>
      </c>
      <c r="H299">
        <v>11.571428571428571</v>
      </c>
      <c r="I299" s="278">
        <v>11.571428571428571</v>
      </c>
    </row>
    <row r="300" spans="1:9" ht="15.75">
      <c r="A300" s="12">
        <v>41080</v>
      </c>
      <c r="B300" s="16" t="s">
        <v>85</v>
      </c>
      <c r="H300">
        <v>11.285714285714286</v>
      </c>
      <c r="I300" s="278">
        <v>11.285714285714286</v>
      </c>
    </row>
    <row r="301" spans="1:9" ht="15.75">
      <c r="A301" s="12">
        <v>41080</v>
      </c>
      <c r="B301" s="16" t="s">
        <v>64</v>
      </c>
      <c r="H301">
        <v>13.571428571428573</v>
      </c>
      <c r="I301" s="278">
        <v>13.571428571428573</v>
      </c>
    </row>
    <row r="302" spans="1:9" ht="15.75">
      <c r="A302" s="12">
        <v>41080</v>
      </c>
      <c r="B302" s="16" t="s">
        <v>281</v>
      </c>
      <c r="H302">
        <v>5.5714285714285721</v>
      </c>
      <c r="I302" s="278">
        <v>5.5714285714285721</v>
      </c>
    </row>
    <row r="303" spans="1:9" ht="15.75">
      <c r="A303" s="12">
        <v>41080</v>
      </c>
      <c r="B303" s="16" t="s">
        <v>150</v>
      </c>
      <c r="H303">
        <v>9.2857142857142865</v>
      </c>
      <c r="I303" s="278">
        <v>9.2857142857142865</v>
      </c>
    </row>
    <row r="304" spans="1:9" ht="15.75">
      <c r="A304" s="12">
        <v>41080</v>
      </c>
      <c r="B304" s="16" t="s">
        <v>93</v>
      </c>
      <c r="H304">
        <v>12.142857142857144</v>
      </c>
      <c r="I304" s="278">
        <v>12.142857142857144</v>
      </c>
    </row>
    <row r="305" spans="1:9" ht="15.75">
      <c r="A305" s="12">
        <v>41080</v>
      </c>
      <c r="B305" s="16" t="s">
        <v>2841</v>
      </c>
      <c r="H305">
        <v>12.857142857142858</v>
      </c>
      <c r="I305" s="278">
        <v>12.857142857142858</v>
      </c>
    </row>
    <row r="306" spans="1:9" ht="15.75">
      <c r="A306" s="12">
        <v>41080</v>
      </c>
      <c r="B306" s="16" t="s">
        <v>282</v>
      </c>
      <c r="H306">
        <v>20.142857142857142</v>
      </c>
      <c r="I306" s="278">
        <v>20.142857142857142</v>
      </c>
    </row>
    <row r="307" spans="1:9" ht="15.75">
      <c r="A307" s="12">
        <v>41080</v>
      </c>
      <c r="B307" s="16" t="s">
        <v>283</v>
      </c>
      <c r="H307">
        <v>50.142857142857146</v>
      </c>
      <c r="I307" s="278">
        <v>50.142857142857146</v>
      </c>
    </row>
    <row r="308" spans="1:9" ht="15.75">
      <c r="A308" s="12">
        <v>41080</v>
      </c>
      <c r="B308" s="16" t="s">
        <v>284</v>
      </c>
      <c r="H308">
        <v>5</v>
      </c>
      <c r="I308" s="278">
        <v>5</v>
      </c>
    </row>
    <row r="309" spans="1:9" ht="15.75">
      <c r="A309" s="12">
        <v>41080</v>
      </c>
      <c r="B309" s="16" t="s">
        <v>285</v>
      </c>
      <c r="H309">
        <v>47.285714285714292</v>
      </c>
      <c r="I309" s="278">
        <v>47.285714285714292</v>
      </c>
    </row>
    <row r="310" spans="1:9" ht="15.75">
      <c r="A310" s="12">
        <v>41080</v>
      </c>
      <c r="B310" s="16" t="s">
        <v>286</v>
      </c>
      <c r="H310">
        <v>20.142857142857142</v>
      </c>
      <c r="I310" s="278">
        <v>20.142857142857142</v>
      </c>
    </row>
    <row r="311" spans="1:9" ht="15.75">
      <c r="A311" s="12">
        <v>41080</v>
      </c>
      <c r="B311" s="16" t="s">
        <v>68</v>
      </c>
      <c r="H311">
        <v>18</v>
      </c>
      <c r="I311" s="278">
        <v>18</v>
      </c>
    </row>
    <row r="312" spans="1:9" ht="15.75">
      <c r="A312" s="12">
        <v>41080</v>
      </c>
      <c r="B312" s="16" t="s">
        <v>287</v>
      </c>
      <c r="H312">
        <v>13</v>
      </c>
      <c r="I312" s="278">
        <v>13</v>
      </c>
    </row>
    <row r="313" spans="1:9" ht="15.75">
      <c r="A313" s="12">
        <v>41080</v>
      </c>
      <c r="B313" s="16" t="s">
        <v>79</v>
      </c>
      <c r="H313">
        <v>5</v>
      </c>
      <c r="I313" s="278">
        <v>5</v>
      </c>
    </row>
    <row r="314" spans="1:9" ht="15.75">
      <c r="A314" s="12">
        <v>41080</v>
      </c>
      <c r="B314" s="16" t="s">
        <v>288</v>
      </c>
      <c r="H314">
        <v>21.571428571428573</v>
      </c>
      <c r="I314" s="278">
        <v>21.571428571428573</v>
      </c>
    </row>
    <row r="315" spans="1:9" ht="15.75">
      <c r="A315" s="12">
        <v>41080</v>
      </c>
      <c r="B315" s="16" t="s">
        <v>289</v>
      </c>
      <c r="H315">
        <v>12.285714285714286</v>
      </c>
      <c r="I315" s="278">
        <v>12.285714285714286</v>
      </c>
    </row>
    <row r="316" spans="1:9" ht="15.75">
      <c r="A316" s="12">
        <v>41080</v>
      </c>
      <c r="B316" s="16" t="s">
        <v>125</v>
      </c>
      <c r="H316">
        <v>18</v>
      </c>
      <c r="I316" s="278">
        <v>18</v>
      </c>
    </row>
    <row r="317" spans="1:9" ht="15.75">
      <c r="A317" s="12">
        <v>41080</v>
      </c>
      <c r="B317" s="16" t="s">
        <v>290</v>
      </c>
      <c r="H317">
        <v>13</v>
      </c>
      <c r="I317" s="278">
        <v>13</v>
      </c>
    </row>
    <row r="318" spans="1:9" ht="15.75">
      <c r="A318" s="12">
        <v>41080</v>
      </c>
      <c r="B318" s="16" t="s">
        <v>158</v>
      </c>
      <c r="H318">
        <v>14.142857142857144</v>
      </c>
      <c r="I318" s="278">
        <v>14.142857142857144</v>
      </c>
    </row>
    <row r="319" spans="1:9" ht="15.75">
      <c r="A319" s="12">
        <v>41080</v>
      </c>
      <c r="B319" s="16" t="s">
        <v>291</v>
      </c>
      <c r="H319">
        <v>15.142857142857144</v>
      </c>
      <c r="I319" s="278">
        <v>15.142857142857144</v>
      </c>
    </row>
    <row r="320" spans="1:9" ht="15.75">
      <c r="A320" s="12">
        <v>41080</v>
      </c>
      <c r="B320" s="16" t="s">
        <v>292</v>
      </c>
      <c r="H320">
        <v>37.285714285714292</v>
      </c>
      <c r="I320" s="278">
        <v>37.285714285714292</v>
      </c>
    </row>
    <row r="321" spans="1:9" ht="15.75">
      <c r="A321" s="12">
        <v>41080</v>
      </c>
      <c r="B321" s="16" t="s">
        <v>293</v>
      </c>
      <c r="H321">
        <v>13.285714285714288</v>
      </c>
      <c r="I321" s="278">
        <v>13.285714285714288</v>
      </c>
    </row>
    <row r="322" spans="1:9" ht="15.75">
      <c r="A322" s="12">
        <v>41080</v>
      </c>
      <c r="B322" s="16" t="s">
        <v>75</v>
      </c>
      <c r="H322">
        <v>14.714285714285717</v>
      </c>
      <c r="I322" s="278">
        <v>14.714285714285717</v>
      </c>
    </row>
    <row r="323" spans="1:9" ht="15.75">
      <c r="A323" s="12">
        <v>41080</v>
      </c>
      <c r="B323" s="16" t="s">
        <v>60</v>
      </c>
      <c r="H323">
        <v>16.428571428571431</v>
      </c>
      <c r="I323" s="278">
        <v>16.428571428571431</v>
      </c>
    </row>
    <row r="324" spans="1:9" ht="15.75">
      <c r="A324" s="12">
        <v>41080</v>
      </c>
      <c r="B324" s="16" t="s">
        <v>294</v>
      </c>
      <c r="H324">
        <v>15.571428571428573</v>
      </c>
      <c r="I324" s="278">
        <v>15.571428571428573</v>
      </c>
    </row>
    <row r="325" spans="1:9" ht="15.75">
      <c r="A325" s="12">
        <v>41080</v>
      </c>
      <c r="B325" s="16" t="s">
        <v>295</v>
      </c>
      <c r="H325">
        <v>15.857142857142858</v>
      </c>
      <c r="I325" s="278">
        <v>15.857142857142858</v>
      </c>
    </row>
    <row r="326" spans="1:9" ht="15.75">
      <c r="A326" s="12">
        <v>41080</v>
      </c>
      <c r="B326" s="16" t="s">
        <v>296</v>
      </c>
      <c r="H326">
        <v>10.571428571428573</v>
      </c>
      <c r="I326" s="278">
        <v>10.571428571428573</v>
      </c>
    </row>
    <row r="327" spans="1:9" ht="15.75">
      <c r="A327" s="12">
        <v>41080</v>
      </c>
      <c r="B327" s="16" t="s">
        <v>127</v>
      </c>
      <c r="H327">
        <v>23.714285714285719</v>
      </c>
      <c r="I327" s="278">
        <v>23.714285714285719</v>
      </c>
    </row>
    <row r="328" spans="1:9" ht="15.75">
      <c r="A328" s="12">
        <v>41080</v>
      </c>
      <c r="B328" s="16" t="s">
        <v>126</v>
      </c>
      <c r="H328">
        <v>9.571428571428573</v>
      </c>
      <c r="I328" s="278">
        <v>9.571428571428573</v>
      </c>
    </row>
    <row r="329" spans="1:9" ht="15.75">
      <c r="A329" s="12">
        <v>41080</v>
      </c>
      <c r="B329" s="196" t="s">
        <v>67</v>
      </c>
      <c r="H329">
        <v>10.857142857142858</v>
      </c>
      <c r="I329" s="278">
        <v>10.857142857142858</v>
      </c>
    </row>
    <row r="330" spans="1:9" ht="15.75">
      <c r="A330" s="12">
        <v>41080</v>
      </c>
      <c r="B330" s="196" t="s">
        <v>297</v>
      </c>
      <c r="H330">
        <v>31.571428571428577</v>
      </c>
      <c r="I330" s="278">
        <v>31.571428571428577</v>
      </c>
    </row>
    <row r="331" spans="1:9" ht="15.75">
      <c r="A331" s="12">
        <v>41080</v>
      </c>
      <c r="B331" s="196" t="s">
        <v>9</v>
      </c>
      <c r="H331">
        <v>7.7142857142857153</v>
      </c>
      <c r="I331" s="278">
        <v>7.7142857142857153</v>
      </c>
    </row>
    <row r="332" spans="1:9" ht="18">
      <c r="A332" s="12">
        <v>41080</v>
      </c>
      <c r="B332" s="197" t="s">
        <v>298</v>
      </c>
      <c r="H332">
        <v>14.428571428571429</v>
      </c>
      <c r="I332" s="278">
        <v>14.428571428571429</v>
      </c>
    </row>
    <row r="333" spans="1:9" ht="18">
      <c r="A333" s="12">
        <v>41080</v>
      </c>
      <c r="B333" s="197" t="s">
        <v>299</v>
      </c>
      <c r="H333">
        <v>6.1428571428571432</v>
      </c>
      <c r="I333" s="278">
        <v>6.1428571428571432</v>
      </c>
    </row>
    <row r="334" spans="1:9" ht="18">
      <c r="A334" s="12">
        <v>41080</v>
      </c>
      <c r="B334" s="197" t="s">
        <v>101</v>
      </c>
      <c r="H334">
        <v>8.5714285714285712</v>
      </c>
      <c r="I334" s="278">
        <v>8.5714285714285712</v>
      </c>
    </row>
    <row r="335" spans="1:9" ht="15.75">
      <c r="A335" s="12">
        <v>41080</v>
      </c>
      <c r="B335" s="16" t="s">
        <v>102</v>
      </c>
      <c r="H335">
        <v>6.1428571428571432</v>
      </c>
      <c r="I335" s="278">
        <v>6.1428571428571432</v>
      </c>
    </row>
    <row r="336" spans="1:9" ht="15.75">
      <c r="A336" s="12">
        <v>41080</v>
      </c>
      <c r="B336" s="16" t="s">
        <v>300</v>
      </c>
      <c r="H336">
        <v>6.1428571428571432</v>
      </c>
      <c r="I336" s="278">
        <v>6.1428571428571432</v>
      </c>
    </row>
    <row r="337" spans="1:9" ht="15.75">
      <c r="A337" s="12">
        <v>41080</v>
      </c>
      <c r="B337" s="16" t="s">
        <v>301</v>
      </c>
      <c r="H337">
        <v>6.1428571428571432</v>
      </c>
      <c r="I337" s="278">
        <v>6.1428571428571432</v>
      </c>
    </row>
    <row r="338" spans="1:9" ht="15.75">
      <c r="A338" s="12">
        <v>41080</v>
      </c>
      <c r="B338" s="16" t="s">
        <v>302</v>
      </c>
      <c r="H338">
        <v>14.428571428571429</v>
      </c>
      <c r="I338" s="278">
        <v>14.428571428571429</v>
      </c>
    </row>
    <row r="339" spans="1:9" ht="15.75">
      <c r="A339" s="12">
        <v>41080</v>
      </c>
      <c r="B339" s="16" t="s">
        <v>303</v>
      </c>
      <c r="H339">
        <v>13.714285714285715</v>
      </c>
      <c r="I339" s="278">
        <v>13.714285714285715</v>
      </c>
    </row>
    <row r="340" spans="1:9" ht="15.75">
      <c r="A340" s="12">
        <v>41080</v>
      </c>
      <c r="B340" s="16" t="s">
        <v>304</v>
      </c>
      <c r="H340">
        <v>9</v>
      </c>
      <c r="I340" s="278">
        <v>9</v>
      </c>
    </row>
    <row r="341" spans="1:9" ht="15.75">
      <c r="A341" s="12">
        <v>41080</v>
      </c>
      <c r="B341" s="16" t="s">
        <v>305</v>
      </c>
      <c r="H341">
        <v>9</v>
      </c>
      <c r="I341" s="278">
        <v>9</v>
      </c>
    </row>
    <row r="342" spans="1:9" ht="15.75">
      <c r="A342" s="12">
        <v>41080</v>
      </c>
      <c r="B342" s="16" t="s">
        <v>306</v>
      </c>
      <c r="H342">
        <v>12.714285714285715</v>
      </c>
      <c r="I342" s="278">
        <v>12.714285714285715</v>
      </c>
    </row>
    <row r="343" spans="1:9" ht="15.75">
      <c r="A343" s="12">
        <v>41080</v>
      </c>
      <c r="B343" s="16" t="s">
        <v>307</v>
      </c>
      <c r="H343">
        <v>28.714285714285719</v>
      </c>
      <c r="I343" s="278">
        <v>28.714285714285719</v>
      </c>
    </row>
    <row r="344" spans="1:9" ht="15.75">
      <c r="A344" s="12">
        <v>41080</v>
      </c>
      <c r="B344" s="16" t="s">
        <v>308</v>
      </c>
      <c r="H344">
        <v>93</v>
      </c>
      <c r="I344" s="278">
        <v>93</v>
      </c>
    </row>
    <row r="345" spans="1:9" ht="15.75">
      <c r="A345" s="12">
        <v>41080</v>
      </c>
      <c r="B345" s="16" t="s">
        <v>309</v>
      </c>
      <c r="H345">
        <v>57.285714285714292</v>
      </c>
      <c r="I345" s="278">
        <v>57.285714285714292</v>
      </c>
    </row>
    <row r="346" spans="1:9" ht="15.75">
      <c r="A346" s="12">
        <v>41080</v>
      </c>
      <c r="B346" s="16" t="s">
        <v>2842</v>
      </c>
      <c r="H346">
        <v>50.142857142857146</v>
      </c>
      <c r="I346" s="278">
        <v>50.142857142857146</v>
      </c>
    </row>
    <row r="347" spans="1:9" ht="15.75">
      <c r="A347" s="12">
        <v>41080</v>
      </c>
      <c r="B347" s="16" t="s">
        <v>311</v>
      </c>
      <c r="H347">
        <v>65.857142857142861</v>
      </c>
      <c r="I347" s="278">
        <v>65.857142857142861</v>
      </c>
    </row>
    <row r="348" spans="1:9" ht="15.75">
      <c r="A348" s="12">
        <v>41080</v>
      </c>
      <c r="B348" s="16" t="s">
        <v>312</v>
      </c>
      <c r="H348">
        <v>73</v>
      </c>
      <c r="I348" s="278">
        <v>73</v>
      </c>
    </row>
    <row r="349" spans="1:9" ht="15.75">
      <c r="A349" s="12">
        <v>41080</v>
      </c>
      <c r="B349" s="16" t="s">
        <v>81</v>
      </c>
      <c r="H349">
        <v>10.857142857142858</v>
      </c>
      <c r="I349" s="278">
        <v>10.857142857142858</v>
      </c>
    </row>
    <row r="350" spans="1:9" ht="15.75">
      <c r="A350" s="12">
        <v>41080</v>
      </c>
      <c r="B350" s="16" t="s">
        <v>313</v>
      </c>
      <c r="H350">
        <v>24.428571428571431</v>
      </c>
      <c r="I350" s="278">
        <v>24.428571428571431</v>
      </c>
    </row>
    <row r="351" spans="1:9" ht="15.75">
      <c r="A351" s="12">
        <v>41080</v>
      </c>
      <c r="B351" s="16" t="s">
        <v>314</v>
      </c>
      <c r="H351">
        <v>11.000000000000002</v>
      </c>
      <c r="I351" s="278">
        <v>11.000000000000002</v>
      </c>
    </row>
    <row r="352" spans="1:9" ht="15.75">
      <c r="A352" s="12">
        <v>41080</v>
      </c>
      <c r="B352" s="16" t="s">
        <v>92</v>
      </c>
      <c r="H352">
        <v>12.285714285714286</v>
      </c>
      <c r="I352" s="278">
        <v>12.285714285714286</v>
      </c>
    </row>
    <row r="353" spans="1:9" ht="15.75">
      <c r="A353" s="12">
        <v>41080</v>
      </c>
      <c r="B353" s="16" t="s">
        <v>87</v>
      </c>
      <c r="H353">
        <v>11.285714285714286</v>
      </c>
      <c r="I353" s="278">
        <v>11.285714285714286</v>
      </c>
    </row>
    <row r="354" spans="1:9" ht="15.75">
      <c r="A354" s="12">
        <v>41080</v>
      </c>
      <c r="B354" s="16" t="s">
        <v>315</v>
      </c>
      <c r="H354">
        <v>12.285714285714286</v>
      </c>
      <c r="I354" s="278">
        <v>12.285714285714286</v>
      </c>
    </row>
    <row r="355" spans="1:9" ht="15.75">
      <c r="A355" s="12">
        <v>41080</v>
      </c>
      <c r="B355" s="16" t="s">
        <v>316</v>
      </c>
      <c r="H355">
        <v>14.428571428571429</v>
      </c>
      <c r="I355" s="278">
        <v>14.428571428571429</v>
      </c>
    </row>
    <row r="356" spans="1:9" ht="15.75">
      <c r="A356" s="12">
        <v>41080</v>
      </c>
      <c r="B356" s="16" t="s">
        <v>317</v>
      </c>
      <c r="H356">
        <v>24.857142857142858</v>
      </c>
      <c r="I356" s="278">
        <v>24.857142857142858</v>
      </c>
    </row>
    <row r="357" spans="1:9" ht="15.75">
      <c r="A357" s="12">
        <v>41080</v>
      </c>
      <c r="B357" s="16" t="s">
        <v>318</v>
      </c>
      <c r="H357">
        <v>5.8571428571428568</v>
      </c>
      <c r="I357" s="278">
        <v>5.8571428571428568</v>
      </c>
    </row>
    <row r="358" spans="1:9" ht="15.75">
      <c r="A358" s="12">
        <v>41080</v>
      </c>
      <c r="B358" s="14" t="s">
        <v>319</v>
      </c>
      <c r="H358">
        <v>5.8571428571428568</v>
      </c>
      <c r="I358" s="278">
        <v>5.8571428571428568</v>
      </c>
    </row>
    <row r="359" spans="1:9" ht="15.75">
      <c r="A359" s="12">
        <v>41080</v>
      </c>
      <c r="B359" s="14" t="s">
        <v>320</v>
      </c>
      <c r="H359">
        <v>25.857142857142861</v>
      </c>
      <c r="I359" s="278">
        <v>25.857142857142861</v>
      </c>
    </row>
    <row r="360" spans="1:9" ht="15.75">
      <c r="A360" s="12">
        <v>41080</v>
      </c>
      <c r="B360" s="14" t="s">
        <v>116</v>
      </c>
      <c r="H360">
        <v>9.4285714285714288</v>
      </c>
      <c r="I360" s="278">
        <v>9.4285714285714288</v>
      </c>
    </row>
    <row r="361" spans="1:9" ht="15.75">
      <c r="A361" s="12">
        <v>41080</v>
      </c>
      <c r="B361" s="14" t="s">
        <v>321</v>
      </c>
      <c r="H361">
        <v>9.4285714285714288</v>
      </c>
      <c r="I361" s="278">
        <v>9.4285714285714288</v>
      </c>
    </row>
    <row r="362" spans="1:9" ht="15.75">
      <c r="A362" s="12">
        <v>41080</v>
      </c>
      <c r="B362" s="14" t="s">
        <v>322</v>
      </c>
      <c r="H362">
        <v>8.2857142857142865</v>
      </c>
      <c r="I362" s="278">
        <v>8.2857142857142865</v>
      </c>
    </row>
    <row r="363" spans="1:9" ht="16.5">
      <c r="A363" s="12">
        <v>41080</v>
      </c>
      <c r="B363" s="279" t="s">
        <v>323</v>
      </c>
      <c r="H363">
        <v>45.857142857142861</v>
      </c>
      <c r="I363" s="278">
        <v>45.857142857142861</v>
      </c>
    </row>
    <row r="364" spans="1:9" ht="15.75">
      <c r="A364" s="12">
        <v>41080</v>
      </c>
      <c r="B364" s="14" t="s">
        <v>324</v>
      </c>
      <c r="H364">
        <v>60.142857142857146</v>
      </c>
      <c r="I364" s="278">
        <v>60.142857142857146</v>
      </c>
    </row>
    <row r="365" spans="1:9" ht="15.75">
      <c r="A365" s="12">
        <v>41080</v>
      </c>
      <c r="B365" s="14" t="s">
        <v>325</v>
      </c>
      <c r="H365">
        <v>2.8571428571428572</v>
      </c>
      <c r="I365" s="278">
        <v>2.8571428571428572</v>
      </c>
    </row>
    <row r="366" spans="1:9" ht="15.75">
      <c r="A366" s="12">
        <v>41080</v>
      </c>
      <c r="B366" s="14" t="s">
        <v>326</v>
      </c>
      <c r="H366">
        <v>231.57142857142858</v>
      </c>
      <c r="I366" s="278">
        <v>231.57142857142858</v>
      </c>
    </row>
    <row r="367" spans="1:9" ht="15.75">
      <c r="A367" s="12">
        <v>41080</v>
      </c>
      <c r="B367" s="14" t="s">
        <v>327</v>
      </c>
      <c r="H367">
        <v>4.4285714285714288</v>
      </c>
      <c r="I367" s="278">
        <v>4.4285714285714288</v>
      </c>
    </row>
    <row r="368" spans="1:9" ht="15.75">
      <c r="A368" s="12">
        <v>41080</v>
      </c>
      <c r="B368" s="14" t="s">
        <v>328</v>
      </c>
      <c r="H368">
        <v>15.142857142857144</v>
      </c>
      <c r="I368" s="278">
        <v>15.142857142857144</v>
      </c>
    </row>
    <row r="369" spans="1:9" ht="15.75">
      <c r="A369" s="12">
        <v>41080</v>
      </c>
      <c r="B369" s="14" t="s">
        <v>329</v>
      </c>
      <c r="H369">
        <v>13</v>
      </c>
      <c r="I369" s="278">
        <v>13</v>
      </c>
    </row>
    <row r="370" spans="1:9" ht="15.75">
      <c r="A370" s="12">
        <v>41080</v>
      </c>
      <c r="B370" s="14" t="s">
        <v>330</v>
      </c>
      <c r="H370">
        <v>33.000000000000007</v>
      </c>
      <c r="I370" s="278">
        <v>33.000000000000007</v>
      </c>
    </row>
    <row r="371" spans="1:9" ht="15.75">
      <c r="A371" s="12">
        <v>41080</v>
      </c>
      <c r="B371" s="14" t="s">
        <v>331</v>
      </c>
      <c r="H371">
        <v>14.428571428571429</v>
      </c>
      <c r="I371" s="278">
        <v>14.428571428571429</v>
      </c>
    </row>
    <row r="372" spans="1:9" ht="15.75">
      <c r="A372" s="12">
        <v>41080</v>
      </c>
      <c r="B372" s="14" t="s">
        <v>332</v>
      </c>
      <c r="H372">
        <v>164.42857142857144</v>
      </c>
      <c r="I372" s="278">
        <v>164.42857142857144</v>
      </c>
    </row>
    <row r="373" spans="1:9" ht="15.75">
      <c r="B373" s="14"/>
      <c r="I373" s="278"/>
    </row>
    <row r="374" spans="1:9" ht="15.75">
      <c r="A374" s="12">
        <v>41080</v>
      </c>
      <c r="B374" s="14" t="s">
        <v>2843</v>
      </c>
      <c r="H374">
        <v>4.375</v>
      </c>
      <c r="I374" s="278">
        <v>4.375</v>
      </c>
    </row>
    <row r="375" spans="1:9" ht="15.75">
      <c r="A375" s="12">
        <v>41080</v>
      </c>
      <c r="B375" s="14" t="s">
        <v>1276</v>
      </c>
      <c r="H375">
        <v>2.75</v>
      </c>
      <c r="I375" s="278">
        <v>2.75</v>
      </c>
    </row>
    <row r="376" spans="1:9" ht="15.75">
      <c r="A376" s="12">
        <v>41080</v>
      </c>
      <c r="B376" s="14" t="s">
        <v>1277</v>
      </c>
      <c r="H376">
        <v>1.375</v>
      </c>
      <c r="I376" s="278">
        <v>1.375</v>
      </c>
    </row>
    <row r="377" spans="1:9" ht="15.75">
      <c r="A377" s="12">
        <v>41080</v>
      </c>
      <c r="B377" s="14" t="s">
        <v>2781</v>
      </c>
      <c r="H377">
        <v>3.125</v>
      </c>
      <c r="I377" s="278">
        <v>3.125</v>
      </c>
    </row>
    <row r="378" spans="1:9" ht="15.75">
      <c r="A378" s="12">
        <v>41080</v>
      </c>
      <c r="B378" s="14" t="s">
        <v>2782</v>
      </c>
      <c r="H378">
        <v>5.625</v>
      </c>
      <c r="I378" s="278">
        <v>5.625</v>
      </c>
    </row>
    <row r="379" spans="1:9" ht="15.75">
      <c r="A379" s="12">
        <v>41080</v>
      </c>
      <c r="B379" s="14" t="s">
        <v>2844</v>
      </c>
      <c r="H379">
        <v>1.875</v>
      </c>
      <c r="I379" s="278">
        <v>1.875</v>
      </c>
    </row>
    <row r="380" spans="1:9" ht="15.75">
      <c r="A380" s="12">
        <v>41080</v>
      </c>
      <c r="B380" s="14" t="s">
        <v>1279</v>
      </c>
      <c r="H380">
        <v>4.7499999999999991</v>
      </c>
      <c r="I380" s="278">
        <v>4.7499999999999991</v>
      </c>
    </row>
    <row r="381" spans="1:9" ht="15.75">
      <c r="A381" s="12">
        <v>41080</v>
      </c>
      <c r="B381" s="14" t="s">
        <v>1280</v>
      </c>
      <c r="H381">
        <v>9.375</v>
      </c>
      <c r="I381" s="278">
        <v>9.375</v>
      </c>
    </row>
    <row r="382" spans="1:9" ht="15.75">
      <c r="A382" s="12">
        <v>41080</v>
      </c>
      <c r="B382" s="14" t="s">
        <v>1281</v>
      </c>
      <c r="H382">
        <v>12.5</v>
      </c>
      <c r="I382" s="278">
        <v>12.5</v>
      </c>
    </row>
    <row r="383" spans="1:9" ht="15.75">
      <c r="A383" s="12">
        <v>41080</v>
      </c>
      <c r="B383" s="14" t="s">
        <v>2783</v>
      </c>
      <c r="H383">
        <v>18.75</v>
      </c>
      <c r="I383" s="278">
        <v>18.75</v>
      </c>
    </row>
    <row r="384" spans="1:9" ht="15.75">
      <c r="A384" s="12">
        <v>41080</v>
      </c>
      <c r="B384" s="14" t="s">
        <v>1282</v>
      </c>
      <c r="H384">
        <v>16.25</v>
      </c>
      <c r="I384" s="278">
        <v>16.25</v>
      </c>
    </row>
    <row r="385" spans="1:9" ht="15.75">
      <c r="A385" s="12">
        <v>41080</v>
      </c>
      <c r="B385" s="244" t="s">
        <v>2784</v>
      </c>
      <c r="H385">
        <v>22.5</v>
      </c>
      <c r="I385" s="280">
        <v>22.5</v>
      </c>
    </row>
    <row r="386" spans="1:9" ht="15.75">
      <c r="A386" s="12">
        <v>41080</v>
      </c>
      <c r="B386" s="244" t="s">
        <v>2785</v>
      </c>
      <c r="H386">
        <v>18.75</v>
      </c>
      <c r="I386" s="280">
        <v>18.75</v>
      </c>
    </row>
    <row r="387" spans="1:9" ht="15.75">
      <c r="A387" s="12">
        <v>41080</v>
      </c>
      <c r="B387" s="244" t="s">
        <v>1283</v>
      </c>
      <c r="H387">
        <v>4</v>
      </c>
      <c r="I387" s="280">
        <v>4</v>
      </c>
    </row>
    <row r="388" spans="1:9" ht="15.75">
      <c r="A388" s="12">
        <v>41080</v>
      </c>
      <c r="B388" s="244" t="s">
        <v>2786</v>
      </c>
      <c r="H388">
        <v>3.125</v>
      </c>
      <c r="I388" s="280">
        <v>3.125</v>
      </c>
    </row>
    <row r="389" spans="1:9" ht="15.75">
      <c r="A389" s="12">
        <v>41080</v>
      </c>
      <c r="B389" s="244" t="s">
        <v>1284</v>
      </c>
      <c r="H389">
        <v>12.5</v>
      </c>
      <c r="I389" s="280">
        <v>12.5</v>
      </c>
    </row>
    <row r="390" spans="1:9" ht="15.75">
      <c r="A390" s="12">
        <v>41080</v>
      </c>
      <c r="B390" s="244" t="s">
        <v>2845</v>
      </c>
      <c r="H390">
        <v>12.5</v>
      </c>
      <c r="I390" s="280">
        <v>12.5</v>
      </c>
    </row>
    <row r="391" spans="1:9" ht="15.75">
      <c r="A391" s="12">
        <v>41080</v>
      </c>
      <c r="B391" s="244" t="s">
        <v>1285</v>
      </c>
      <c r="H391">
        <v>6.875</v>
      </c>
      <c r="I391" s="280">
        <v>6.875</v>
      </c>
    </row>
    <row r="392" spans="1:9" ht="15.75">
      <c r="A392" s="12">
        <v>41080</v>
      </c>
      <c r="B392" s="244" t="s">
        <v>1286</v>
      </c>
      <c r="H392">
        <v>3.75</v>
      </c>
      <c r="I392" s="280">
        <v>3.75</v>
      </c>
    </row>
    <row r="393" spans="1:9" ht="15.75">
      <c r="A393" s="12">
        <v>41080</v>
      </c>
      <c r="B393" s="244" t="s">
        <v>1287</v>
      </c>
      <c r="H393">
        <v>3.125</v>
      </c>
      <c r="I393" s="280">
        <v>3.125</v>
      </c>
    </row>
    <row r="394" spans="1:9" ht="15.75">
      <c r="A394" s="12">
        <v>41080</v>
      </c>
      <c r="B394" s="244" t="s">
        <v>1288</v>
      </c>
      <c r="H394">
        <v>12.5</v>
      </c>
      <c r="I394" s="280">
        <v>12.5</v>
      </c>
    </row>
    <row r="395" spans="1:9" ht="15.75">
      <c r="A395" s="12">
        <v>41080</v>
      </c>
      <c r="B395" s="195" t="s">
        <v>2787</v>
      </c>
      <c r="H395">
        <v>0</v>
      </c>
      <c r="I395" s="278">
        <v>0</v>
      </c>
    </row>
    <row r="396" spans="1:9" ht="15.75">
      <c r="A396" s="12">
        <v>41080</v>
      </c>
      <c r="B396" s="14" t="s">
        <v>1289</v>
      </c>
      <c r="H396">
        <v>6.25</v>
      </c>
      <c r="I396" s="278">
        <v>6.25</v>
      </c>
    </row>
    <row r="397" spans="1:9" ht="15.75">
      <c r="A397" s="12">
        <v>41080</v>
      </c>
      <c r="B397" s="14" t="s">
        <v>1290</v>
      </c>
      <c r="H397">
        <v>2.25</v>
      </c>
      <c r="I397" s="278">
        <v>2.25</v>
      </c>
    </row>
    <row r="398" spans="1:9" ht="15.75">
      <c r="A398" s="12">
        <v>41080</v>
      </c>
      <c r="B398" s="14" t="s">
        <v>2846</v>
      </c>
      <c r="H398">
        <v>53.75</v>
      </c>
      <c r="I398" s="278">
        <v>53.75</v>
      </c>
    </row>
    <row r="399" spans="1:9" ht="15.75">
      <c r="A399" s="12">
        <v>41080</v>
      </c>
      <c r="B399" s="14" t="s">
        <v>1291</v>
      </c>
      <c r="H399">
        <v>0</v>
      </c>
      <c r="I399" s="278">
        <v>0</v>
      </c>
    </row>
    <row r="400" spans="1:9" ht="15.75">
      <c r="A400" s="12">
        <v>41080</v>
      </c>
      <c r="B400" s="14" t="s">
        <v>2788</v>
      </c>
      <c r="H400">
        <v>10.625</v>
      </c>
      <c r="I400" s="278">
        <v>10.625</v>
      </c>
    </row>
    <row r="401" spans="1:9" ht="15.75">
      <c r="B401" s="14"/>
      <c r="I401" s="278"/>
    </row>
    <row r="402" spans="1:9" ht="15.75">
      <c r="A402" s="12">
        <v>41080</v>
      </c>
      <c r="B402" s="14" t="s">
        <v>2847</v>
      </c>
      <c r="H402">
        <v>23.333333333333332</v>
      </c>
      <c r="I402" s="278">
        <v>23.333333333333332</v>
      </c>
    </row>
    <row r="403" spans="1:9" ht="15.75">
      <c r="A403" s="12">
        <v>41080</v>
      </c>
      <c r="B403" s="14" t="s">
        <v>333</v>
      </c>
      <c r="H403">
        <v>23.333333333333332</v>
      </c>
      <c r="I403" s="278">
        <v>23.333333333333332</v>
      </c>
    </row>
    <row r="404" spans="1:9" ht="15.75">
      <c r="A404" s="12">
        <v>41080</v>
      </c>
      <c r="B404" s="14" t="s">
        <v>2142</v>
      </c>
      <c r="H404">
        <v>2.5333333333333332</v>
      </c>
      <c r="I404" s="278">
        <v>2.5333333333333332</v>
      </c>
    </row>
    <row r="405" spans="1:9" ht="15.75">
      <c r="A405" s="12">
        <v>41080</v>
      </c>
      <c r="B405" s="14" t="s">
        <v>88</v>
      </c>
      <c r="H405">
        <v>33.333333333333336</v>
      </c>
      <c r="I405" s="278">
        <v>33.333333333333336</v>
      </c>
    </row>
    <row r="406" spans="1:9" ht="15.75">
      <c r="A406" s="12">
        <v>41080</v>
      </c>
      <c r="B406" s="14" t="s">
        <v>2375</v>
      </c>
      <c r="H406">
        <v>4.5333333333333332</v>
      </c>
      <c r="I406" s="278">
        <v>4.5333333333333332</v>
      </c>
    </row>
    <row r="407" spans="1:9" ht="15.75">
      <c r="A407" s="12">
        <v>41080</v>
      </c>
      <c r="B407" s="14" t="s">
        <v>2848</v>
      </c>
      <c r="H407">
        <v>3.6</v>
      </c>
      <c r="I407" s="278">
        <v>3.6</v>
      </c>
    </row>
    <row r="408" spans="1:9" ht="15.75">
      <c r="A408" s="12">
        <v>41080</v>
      </c>
      <c r="B408" s="14" t="s">
        <v>2849</v>
      </c>
      <c r="H408">
        <v>1.8666666666666665</v>
      </c>
      <c r="I408" s="278">
        <v>1.8666666666666665</v>
      </c>
    </row>
    <row r="409" spans="1:9" ht="15.75">
      <c r="A409" s="12">
        <v>41080</v>
      </c>
      <c r="B409" s="14" t="s">
        <v>334</v>
      </c>
      <c r="H409">
        <v>1.5999999999999999</v>
      </c>
      <c r="I409" s="278">
        <v>1.5999999999999999</v>
      </c>
    </row>
    <row r="410" spans="1:9" ht="15.75">
      <c r="A410" s="12">
        <v>41080</v>
      </c>
      <c r="B410" s="14" t="s">
        <v>55</v>
      </c>
      <c r="H410">
        <v>2</v>
      </c>
      <c r="I410" s="278">
        <v>2</v>
      </c>
    </row>
    <row r="411" spans="1:9" ht="15.75">
      <c r="A411" s="12">
        <v>41080</v>
      </c>
      <c r="B411" s="14" t="s">
        <v>335</v>
      </c>
      <c r="H411">
        <v>1.7333333333333334</v>
      </c>
      <c r="I411" s="278">
        <v>1.7333333333333334</v>
      </c>
    </row>
    <row r="412" spans="1:9" ht="15.75">
      <c r="A412" s="12">
        <v>41080</v>
      </c>
      <c r="B412" s="14" t="s">
        <v>336</v>
      </c>
      <c r="H412">
        <v>6.8</v>
      </c>
      <c r="I412" s="278">
        <v>6.8</v>
      </c>
    </row>
    <row r="413" spans="1:9" ht="15.75">
      <c r="A413" s="12">
        <v>41080</v>
      </c>
      <c r="B413" s="14" t="s">
        <v>2850</v>
      </c>
      <c r="H413">
        <v>2.8000000000000003</v>
      </c>
      <c r="I413" s="278">
        <v>2.8000000000000003</v>
      </c>
    </row>
    <row r="414" spans="1:9" ht="15.75">
      <c r="A414" s="12">
        <v>41080</v>
      </c>
      <c r="B414" s="14" t="s">
        <v>2851</v>
      </c>
      <c r="H414">
        <v>1.4666666666666668</v>
      </c>
      <c r="I414" s="278">
        <v>1.4666666666666668</v>
      </c>
    </row>
    <row r="415" spans="1:9" ht="15.75">
      <c r="A415" s="12">
        <v>41080</v>
      </c>
      <c r="B415" s="14" t="s">
        <v>2852</v>
      </c>
      <c r="H415">
        <v>3.4666666666666668</v>
      </c>
      <c r="I415" s="278">
        <v>3.4666666666666668</v>
      </c>
    </row>
    <row r="416" spans="1:9" ht="15.75">
      <c r="A416" s="12">
        <v>41080</v>
      </c>
      <c r="B416" s="14" t="s">
        <v>2853</v>
      </c>
      <c r="H416">
        <v>2.8000000000000003</v>
      </c>
      <c r="I416" s="278">
        <v>2.8000000000000003</v>
      </c>
    </row>
    <row r="417" spans="1:9" ht="15.75">
      <c r="A417" s="12">
        <v>41080</v>
      </c>
      <c r="B417" s="14" t="s">
        <v>2854</v>
      </c>
      <c r="H417">
        <v>4.3999999999999995</v>
      </c>
      <c r="I417" s="278">
        <v>4.3999999999999995</v>
      </c>
    </row>
    <row r="418" spans="1:9" ht="15.75">
      <c r="A418" s="12">
        <v>41080</v>
      </c>
      <c r="B418" s="14" t="s">
        <v>2855</v>
      </c>
      <c r="H418">
        <v>4.3999999999999995</v>
      </c>
      <c r="I418" s="278">
        <v>4.3999999999999995</v>
      </c>
    </row>
    <row r="419" spans="1:9" ht="15.75">
      <c r="A419" s="12">
        <v>41080</v>
      </c>
      <c r="B419" s="14" t="s">
        <v>2295</v>
      </c>
      <c r="H419">
        <v>3.4666666666666668</v>
      </c>
      <c r="I419" s="278">
        <v>3.4666666666666668</v>
      </c>
    </row>
    <row r="420" spans="1:9" ht="15.75">
      <c r="A420" s="12">
        <v>41080</v>
      </c>
      <c r="B420" s="14" t="s">
        <v>2856</v>
      </c>
      <c r="H420">
        <v>4.8</v>
      </c>
      <c r="I420" s="278">
        <v>4.8</v>
      </c>
    </row>
    <row r="421" spans="1:9" ht="15.75">
      <c r="A421" s="12">
        <v>41080</v>
      </c>
      <c r="B421" s="14" t="s">
        <v>2857</v>
      </c>
      <c r="H421">
        <v>2.4</v>
      </c>
      <c r="I421" s="278">
        <v>2.4</v>
      </c>
    </row>
    <row r="422" spans="1:9" ht="15.75">
      <c r="A422" s="12">
        <v>41080</v>
      </c>
      <c r="B422" s="14" t="s">
        <v>2858</v>
      </c>
      <c r="H422">
        <v>2.4</v>
      </c>
      <c r="I422" s="278">
        <v>2.4</v>
      </c>
    </row>
    <row r="423" spans="1:9" ht="15.75">
      <c r="A423" s="12">
        <v>41080</v>
      </c>
      <c r="B423" s="14" t="s">
        <v>2859</v>
      </c>
      <c r="H423">
        <v>2.4</v>
      </c>
      <c r="I423" s="278">
        <v>2.4</v>
      </c>
    </row>
    <row r="424" spans="1:9" ht="15.75">
      <c r="A424" s="12">
        <v>41080</v>
      </c>
      <c r="B424" s="14" t="s">
        <v>2860</v>
      </c>
      <c r="H424">
        <v>2.8000000000000003</v>
      </c>
      <c r="I424" s="278">
        <v>2.8000000000000003</v>
      </c>
    </row>
    <row r="425" spans="1:9" ht="15.75">
      <c r="A425" s="12">
        <v>41080</v>
      </c>
      <c r="B425" s="14" t="s">
        <v>2861</v>
      </c>
      <c r="H425">
        <v>2.8000000000000003</v>
      </c>
      <c r="I425" s="278">
        <v>2.8000000000000003</v>
      </c>
    </row>
    <row r="426" spans="1:9" ht="15.75">
      <c r="A426" s="12">
        <v>41080</v>
      </c>
      <c r="B426" s="198" t="s">
        <v>339</v>
      </c>
      <c r="H426">
        <v>2.1333333333333333</v>
      </c>
      <c r="I426" s="278">
        <v>2.1333333333333333</v>
      </c>
    </row>
    <row r="427" spans="1:9" ht="15.75">
      <c r="A427" s="12">
        <v>41080</v>
      </c>
      <c r="B427" s="198" t="s">
        <v>340</v>
      </c>
      <c r="H427">
        <v>3.3333333333333335</v>
      </c>
      <c r="I427" s="278">
        <v>3.3333333333333335</v>
      </c>
    </row>
    <row r="428" spans="1:9" ht="15.75">
      <c r="A428" s="12">
        <v>41080</v>
      </c>
      <c r="B428" s="198" t="s">
        <v>341</v>
      </c>
      <c r="H428">
        <v>7.6000000000000005</v>
      </c>
      <c r="I428" s="278">
        <v>7.6000000000000005</v>
      </c>
    </row>
    <row r="429" spans="1:9" ht="15.75">
      <c r="A429" s="12">
        <v>41080</v>
      </c>
      <c r="B429" s="198" t="s">
        <v>342</v>
      </c>
      <c r="H429">
        <v>5.4666666666666659</v>
      </c>
      <c r="I429" s="278">
        <v>5.4666666666666659</v>
      </c>
    </row>
    <row r="430" spans="1:9" ht="15.75">
      <c r="A430" s="12">
        <v>41080</v>
      </c>
      <c r="B430" s="198" t="s">
        <v>343</v>
      </c>
      <c r="H430">
        <v>2</v>
      </c>
      <c r="I430" s="278">
        <v>2</v>
      </c>
    </row>
    <row r="431" spans="1:9" ht="15.75">
      <c r="A431" s="12">
        <v>41080</v>
      </c>
      <c r="B431" s="198" t="s">
        <v>344</v>
      </c>
      <c r="H431">
        <v>7.6000000000000005</v>
      </c>
      <c r="I431" s="278">
        <v>7.6000000000000005</v>
      </c>
    </row>
    <row r="432" spans="1:9" ht="15.75">
      <c r="A432" s="12">
        <v>41080</v>
      </c>
      <c r="B432" s="198" t="s">
        <v>345</v>
      </c>
      <c r="H432">
        <v>10.133333333333333</v>
      </c>
      <c r="I432" s="278">
        <v>10.133333333333333</v>
      </c>
    </row>
    <row r="433" spans="1:9" ht="15.75">
      <c r="A433" s="12">
        <v>41080</v>
      </c>
      <c r="B433" s="198" t="s">
        <v>2862</v>
      </c>
      <c r="H433">
        <v>0</v>
      </c>
      <c r="I433" s="278">
        <v>0</v>
      </c>
    </row>
    <row r="434" spans="1:9" ht="15.75">
      <c r="A434" s="12">
        <v>41080</v>
      </c>
      <c r="B434" s="198" t="s">
        <v>88</v>
      </c>
      <c r="H434">
        <v>27.176470588235297</v>
      </c>
      <c r="I434" s="278">
        <v>27.176470588235297</v>
      </c>
    </row>
    <row r="435" spans="1:9" ht="15.75">
      <c r="A435" s="12">
        <v>41080</v>
      </c>
      <c r="B435" s="198" t="s">
        <v>2863</v>
      </c>
      <c r="H435">
        <v>0</v>
      </c>
      <c r="I435" s="278">
        <v>0</v>
      </c>
    </row>
    <row r="436" spans="1:9" ht="15.75">
      <c r="A436" s="12">
        <v>41080</v>
      </c>
      <c r="B436" s="198" t="s">
        <v>2864</v>
      </c>
      <c r="H436">
        <v>0</v>
      </c>
      <c r="I436" s="278">
        <v>0</v>
      </c>
    </row>
    <row r="437" spans="1:9" ht="15.75">
      <c r="A437" s="12">
        <v>41080</v>
      </c>
      <c r="B437" s="198" t="s">
        <v>2865</v>
      </c>
      <c r="H437">
        <v>0</v>
      </c>
      <c r="I437" s="278">
        <v>0</v>
      </c>
    </row>
    <row r="438" spans="1:9" ht="15.75">
      <c r="A438" s="12">
        <v>41080</v>
      </c>
      <c r="B438" s="198" t="s">
        <v>2855</v>
      </c>
      <c r="H438">
        <v>3.8823529411764706</v>
      </c>
      <c r="I438" s="278">
        <v>3.8823529411764706</v>
      </c>
    </row>
    <row r="439" spans="1:9" ht="15.75">
      <c r="A439" s="12">
        <v>41080</v>
      </c>
      <c r="B439" s="198" t="s">
        <v>55</v>
      </c>
      <c r="H439">
        <v>1.5294117647058825</v>
      </c>
      <c r="I439" s="278">
        <v>1.5294117647058825</v>
      </c>
    </row>
    <row r="440" spans="1:9" ht="15.75">
      <c r="A440" s="12">
        <v>41080</v>
      </c>
      <c r="B440" s="198" t="s">
        <v>2866</v>
      </c>
      <c r="H440">
        <v>0</v>
      </c>
      <c r="I440" s="278">
        <v>0</v>
      </c>
    </row>
    <row r="441" spans="1:9" ht="15.75">
      <c r="A441" s="12">
        <v>41080</v>
      </c>
      <c r="B441" s="198" t="s">
        <v>346</v>
      </c>
      <c r="H441">
        <v>0.85714285714285721</v>
      </c>
      <c r="I441" s="278">
        <v>0.85714285714285721</v>
      </c>
    </row>
    <row r="442" spans="1:9" ht="15.75">
      <c r="A442" s="12">
        <v>41080</v>
      </c>
      <c r="B442" s="198" t="s">
        <v>56</v>
      </c>
      <c r="H442">
        <v>1.2857142857142858</v>
      </c>
      <c r="I442" s="278">
        <v>1.2857142857142858</v>
      </c>
    </row>
    <row r="443" spans="1:9" ht="15.75">
      <c r="A443" s="12">
        <v>41080</v>
      </c>
      <c r="B443" s="198" t="s">
        <v>73</v>
      </c>
      <c r="H443">
        <v>1.2857142857142858</v>
      </c>
      <c r="I443" s="278">
        <v>1.2857142857142858</v>
      </c>
    </row>
    <row r="444" spans="1:9" ht="15.75">
      <c r="A444" s="12">
        <v>41080</v>
      </c>
      <c r="B444" s="198" t="s">
        <v>121</v>
      </c>
      <c r="H444">
        <v>2.7142857142857144</v>
      </c>
      <c r="I444" s="278">
        <v>2.7142857142857144</v>
      </c>
    </row>
    <row r="445" spans="1:9" ht="15.75">
      <c r="A445" s="12">
        <v>41080</v>
      </c>
      <c r="B445" s="199" t="s">
        <v>74</v>
      </c>
      <c r="H445">
        <v>6.4285714285714288</v>
      </c>
      <c r="I445" s="278">
        <v>6.4285714285714288</v>
      </c>
    </row>
    <row r="446" spans="1:9" ht="15.75">
      <c r="A446" s="12">
        <v>41080</v>
      </c>
      <c r="B446" s="199" t="s">
        <v>122</v>
      </c>
      <c r="H446">
        <v>32.857142857142861</v>
      </c>
      <c r="I446" s="278">
        <v>32.857142857142861</v>
      </c>
    </row>
    <row r="447" spans="1:9" ht="15.75">
      <c r="A447" s="12">
        <v>41080</v>
      </c>
      <c r="B447" s="199" t="s">
        <v>120</v>
      </c>
      <c r="H447">
        <v>25.714285714285715</v>
      </c>
      <c r="I447" s="278">
        <v>25.714285714285715</v>
      </c>
    </row>
    <row r="448" spans="1:9" ht="15.75">
      <c r="A448" s="12">
        <v>41080</v>
      </c>
      <c r="B448" s="15" t="s">
        <v>119</v>
      </c>
      <c r="H448">
        <v>18.571428571428573</v>
      </c>
      <c r="I448" s="278">
        <v>18.571428571428573</v>
      </c>
    </row>
    <row r="449" spans="1:9" ht="15.75">
      <c r="A449" s="12">
        <v>41080</v>
      </c>
      <c r="B449" s="15" t="s">
        <v>123</v>
      </c>
      <c r="H449">
        <v>2.5714285714285716</v>
      </c>
      <c r="I449" s="278">
        <v>2.5714285714285716</v>
      </c>
    </row>
    <row r="450" spans="1:9" ht="15.75">
      <c r="A450" s="12">
        <v>41080</v>
      </c>
      <c r="B450" s="15" t="s">
        <v>2867</v>
      </c>
      <c r="H450">
        <v>20</v>
      </c>
      <c r="I450" s="278">
        <v>20</v>
      </c>
    </row>
    <row r="451" spans="1:9" ht="15.75">
      <c r="A451" s="12">
        <v>41080</v>
      </c>
      <c r="B451" s="15" t="s">
        <v>347</v>
      </c>
      <c r="H451">
        <v>28.571428571428573</v>
      </c>
      <c r="I451" s="278">
        <v>28.571428571428573</v>
      </c>
    </row>
    <row r="452" spans="1:9" ht="15.75">
      <c r="A452" s="12">
        <v>41080</v>
      </c>
      <c r="B452" s="195" t="s">
        <v>65</v>
      </c>
      <c r="H452">
        <v>1.4285714285714286</v>
      </c>
      <c r="I452" s="278">
        <v>1.4285714285714286</v>
      </c>
    </row>
    <row r="453" spans="1:9" ht="15.75">
      <c r="A453" s="12">
        <v>41080</v>
      </c>
      <c r="B453" s="195" t="s">
        <v>348</v>
      </c>
      <c r="H453">
        <v>34.285714285714285</v>
      </c>
      <c r="I453" s="278">
        <v>34.285714285714285</v>
      </c>
    </row>
    <row r="454" spans="1:9" ht="15.75">
      <c r="A454" s="12">
        <v>41080</v>
      </c>
      <c r="B454" s="195" t="s">
        <v>349</v>
      </c>
      <c r="H454">
        <v>34.285714285714285</v>
      </c>
      <c r="I454" s="278">
        <v>34.285714285714285</v>
      </c>
    </row>
    <row r="455" spans="1:9" ht="15.75">
      <c r="A455" s="12">
        <v>41080</v>
      </c>
      <c r="B455" s="195" t="s">
        <v>78</v>
      </c>
      <c r="H455">
        <v>6.4285714285714288</v>
      </c>
      <c r="I455" s="278">
        <v>6.4285714285714288</v>
      </c>
    </row>
    <row r="456" spans="1:9" ht="15.75">
      <c r="A456" s="12">
        <v>41080</v>
      </c>
      <c r="B456" s="195" t="s">
        <v>350</v>
      </c>
      <c r="H456">
        <v>60.000000000000007</v>
      </c>
      <c r="I456" s="278">
        <v>60.000000000000007</v>
      </c>
    </row>
    <row r="457" spans="1:9" ht="15.75">
      <c r="A457" s="12">
        <v>41080</v>
      </c>
      <c r="B457" s="195" t="s">
        <v>2322</v>
      </c>
      <c r="H457">
        <v>25.714285714285715</v>
      </c>
      <c r="I457" s="278">
        <v>25.714285714285715</v>
      </c>
    </row>
    <row r="458" spans="1:9" ht="15.75">
      <c r="A458" s="12">
        <v>41080</v>
      </c>
      <c r="B458" s="15" t="s">
        <v>42</v>
      </c>
      <c r="H458">
        <v>42.857142857142861</v>
      </c>
      <c r="I458" s="278">
        <v>42.857142857142861</v>
      </c>
    </row>
    <row r="459" spans="1:9" ht="15.75">
      <c r="A459" s="12">
        <v>41080</v>
      </c>
      <c r="B459" s="15" t="s">
        <v>118</v>
      </c>
      <c r="H459">
        <v>1.4285714285714286</v>
      </c>
      <c r="I459" s="278">
        <v>1.4285714285714286</v>
      </c>
    </row>
    <row r="460" spans="1:9" ht="15.75">
      <c r="A460" s="12">
        <v>41080</v>
      </c>
      <c r="B460" s="14" t="s">
        <v>352</v>
      </c>
      <c r="H460">
        <v>2.8571428571428572</v>
      </c>
      <c r="I460" s="278">
        <v>2.8571428571428572</v>
      </c>
    </row>
    <row r="461" spans="1:9" ht="15.75">
      <c r="A461" s="12">
        <v>41080</v>
      </c>
      <c r="B461" s="14" t="s">
        <v>2575</v>
      </c>
      <c r="H461">
        <v>25.714285714285715</v>
      </c>
      <c r="I461" s="278">
        <v>25.714285714285715</v>
      </c>
    </row>
    <row r="462" spans="1:9" ht="15.75">
      <c r="A462" s="12">
        <v>41080</v>
      </c>
      <c r="B462" s="14" t="s">
        <v>2868</v>
      </c>
      <c r="H462">
        <v>64.285714285714292</v>
      </c>
      <c r="I462" s="278">
        <v>64.285714285714292</v>
      </c>
    </row>
    <row r="463" spans="1:9" ht="15.75">
      <c r="B463" s="14"/>
      <c r="I463" s="278"/>
    </row>
    <row r="464" spans="1:9" ht="15.75">
      <c r="A464" s="12">
        <v>41080</v>
      </c>
      <c r="B464" s="15" t="s">
        <v>2869</v>
      </c>
      <c r="H464">
        <v>521.42857142857144</v>
      </c>
      <c r="I464" s="278">
        <v>521.42857142857144</v>
      </c>
    </row>
    <row r="465" spans="1:9" ht="15.75">
      <c r="A465" s="12">
        <v>41080</v>
      </c>
      <c r="B465" s="15" t="s">
        <v>1009</v>
      </c>
      <c r="H465">
        <v>61.428571428571431</v>
      </c>
      <c r="I465" s="278">
        <v>61.428571428571431</v>
      </c>
    </row>
    <row r="466" spans="1:9" ht="15.75">
      <c r="A466" s="12">
        <v>41080</v>
      </c>
      <c r="B466" s="15" t="s">
        <v>2870</v>
      </c>
      <c r="H466">
        <v>1.7142857142857144</v>
      </c>
      <c r="I466" s="278">
        <v>1.7142857142857144</v>
      </c>
    </row>
    <row r="467" spans="1:9" ht="15.75">
      <c r="A467" s="12">
        <v>41080</v>
      </c>
      <c r="B467" s="15" t="s">
        <v>2871</v>
      </c>
      <c r="H467">
        <v>17.142857142857142</v>
      </c>
      <c r="I467" s="278">
        <v>17.142857142857142</v>
      </c>
    </row>
    <row r="468" spans="1:9" ht="15.75">
      <c r="A468" s="12">
        <v>41080</v>
      </c>
      <c r="B468" s="15" t="s">
        <v>2872</v>
      </c>
      <c r="H468">
        <v>18.571428571428573</v>
      </c>
      <c r="I468" s="278">
        <v>18.571428571428573</v>
      </c>
    </row>
    <row r="469" spans="1:9" ht="15.75">
      <c r="A469" s="12">
        <v>41080</v>
      </c>
      <c r="B469" s="245" t="s">
        <v>1292</v>
      </c>
      <c r="H469">
        <v>2.8571428571428572</v>
      </c>
      <c r="I469" s="278">
        <v>2.8571428571428572</v>
      </c>
    </row>
    <row r="470" spans="1:9" ht="16.5">
      <c r="A470" s="12">
        <v>41080</v>
      </c>
      <c r="B470" s="17" t="s">
        <v>2873</v>
      </c>
      <c r="H470">
        <v>42.857142857142861</v>
      </c>
      <c r="I470" s="281">
        <v>42.857142857142861</v>
      </c>
    </row>
    <row r="471" spans="1:9" ht="16.5">
      <c r="A471" s="12">
        <v>41080</v>
      </c>
      <c r="B471" s="17" t="s">
        <v>2874</v>
      </c>
      <c r="H471">
        <v>88.571428571428584</v>
      </c>
      <c r="I471" s="281">
        <v>88.571428571428584</v>
      </c>
    </row>
    <row r="472" spans="1:9" ht="16.5">
      <c r="A472" s="12">
        <v>41080</v>
      </c>
      <c r="B472" s="17" t="s">
        <v>2875</v>
      </c>
      <c r="H472">
        <v>40</v>
      </c>
      <c r="I472" s="281">
        <v>40</v>
      </c>
    </row>
    <row r="473" spans="1:9" ht="16.5">
      <c r="A473" s="12">
        <v>41080</v>
      </c>
      <c r="B473" s="17" t="s">
        <v>2876</v>
      </c>
      <c r="H473">
        <v>17.142857142857142</v>
      </c>
      <c r="I473" s="281">
        <v>17.142857142857142</v>
      </c>
    </row>
    <row r="474" spans="1:9" ht="16.5">
      <c r="A474" s="12">
        <v>41080</v>
      </c>
      <c r="B474" s="17" t="s">
        <v>2877</v>
      </c>
      <c r="H474">
        <v>5.4285714285714288</v>
      </c>
      <c r="I474" s="281">
        <v>5.4285714285714288</v>
      </c>
    </row>
    <row r="475" spans="1:9" ht="16.5">
      <c r="A475" s="12">
        <v>41080</v>
      </c>
      <c r="B475" s="17" t="s">
        <v>2878</v>
      </c>
      <c r="H475">
        <v>4.7142857142857144</v>
      </c>
      <c r="I475" s="281">
        <v>4.7142857142857144</v>
      </c>
    </row>
    <row r="476" spans="1:9" ht="16.5">
      <c r="A476" s="12">
        <v>41080</v>
      </c>
      <c r="B476" s="17" t="s">
        <v>1293</v>
      </c>
      <c r="H476">
        <v>457.14285714285717</v>
      </c>
      <c r="I476" s="281">
        <v>457.14285714285717</v>
      </c>
    </row>
    <row r="477" spans="1:9" ht="16.5">
      <c r="A477" s="12">
        <v>41080</v>
      </c>
      <c r="B477" s="17" t="s">
        <v>2879</v>
      </c>
      <c r="H477">
        <v>5.4285714285714288</v>
      </c>
      <c r="I477" s="281">
        <v>5.4285714285714288</v>
      </c>
    </row>
    <row r="478" spans="1:9" ht="15.75">
      <c r="A478" s="12">
        <v>41080</v>
      </c>
      <c r="B478" s="200" t="s">
        <v>2880</v>
      </c>
      <c r="H478">
        <v>47.142857142857146</v>
      </c>
      <c r="I478" s="281">
        <v>47.142857142857146</v>
      </c>
    </row>
    <row r="479" spans="1:9" ht="16.5">
      <c r="A479" s="12">
        <v>41080</v>
      </c>
      <c r="B479" s="17" t="s">
        <v>2881</v>
      </c>
      <c r="H479">
        <v>5</v>
      </c>
      <c r="I479" s="281">
        <v>5</v>
      </c>
    </row>
    <row r="480" spans="1:9" ht="15.75">
      <c r="A480" s="12">
        <v>41080</v>
      </c>
      <c r="B480" s="200" t="s">
        <v>426</v>
      </c>
      <c r="H480">
        <v>5.7142857142857144</v>
      </c>
      <c r="I480" s="281">
        <v>5.7142857142857144</v>
      </c>
    </row>
    <row r="481" spans="1:9" ht="16.5">
      <c r="A481" s="12">
        <v>41080</v>
      </c>
      <c r="B481" s="17" t="s">
        <v>1294</v>
      </c>
      <c r="H481">
        <v>8.5714285714285712</v>
      </c>
      <c r="I481" s="281">
        <v>8.5714285714285712</v>
      </c>
    </row>
    <row r="482" spans="1:9" ht="16.5">
      <c r="A482" s="12">
        <v>41080</v>
      </c>
      <c r="B482" s="17" t="s">
        <v>1295</v>
      </c>
      <c r="H482">
        <v>7.8571428571428577</v>
      </c>
      <c r="I482" s="281">
        <v>7.8571428571428577</v>
      </c>
    </row>
    <row r="483" spans="1:9" ht="16.5">
      <c r="A483" s="12">
        <v>41080</v>
      </c>
      <c r="B483" s="17" t="s">
        <v>2882</v>
      </c>
      <c r="H483">
        <v>88.571428571428584</v>
      </c>
      <c r="I483" s="281">
        <v>88.571428571428584</v>
      </c>
    </row>
    <row r="484" spans="1:9" ht="16.5">
      <c r="A484" s="12">
        <v>41080</v>
      </c>
      <c r="B484" s="17" t="s">
        <v>2883</v>
      </c>
      <c r="H484">
        <v>24.285714285714288</v>
      </c>
      <c r="I484" s="281">
        <v>24.285714285714288</v>
      </c>
    </row>
    <row r="485" spans="1:9" ht="16.5">
      <c r="A485" s="12">
        <v>41080</v>
      </c>
      <c r="B485" s="17" t="s">
        <v>2884</v>
      </c>
      <c r="H485">
        <v>18.571428571428573</v>
      </c>
      <c r="I485" s="281">
        <v>18.571428571428573</v>
      </c>
    </row>
    <row r="486" spans="1:9" ht="15.75">
      <c r="A486" s="12">
        <v>41080</v>
      </c>
      <c r="B486" s="200" t="s">
        <v>2885</v>
      </c>
      <c r="H486">
        <v>18.571428571428573</v>
      </c>
      <c r="I486" s="281">
        <v>18.571428571428573</v>
      </c>
    </row>
    <row r="487" spans="1:9" ht="16.5">
      <c r="A487" s="12">
        <v>41080</v>
      </c>
      <c r="B487" s="17" t="s">
        <v>2886</v>
      </c>
      <c r="H487">
        <v>340</v>
      </c>
      <c r="I487" s="281">
        <v>340</v>
      </c>
    </row>
    <row r="488" spans="1:9" ht="16.5">
      <c r="A488" s="12">
        <v>41080</v>
      </c>
      <c r="B488" s="17" t="s">
        <v>972</v>
      </c>
      <c r="H488">
        <v>21.428571428571431</v>
      </c>
      <c r="I488" s="281">
        <v>21.428571428571431</v>
      </c>
    </row>
    <row r="489" spans="1:9" ht="16.5">
      <c r="A489" s="12">
        <v>41080</v>
      </c>
      <c r="B489" s="17" t="s">
        <v>2887</v>
      </c>
      <c r="H489">
        <v>12.857142857142858</v>
      </c>
      <c r="I489" s="281">
        <v>12.857142857142858</v>
      </c>
    </row>
    <row r="490" spans="1:9" ht="16.5">
      <c r="A490" s="12">
        <v>41080</v>
      </c>
      <c r="B490" s="17" t="s">
        <v>2888</v>
      </c>
      <c r="H490">
        <v>74.285714285714292</v>
      </c>
      <c r="I490" s="281">
        <v>74.285714285714292</v>
      </c>
    </row>
    <row r="491" spans="1:9" ht="15.75">
      <c r="A491" s="12">
        <v>41080</v>
      </c>
      <c r="B491" s="200" t="s">
        <v>2889</v>
      </c>
      <c r="H491">
        <v>8.5714285714285712</v>
      </c>
      <c r="I491" s="281">
        <v>8.5714285714285712</v>
      </c>
    </row>
    <row r="492" spans="1:9" ht="16.5">
      <c r="A492" s="12">
        <v>41080</v>
      </c>
      <c r="B492" s="17" t="s">
        <v>2890</v>
      </c>
      <c r="H492">
        <v>14.285714285714286</v>
      </c>
      <c r="I492" s="281">
        <v>14.285714285714286</v>
      </c>
    </row>
    <row r="493" spans="1:9" ht="16.5">
      <c r="A493" s="12">
        <v>41080</v>
      </c>
      <c r="B493" s="17" t="s">
        <v>2891</v>
      </c>
      <c r="H493">
        <v>111.42857142857143</v>
      </c>
      <c r="I493" s="281">
        <v>111.42857142857143</v>
      </c>
    </row>
    <row r="494" spans="1:9" ht="16.5">
      <c r="A494" s="12">
        <v>41080</v>
      </c>
      <c r="B494" s="17" t="s">
        <v>2892</v>
      </c>
      <c r="H494">
        <v>77.142857142857153</v>
      </c>
      <c r="I494" s="281">
        <v>77.142857142857153</v>
      </c>
    </row>
    <row r="495" spans="1:9" ht="16.5">
      <c r="A495" s="12">
        <v>41080</v>
      </c>
      <c r="B495" s="17" t="s">
        <v>2893</v>
      </c>
      <c r="H495">
        <v>4.2857142857142856</v>
      </c>
      <c r="I495" s="281">
        <v>4.2857142857142856</v>
      </c>
    </row>
    <row r="496" spans="1:9" ht="16.5">
      <c r="A496" s="12">
        <v>41080</v>
      </c>
      <c r="B496" s="17" t="s">
        <v>2894</v>
      </c>
      <c r="H496">
        <v>7.8571428571428577</v>
      </c>
      <c r="I496" s="281">
        <v>7.8571428571428577</v>
      </c>
    </row>
    <row r="497" spans="1:9" ht="16.5">
      <c r="A497" s="12">
        <v>41080</v>
      </c>
      <c r="B497" s="17" t="s">
        <v>2895</v>
      </c>
      <c r="H497">
        <v>2.8571428571428572</v>
      </c>
      <c r="I497" s="281">
        <v>2.8571428571428572</v>
      </c>
    </row>
    <row r="498" spans="1:9" ht="16.5">
      <c r="A498" s="12">
        <v>41080</v>
      </c>
      <c r="B498" s="17" t="s">
        <v>1296</v>
      </c>
      <c r="H498">
        <v>45.714285714285715</v>
      </c>
      <c r="I498" s="281">
        <v>45.714285714285715</v>
      </c>
    </row>
    <row r="499" spans="1:9" ht="16.5">
      <c r="A499" s="12">
        <v>41080</v>
      </c>
      <c r="B499" s="17" t="s">
        <v>2896</v>
      </c>
      <c r="H499">
        <v>10</v>
      </c>
      <c r="I499" s="281">
        <v>10</v>
      </c>
    </row>
    <row r="500" spans="1:9" ht="16.5">
      <c r="A500" s="12">
        <v>41080</v>
      </c>
      <c r="B500" s="17" t="s">
        <v>2897</v>
      </c>
      <c r="H500">
        <v>3.5714285714285716</v>
      </c>
      <c r="I500" s="281">
        <v>3.5714285714285716</v>
      </c>
    </row>
    <row r="501" spans="1:9" ht="16.5">
      <c r="A501" s="12">
        <v>41080</v>
      </c>
      <c r="B501" s="17" t="s">
        <v>2898</v>
      </c>
      <c r="H501">
        <v>32.857142857142861</v>
      </c>
      <c r="I501" s="281">
        <v>32.857142857142861</v>
      </c>
    </row>
    <row r="502" spans="1:9" ht="15.75">
      <c r="A502" s="12">
        <v>41080</v>
      </c>
      <c r="B502" s="200" t="s">
        <v>357</v>
      </c>
      <c r="H502">
        <v>8.5714285714285712</v>
      </c>
      <c r="I502" s="281">
        <v>8.5714285714285712</v>
      </c>
    </row>
    <row r="503" spans="1:9" ht="16.5">
      <c r="A503" s="12">
        <v>41080</v>
      </c>
      <c r="B503" s="17" t="s">
        <v>2899</v>
      </c>
      <c r="H503">
        <v>24.285714285714288</v>
      </c>
      <c r="I503" s="281">
        <v>24.285714285714288</v>
      </c>
    </row>
    <row r="504" spans="1:9" ht="16.5">
      <c r="A504" s="12">
        <v>41080</v>
      </c>
      <c r="B504" s="17" t="s">
        <v>2900</v>
      </c>
      <c r="H504">
        <v>6.8571428571428577</v>
      </c>
      <c r="I504" s="281">
        <v>6.8571428571428577</v>
      </c>
    </row>
    <row r="505" spans="1:9" ht="16.5">
      <c r="A505" s="12">
        <v>41080</v>
      </c>
      <c r="B505" s="17" t="s">
        <v>2901</v>
      </c>
      <c r="H505">
        <v>38.571428571428577</v>
      </c>
      <c r="I505" s="281">
        <v>38.571428571428577</v>
      </c>
    </row>
    <row r="506" spans="1:9" ht="16.5">
      <c r="A506" s="12">
        <v>41080</v>
      </c>
      <c r="B506" s="17" t="s">
        <v>2902</v>
      </c>
      <c r="H506">
        <v>52.857142857142861</v>
      </c>
      <c r="I506" s="281">
        <v>52.857142857142861</v>
      </c>
    </row>
    <row r="507" spans="1:9" ht="16.5">
      <c r="A507" s="12">
        <v>41080</v>
      </c>
      <c r="B507" s="17" t="s">
        <v>2903</v>
      </c>
      <c r="H507">
        <v>40</v>
      </c>
      <c r="I507" s="281">
        <v>40</v>
      </c>
    </row>
    <row r="508" spans="1:9" ht="16.5">
      <c r="A508" s="12">
        <v>41080</v>
      </c>
      <c r="B508" s="17" t="s">
        <v>2904</v>
      </c>
      <c r="H508">
        <v>3.2857142857142856</v>
      </c>
      <c r="I508" s="281">
        <v>3.2857142857142856</v>
      </c>
    </row>
    <row r="509" spans="1:9" ht="16.5">
      <c r="A509" s="12">
        <v>41080</v>
      </c>
      <c r="B509" s="17" t="s">
        <v>2905</v>
      </c>
      <c r="H509">
        <v>7.1428571428571432</v>
      </c>
      <c r="I509" s="281">
        <v>7.1428571428571432</v>
      </c>
    </row>
    <row r="510" spans="1:9" ht="16.5">
      <c r="A510" s="12">
        <v>41080</v>
      </c>
      <c r="B510" s="17" t="s">
        <v>2906</v>
      </c>
      <c r="H510">
        <v>2.5714285714285716</v>
      </c>
      <c r="I510" s="281">
        <v>2.5714285714285716</v>
      </c>
    </row>
    <row r="511" spans="1:9" ht="16.5">
      <c r="A511" s="12">
        <v>41080</v>
      </c>
      <c r="B511" s="17" t="s">
        <v>2907</v>
      </c>
      <c r="H511">
        <v>2.1428571428571428</v>
      </c>
      <c r="I511" s="281">
        <v>2.1428571428571428</v>
      </c>
    </row>
    <row r="512" spans="1:9" ht="16.5">
      <c r="A512" s="12">
        <v>41080</v>
      </c>
      <c r="B512" s="17" t="s">
        <v>2908</v>
      </c>
      <c r="H512">
        <v>6.8571428571428577</v>
      </c>
      <c r="I512" s="281">
        <v>6.8571428571428577</v>
      </c>
    </row>
    <row r="513" spans="1:9" ht="16.5">
      <c r="A513" s="12">
        <v>41080</v>
      </c>
      <c r="B513" s="17" t="s">
        <v>2909</v>
      </c>
      <c r="H513">
        <v>18.571428571428573</v>
      </c>
      <c r="I513" s="281">
        <v>18.571428571428573</v>
      </c>
    </row>
    <row r="514" spans="1:9" ht="16.5">
      <c r="A514" s="12">
        <v>41080</v>
      </c>
      <c r="B514" s="17" t="s">
        <v>2910</v>
      </c>
      <c r="H514">
        <v>8.5714285714285712</v>
      </c>
      <c r="I514" s="281">
        <v>8.5714285714285712</v>
      </c>
    </row>
    <row r="515" spans="1:9" ht="16.5">
      <c r="A515" s="12">
        <v>41080</v>
      </c>
      <c r="B515" s="17" t="s">
        <v>2911</v>
      </c>
      <c r="H515">
        <v>25</v>
      </c>
      <c r="I515" s="281">
        <v>25</v>
      </c>
    </row>
    <row r="516" spans="1:9" ht="16.5">
      <c r="A516" s="12">
        <v>41080</v>
      </c>
      <c r="B516" s="17" t="s">
        <v>2912</v>
      </c>
      <c r="H516">
        <v>37.142857142857146</v>
      </c>
      <c r="I516" s="281">
        <v>37.142857142857146</v>
      </c>
    </row>
    <row r="517" spans="1:9" ht="15.75">
      <c r="A517" s="12">
        <v>41080</v>
      </c>
      <c r="B517" s="200" t="s">
        <v>2913</v>
      </c>
      <c r="H517">
        <v>71.428571428571431</v>
      </c>
      <c r="I517" s="281">
        <v>71.428571428571431</v>
      </c>
    </row>
    <row r="518" spans="1:9" ht="16.5">
      <c r="A518" s="12">
        <v>41080</v>
      </c>
      <c r="B518" s="17" t="s">
        <v>2914</v>
      </c>
      <c r="H518">
        <v>40</v>
      </c>
      <c r="I518" s="281">
        <v>40</v>
      </c>
    </row>
    <row r="519" spans="1:9" ht="16.5">
      <c r="A519" s="12">
        <v>41080</v>
      </c>
      <c r="B519" s="17" t="s">
        <v>2915</v>
      </c>
      <c r="H519">
        <v>32.857142857142861</v>
      </c>
      <c r="I519" s="281">
        <v>32.857142857142861</v>
      </c>
    </row>
    <row r="520" spans="1:9" ht="16.5">
      <c r="A520" s="12">
        <v>41080</v>
      </c>
      <c r="B520" s="17" t="s">
        <v>2916</v>
      </c>
      <c r="H520">
        <v>8.5714285714285712</v>
      </c>
      <c r="I520" s="281">
        <v>8.5714285714285712</v>
      </c>
    </row>
    <row r="521" spans="1:9" ht="16.5">
      <c r="A521" s="12">
        <v>41080</v>
      </c>
      <c r="B521" s="17" t="s">
        <v>2917</v>
      </c>
      <c r="H521">
        <v>15.714285714285715</v>
      </c>
      <c r="I521" s="281">
        <v>15.714285714285715</v>
      </c>
    </row>
    <row r="522" spans="1:9" ht="16.5">
      <c r="A522" s="12">
        <v>41080</v>
      </c>
      <c r="B522" s="17" t="s">
        <v>2918</v>
      </c>
      <c r="H522">
        <v>42.857142857142861</v>
      </c>
      <c r="I522" s="281">
        <v>42.857142857142861</v>
      </c>
    </row>
    <row r="523" spans="1:9" ht="16.5">
      <c r="A523" s="12">
        <v>41080</v>
      </c>
      <c r="B523" s="17" t="s">
        <v>2919</v>
      </c>
      <c r="H523">
        <v>27.142857142857146</v>
      </c>
      <c r="I523" s="281">
        <v>27.142857142857146</v>
      </c>
    </row>
    <row r="524" spans="1:9" ht="16.5">
      <c r="A524" s="12">
        <v>41080</v>
      </c>
      <c r="B524" s="17" t="s">
        <v>2920</v>
      </c>
      <c r="H524">
        <v>1.4285714285714286</v>
      </c>
      <c r="I524" s="281">
        <v>1.4285714285714286</v>
      </c>
    </row>
    <row r="525" spans="1:9" ht="16.5">
      <c r="A525" s="12">
        <v>41080</v>
      </c>
      <c r="B525" s="17" t="s">
        <v>2921</v>
      </c>
      <c r="H525">
        <v>60.000000000000007</v>
      </c>
      <c r="I525" s="281">
        <v>60.000000000000007</v>
      </c>
    </row>
    <row r="526" spans="1:9" ht="15.75">
      <c r="A526" s="12">
        <v>41080</v>
      </c>
      <c r="B526" s="200" t="s">
        <v>2922</v>
      </c>
      <c r="H526">
        <v>48.571428571428577</v>
      </c>
      <c r="I526" s="281">
        <v>48.571428571428577</v>
      </c>
    </row>
    <row r="527" spans="1:9" ht="16.5">
      <c r="A527" s="12">
        <v>41080</v>
      </c>
      <c r="B527" s="17" t="s">
        <v>1297</v>
      </c>
      <c r="H527">
        <v>77.142857142857153</v>
      </c>
      <c r="I527" s="281">
        <v>77.142857142857153</v>
      </c>
    </row>
    <row r="528" spans="1:9" ht="16.5">
      <c r="A528" s="12">
        <v>41080</v>
      </c>
      <c r="B528" s="17" t="s">
        <v>2923</v>
      </c>
      <c r="H528">
        <v>9.2857142857142865</v>
      </c>
      <c r="I528" s="281">
        <v>9.2857142857142865</v>
      </c>
    </row>
    <row r="529" spans="1:9" ht="16.5">
      <c r="A529" s="12">
        <v>41080</v>
      </c>
      <c r="B529" s="17" t="s">
        <v>2924</v>
      </c>
      <c r="H529">
        <v>28.571428571428573</v>
      </c>
      <c r="I529" s="281">
        <v>28.571428571428573</v>
      </c>
    </row>
    <row r="530" spans="1:9" ht="16.5">
      <c r="A530" s="12">
        <v>41080</v>
      </c>
      <c r="B530" s="17" t="s">
        <v>2925</v>
      </c>
      <c r="H530">
        <v>7.8571428571428577</v>
      </c>
      <c r="I530" s="281">
        <v>7.8571428571428577</v>
      </c>
    </row>
    <row r="531" spans="1:9" ht="16.5">
      <c r="A531" s="12">
        <v>41080</v>
      </c>
      <c r="B531" s="17" t="s">
        <v>2926</v>
      </c>
      <c r="H531">
        <v>31.428571428571431</v>
      </c>
      <c r="I531" s="281">
        <v>31.428571428571431</v>
      </c>
    </row>
    <row r="532" spans="1:9" ht="16.5">
      <c r="A532" s="12">
        <v>41080</v>
      </c>
      <c r="B532" s="17" t="s">
        <v>2927</v>
      </c>
      <c r="H532">
        <v>3.5714285714285716</v>
      </c>
      <c r="I532" s="281">
        <v>3.5714285714285716</v>
      </c>
    </row>
    <row r="533" spans="1:9" ht="16.5">
      <c r="A533" s="12">
        <v>41080</v>
      </c>
      <c r="B533" s="17" t="s">
        <v>2928</v>
      </c>
      <c r="H533">
        <v>9.2857142857142865</v>
      </c>
      <c r="I533" s="281">
        <v>9.2857142857142865</v>
      </c>
    </row>
    <row r="534" spans="1:9" ht="16.5">
      <c r="A534" s="12">
        <v>41080</v>
      </c>
      <c r="B534" s="17" t="s">
        <v>2929</v>
      </c>
      <c r="H534">
        <v>112.85714285714286</v>
      </c>
      <c r="I534" s="281">
        <v>112.85714285714286</v>
      </c>
    </row>
    <row r="535" spans="1:9" ht="16.5">
      <c r="A535" s="12">
        <v>41080</v>
      </c>
      <c r="B535" s="17" t="s">
        <v>2930</v>
      </c>
      <c r="H535">
        <v>21.428571428571431</v>
      </c>
      <c r="I535" s="281">
        <v>21.428571428571431</v>
      </c>
    </row>
    <row r="536" spans="1:9" ht="16.5">
      <c r="A536" s="12">
        <v>41080</v>
      </c>
      <c r="B536" s="17" t="s">
        <v>2931</v>
      </c>
      <c r="H536">
        <v>38.571428571428577</v>
      </c>
      <c r="I536" s="281">
        <v>38.571428571428577</v>
      </c>
    </row>
    <row r="537" spans="1:9" ht="16.5">
      <c r="A537" s="12">
        <v>41080</v>
      </c>
      <c r="B537" s="17" t="s">
        <v>2932</v>
      </c>
      <c r="H537">
        <v>8.5714285714285712</v>
      </c>
      <c r="I537" s="281">
        <v>8.5714285714285712</v>
      </c>
    </row>
    <row r="538" spans="1:9" ht="16.5">
      <c r="A538" s="12">
        <v>41080</v>
      </c>
      <c r="B538" s="17" t="s">
        <v>2933</v>
      </c>
      <c r="H538">
        <v>25.714285714285715</v>
      </c>
      <c r="I538" s="281">
        <v>25.714285714285715</v>
      </c>
    </row>
    <row r="539" spans="1:9" ht="16.5">
      <c r="A539" s="12">
        <v>41080</v>
      </c>
      <c r="B539" s="17" t="s">
        <v>2934</v>
      </c>
      <c r="H539">
        <v>5</v>
      </c>
      <c r="I539" s="281">
        <v>5</v>
      </c>
    </row>
    <row r="540" spans="1:9" ht="15.75">
      <c r="A540" s="12">
        <v>41080</v>
      </c>
      <c r="B540" s="200" t="s">
        <v>2935</v>
      </c>
      <c r="H540">
        <v>8.5714285714285712</v>
      </c>
      <c r="I540" s="281">
        <v>8.5714285714285712</v>
      </c>
    </row>
    <row r="541" spans="1:9" ht="16.5">
      <c r="A541" s="12">
        <v>41080</v>
      </c>
      <c r="B541" s="17" t="s">
        <v>978</v>
      </c>
      <c r="H541">
        <v>5</v>
      </c>
      <c r="I541" s="281">
        <v>5</v>
      </c>
    </row>
    <row r="542" spans="1:9" ht="16.5">
      <c r="A542" s="12">
        <v>41080</v>
      </c>
      <c r="B542" s="17" t="s">
        <v>2936</v>
      </c>
      <c r="H542">
        <v>8.5714285714285712</v>
      </c>
      <c r="I542" s="281">
        <v>8.5714285714285712</v>
      </c>
    </row>
    <row r="543" spans="1:9" ht="16.5">
      <c r="A543" s="12">
        <v>41080</v>
      </c>
      <c r="B543" s="17" t="s">
        <v>2937</v>
      </c>
      <c r="H543">
        <v>11.428571428571429</v>
      </c>
      <c r="I543" s="281">
        <v>11.428571428571429</v>
      </c>
    </row>
    <row r="544" spans="1:9" ht="16.5">
      <c r="A544" s="12">
        <v>41080</v>
      </c>
      <c r="B544" s="17" t="s">
        <v>2938</v>
      </c>
      <c r="H544">
        <v>51.428571428571431</v>
      </c>
      <c r="I544" s="281">
        <v>51.428571428571431</v>
      </c>
    </row>
    <row r="545" spans="1:9" ht="16.5">
      <c r="A545" s="12">
        <v>41080</v>
      </c>
      <c r="B545" s="17" t="s">
        <v>2939</v>
      </c>
      <c r="H545">
        <v>82.857142857142861</v>
      </c>
      <c r="I545" s="281">
        <v>82.857142857142861</v>
      </c>
    </row>
    <row r="546" spans="1:9" ht="16.5">
      <c r="A546" s="12">
        <v>41080</v>
      </c>
      <c r="B546" s="17" t="s">
        <v>2940</v>
      </c>
      <c r="H546">
        <v>11.428571428571429</v>
      </c>
      <c r="I546" s="281">
        <v>11.428571428571429</v>
      </c>
    </row>
    <row r="547" spans="1:9" ht="16.5">
      <c r="A547" s="12">
        <v>41080</v>
      </c>
      <c r="B547" s="17" t="s">
        <v>2941</v>
      </c>
      <c r="H547">
        <v>45.714285714285715</v>
      </c>
      <c r="I547" s="281">
        <v>45.714285714285715</v>
      </c>
    </row>
    <row r="548" spans="1:9" ht="16.5">
      <c r="A548" s="12">
        <v>41080</v>
      </c>
      <c r="B548" s="17" t="s">
        <v>2942</v>
      </c>
      <c r="H548">
        <v>45.714285714285715</v>
      </c>
      <c r="I548" s="281">
        <v>45.714285714285715</v>
      </c>
    </row>
    <row r="549" spans="1:9" ht="16.5">
      <c r="A549" s="12">
        <v>41080</v>
      </c>
      <c r="B549" s="17" t="s">
        <v>2943</v>
      </c>
      <c r="H549">
        <v>528.57142857142856</v>
      </c>
      <c r="I549" s="281">
        <v>528.57142857142856</v>
      </c>
    </row>
    <row r="550" spans="1:9" ht="16.5">
      <c r="A550" s="12">
        <v>41080</v>
      </c>
      <c r="B550" s="17" t="s">
        <v>2944</v>
      </c>
      <c r="H550">
        <v>107.14285714285715</v>
      </c>
      <c r="I550" s="281">
        <v>107.14285714285715</v>
      </c>
    </row>
    <row r="551" spans="1:9" ht="16.5">
      <c r="A551" s="12">
        <v>41080</v>
      </c>
      <c r="B551" s="17" t="s">
        <v>2945</v>
      </c>
      <c r="H551">
        <v>41.428571428571431</v>
      </c>
      <c r="I551" s="281">
        <v>41.428571428571431</v>
      </c>
    </row>
    <row r="552" spans="1:9" ht="16.5">
      <c r="A552" s="12">
        <v>41080</v>
      </c>
      <c r="B552" s="17" t="s">
        <v>2946</v>
      </c>
      <c r="H552">
        <v>4.5714285714285721</v>
      </c>
      <c r="I552" s="281">
        <v>4.5714285714285721</v>
      </c>
    </row>
    <row r="553" spans="1:9" ht="16.5">
      <c r="A553" s="12">
        <v>41080</v>
      </c>
      <c r="B553" s="17" t="s">
        <v>2947</v>
      </c>
      <c r="H553">
        <v>4.2857142857142856</v>
      </c>
      <c r="I553" s="281">
        <v>4.2857142857142856</v>
      </c>
    </row>
    <row r="554" spans="1:9" ht="16.5">
      <c r="A554" s="12">
        <v>41080</v>
      </c>
      <c r="B554" s="17" t="s">
        <v>2948</v>
      </c>
      <c r="H554">
        <v>28.571428571428573</v>
      </c>
      <c r="I554" s="281">
        <v>28.571428571428573</v>
      </c>
    </row>
    <row r="555" spans="1:9" ht="15.75">
      <c r="A555" s="12">
        <v>41080</v>
      </c>
      <c r="B555" s="200" t="s">
        <v>2949</v>
      </c>
      <c r="H555">
        <v>140</v>
      </c>
      <c r="I555" s="281">
        <v>140</v>
      </c>
    </row>
    <row r="556" spans="1:9" ht="16.5">
      <c r="A556" s="12">
        <v>41080</v>
      </c>
      <c r="B556" s="17" t="s">
        <v>2950</v>
      </c>
      <c r="H556">
        <v>14.285714285714286</v>
      </c>
      <c r="I556" s="281">
        <v>14.285714285714286</v>
      </c>
    </row>
    <row r="557" spans="1:9" ht="16.5">
      <c r="A557" s="12">
        <v>41080</v>
      </c>
      <c r="B557" s="17" t="s">
        <v>2951</v>
      </c>
      <c r="H557">
        <v>7.1428571428571432</v>
      </c>
      <c r="I557" s="281">
        <v>7.1428571428571432</v>
      </c>
    </row>
    <row r="558" spans="1:9" ht="16.5">
      <c r="A558" s="12">
        <v>41080</v>
      </c>
      <c r="B558" s="17" t="s">
        <v>2952</v>
      </c>
      <c r="H558">
        <v>14.285714285714286</v>
      </c>
      <c r="I558" s="281">
        <v>14.285714285714286</v>
      </c>
    </row>
    <row r="559" spans="1:9" ht="16.5">
      <c r="A559" s="12">
        <v>41080</v>
      </c>
      <c r="B559" s="17" t="s">
        <v>2953</v>
      </c>
      <c r="H559">
        <v>24.285714285714288</v>
      </c>
      <c r="I559" s="281">
        <v>24.285714285714288</v>
      </c>
    </row>
    <row r="560" spans="1:9" ht="16.5">
      <c r="A560" s="12">
        <v>41080</v>
      </c>
      <c r="B560" s="17" t="s">
        <v>2954</v>
      </c>
      <c r="H560">
        <v>12.857142857142858</v>
      </c>
      <c r="I560" s="281">
        <v>12.857142857142858</v>
      </c>
    </row>
    <row r="561" spans="1:9" ht="16.5">
      <c r="A561" s="12">
        <v>41080</v>
      </c>
      <c r="B561" s="17" t="s">
        <v>2955</v>
      </c>
      <c r="H561">
        <v>6.4285714285714288</v>
      </c>
      <c r="I561" s="281">
        <v>6.4285714285714288</v>
      </c>
    </row>
    <row r="562" spans="1:9" ht="16.5">
      <c r="A562" s="12">
        <v>41080</v>
      </c>
      <c r="B562" s="17" t="s">
        <v>2956</v>
      </c>
      <c r="H562">
        <v>5</v>
      </c>
      <c r="I562" s="281">
        <v>5</v>
      </c>
    </row>
    <row r="563" spans="1:9" ht="16.5">
      <c r="A563" s="12">
        <v>41080</v>
      </c>
      <c r="B563" s="17" t="s">
        <v>2957</v>
      </c>
      <c r="H563">
        <v>32.857142857142861</v>
      </c>
      <c r="I563" s="281">
        <v>32.857142857142861</v>
      </c>
    </row>
    <row r="564" spans="1:9" ht="16.5">
      <c r="A564" s="12">
        <v>41080</v>
      </c>
      <c r="B564" s="17" t="s">
        <v>2958</v>
      </c>
      <c r="H564">
        <v>111.42857142857143</v>
      </c>
      <c r="I564" s="281">
        <v>111.42857142857143</v>
      </c>
    </row>
    <row r="565" spans="1:9" ht="16.5">
      <c r="A565" s="12">
        <v>41080</v>
      </c>
      <c r="B565" s="17" t="s">
        <v>2959</v>
      </c>
      <c r="H565">
        <v>64.285714285714292</v>
      </c>
      <c r="I565" s="281">
        <v>64.285714285714292</v>
      </c>
    </row>
    <row r="566" spans="1:9" ht="16.5">
      <c r="A566" s="12">
        <v>41080</v>
      </c>
      <c r="B566" s="17" t="s">
        <v>2960</v>
      </c>
      <c r="H566">
        <v>31.428571428571431</v>
      </c>
      <c r="I566" s="281">
        <v>31.428571428571431</v>
      </c>
    </row>
    <row r="567" spans="1:9" ht="16.5">
      <c r="A567" s="12">
        <v>41080</v>
      </c>
      <c r="B567" s="17" t="s">
        <v>360</v>
      </c>
      <c r="H567">
        <v>9.2857142857142865</v>
      </c>
      <c r="I567" s="281">
        <v>9.2857142857142865</v>
      </c>
    </row>
    <row r="568" spans="1:9" ht="16.5">
      <c r="A568" s="12">
        <v>41080</v>
      </c>
      <c r="B568" s="17" t="s">
        <v>2961</v>
      </c>
      <c r="H568">
        <v>17.142857142857142</v>
      </c>
      <c r="I568" s="281">
        <v>17.142857142857142</v>
      </c>
    </row>
    <row r="569" spans="1:9" ht="16.5">
      <c r="A569" s="12">
        <v>41080</v>
      </c>
      <c r="B569" s="17" t="s">
        <v>2962</v>
      </c>
      <c r="H569">
        <v>57.142857142857146</v>
      </c>
      <c r="I569" s="281">
        <v>57.142857142857146</v>
      </c>
    </row>
    <row r="570" spans="1:9" ht="16.5">
      <c r="A570" s="12">
        <v>41080</v>
      </c>
      <c r="B570" s="17" t="s">
        <v>2963</v>
      </c>
      <c r="H570">
        <v>28.571428571428573</v>
      </c>
      <c r="I570" s="281">
        <v>28.571428571428573</v>
      </c>
    </row>
    <row r="571" spans="1:9" ht="16.5">
      <c r="A571" s="12">
        <v>41080</v>
      </c>
      <c r="B571" s="17" t="s">
        <v>2964</v>
      </c>
      <c r="H571">
        <v>27.142857142857146</v>
      </c>
      <c r="I571" s="281">
        <v>27.142857142857146</v>
      </c>
    </row>
    <row r="572" spans="1:9" ht="16.5">
      <c r="A572" s="12">
        <v>41080</v>
      </c>
      <c r="B572" s="17" t="s">
        <v>2965</v>
      </c>
      <c r="H572">
        <v>11.428571428571429</v>
      </c>
      <c r="I572" s="281">
        <v>11.428571428571429</v>
      </c>
    </row>
    <row r="573" spans="1:9" ht="16.5">
      <c r="A573" s="12">
        <v>41080</v>
      </c>
      <c r="B573" s="17" t="s">
        <v>2966</v>
      </c>
      <c r="H573">
        <v>11.428571428571429</v>
      </c>
      <c r="I573" s="281">
        <v>11.428571428571429</v>
      </c>
    </row>
    <row r="574" spans="1:9" ht="16.5">
      <c r="A574" s="12">
        <v>41080</v>
      </c>
      <c r="B574" s="17" t="s">
        <v>2967</v>
      </c>
      <c r="H574">
        <v>14.285714285714286</v>
      </c>
      <c r="I574" s="281">
        <v>14.285714285714286</v>
      </c>
    </row>
    <row r="575" spans="1:9" ht="16.5">
      <c r="A575" s="12">
        <v>41080</v>
      </c>
      <c r="B575" s="17" t="s">
        <v>2968</v>
      </c>
      <c r="H575">
        <v>28.571428571428573</v>
      </c>
      <c r="I575" s="281">
        <v>28.571428571428573</v>
      </c>
    </row>
    <row r="576" spans="1:9" ht="16.5">
      <c r="A576" s="12">
        <v>41080</v>
      </c>
      <c r="B576" s="17" t="s">
        <v>2969</v>
      </c>
      <c r="H576">
        <v>51.428571428571431</v>
      </c>
      <c r="I576" s="281">
        <v>51.428571428571431</v>
      </c>
    </row>
    <row r="577" spans="1:9" ht="15.75">
      <c r="A577" s="12">
        <v>41080</v>
      </c>
      <c r="B577" s="200" t="s">
        <v>2970</v>
      </c>
      <c r="H577">
        <v>5.7142857142857144</v>
      </c>
      <c r="I577" s="281">
        <v>5.7142857142857144</v>
      </c>
    </row>
    <row r="578" spans="1:9" ht="15.75">
      <c r="A578" s="12">
        <v>41080</v>
      </c>
      <c r="B578" s="200" t="s">
        <v>2971</v>
      </c>
      <c r="H578">
        <v>41.428571428571431</v>
      </c>
      <c r="I578" s="281">
        <v>41.428571428571431</v>
      </c>
    </row>
    <row r="579" spans="1:9" ht="16.5">
      <c r="A579" s="12">
        <v>41080</v>
      </c>
      <c r="B579" s="17" t="s">
        <v>2972</v>
      </c>
      <c r="H579">
        <v>9.2857142857142865</v>
      </c>
      <c r="I579" s="281">
        <v>9.2857142857142865</v>
      </c>
    </row>
    <row r="580" spans="1:9" ht="16.5">
      <c r="A580" s="12">
        <v>41080</v>
      </c>
      <c r="B580" s="17" t="s">
        <v>2973</v>
      </c>
      <c r="H580">
        <v>12.857142857142858</v>
      </c>
      <c r="I580" s="281">
        <v>12.857142857142858</v>
      </c>
    </row>
    <row r="581" spans="1:9" ht="16.5">
      <c r="A581" s="12">
        <v>41080</v>
      </c>
      <c r="B581" s="17" t="s">
        <v>2974</v>
      </c>
      <c r="H581">
        <v>100</v>
      </c>
      <c r="I581" s="281">
        <v>100</v>
      </c>
    </row>
    <row r="582" spans="1:9" ht="16.5">
      <c r="A582" s="12">
        <v>41080</v>
      </c>
      <c r="B582" s="17" t="s">
        <v>2975</v>
      </c>
      <c r="H582">
        <v>9.7142857142857153</v>
      </c>
      <c r="I582" s="281">
        <v>9.7142857142857153</v>
      </c>
    </row>
    <row r="583" spans="1:9" ht="15.75">
      <c r="A583" s="12">
        <v>41080</v>
      </c>
      <c r="B583" s="200" t="s">
        <v>2976</v>
      </c>
      <c r="H583">
        <v>7.8571428571428577</v>
      </c>
      <c r="I583" s="281">
        <v>7.8571428571428577</v>
      </c>
    </row>
    <row r="584" spans="1:9" ht="16.5">
      <c r="A584" s="12">
        <v>41080</v>
      </c>
      <c r="B584" s="17" t="s">
        <v>1298</v>
      </c>
      <c r="H584">
        <v>2.8571428571428572</v>
      </c>
      <c r="I584" s="281">
        <v>2.8571428571428572</v>
      </c>
    </row>
    <row r="585" spans="1:9" ht="16.5">
      <c r="A585" s="12">
        <v>41080</v>
      </c>
      <c r="B585" s="17" t="s">
        <v>2977</v>
      </c>
      <c r="H585">
        <v>10</v>
      </c>
      <c r="I585" s="281">
        <v>10</v>
      </c>
    </row>
    <row r="586" spans="1:9" ht="16.5">
      <c r="A586" s="12">
        <v>41080</v>
      </c>
      <c r="B586" s="17" t="s">
        <v>1299</v>
      </c>
      <c r="H586">
        <v>6.4285714285714288</v>
      </c>
      <c r="I586" s="281">
        <v>6.4285714285714288</v>
      </c>
    </row>
    <row r="587" spans="1:9" ht="16.5">
      <c r="A587" s="12">
        <v>41080</v>
      </c>
      <c r="B587" s="17" t="s">
        <v>2344</v>
      </c>
      <c r="H587">
        <v>6.4285714285714288</v>
      </c>
      <c r="I587" s="281">
        <v>6.4285714285714288</v>
      </c>
    </row>
    <row r="588" spans="1:9" ht="16.5">
      <c r="A588" s="12">
        <v>41080</v>
      </c>
      <c r="B588" s="17" t="s">
        <v>2978</v>
      </c>
      <c r="H588">
        <v>22.857142857142858</v>
      </c>
      <c r="I588" s="281">
        <v>22.857142857142858</v>
      </c>
    </row>
    <row r="589" spans="1:9" ht="16.5">
      <c r="A589" s="12">
        <v>41080</v>
      </c>
      <c r="B589" s="17" t="s">
        <v>2979</v>
      </c>
      <c r="H589">
        <v>2.8571428571428572</v>
      </c>
      <c r="I589" s="281">
        <v>2.8571428571428572</v>
      </c>
    </row>
    <row r="590" spans="1:9" ht="16.5">
      <c r="A590" s="12">
        <v>41080</v>
      </c>
      <c r="B590" s="17" t="s">
        <v>2980</v>
      </c>
      <c r="H590">
        <v>8.2857142857142865</v>
      </c>
      <c r="I590" s="281">
        <v>8.2857142857142865</v>
      </c>
    </row>
    <row r="591" spans="1:9" ht="16.5">
      <c r="A591" s="12">
        <v>41080</v>
      </c>
      <c r="B591" s="17" t="s">
        <v>2981</v>
      </c>
      <c r="H591">
        <v>5.4285714285714288</v>
      </c>
      <c r="I591" s="281">
        <v>5.4285714285714288</v>
      </c>
    </row>
    <row r="592" spans="1:9" ht="16.5">
      <c r="A592" s="12">
        <v>41080</v>
      </c>
      <c r="B592" s="17" t="s">
        <v>1300</v>
      </c>
      <c r="H592">
        <v>1.8571428571428574</v>
      </c>
      <c r="I592" s="281">
        <v>1.8571428571428574</v>
      </c>
    </row>
    <row r="593" spans="1:9" ht="16.5">
      <c r="A593" s="12">
        <v>41080</v>
      </c>
      <c r="B593" s="17" t="s">
        <v>2982</v>
      </c>
      <c r="H593">
        <v>8</v>
      </c>
      <c r="I593" s="281">
        <v>8</v>
      </c>
    </row>
    <row r="594" spans="1:9" ht="16.5">
      <c r="A594" s="12">
        <v>41080</v>
      </c>
      <c r="B594" s="17" t="s">
        <v>2983</v>
      </c>
      <c r="H594">
        <v>8.5714285714285712</v>
      </c>
      <c r="I594" s="281">
        <v>8.5714285714285712</v>
      </c>
    </row>
    <row r="595" spans="1:9" ht="16.5">
      <c r="A595" s="12">
        <v>41080</v>
      </c>
      <c r="B595" s="17" t="s">
        <v>2984</v>
      </c>
      <c r="H595">
        <v>8.5714285714285712</v>
      </c>
      <c r="I595" s="281">
        <v>8.5714285714285712</v>
      </c>
    </row>
    <row r="596" spans="1:9" ht="16.5">
      <c r="A596" s="12">
        <v>41080</v>
      </c>
      <c r="B596" s="17" t="s">
        <v>2985</v>
      </c>
      <c r="H596">
        <v>12.857142857142858</v>
      </c>
      <c r="I596" s="281">
        <v>12.857142857142858</v>
      </c>
    </row>
    <row r="597" spans="1:9" ht="16.5">
      <c r="A597" s="12">
        <v>41080</v>
      </c>
      <c r="B597" s="17" t="s">
        <v>2986</v>
      </c>
      <c r="H597">
        <v>92.857142857142861</v>
      </c>
      <c r="I597" s="281">
        <v>92.857142857142861</v>
      </c>
    </row>
    <row r="598" spans="1:9" ht="16.5">
      <c r="A598" s="12">
        <v>41080</v>
      </c>
      <c r="B598" s="17" t="s">
        <v>2987</v>
      </c>
      <c r="H598">
        <v>104.28571428571429</v>
      </c>
      <c r="I598" s="281">
        <v>104.28571428571429</v>
      </c>
    </row>
    <row r="599" spans="1:9" ht="16.5">
      <c r="A599" s="12">
        <v>41080</v>
      </c>
      <c r="B599" s="17" t="s">
        <v>2988</v>
      </c>
      <c r="H599">
        <v>45.714285714285715</v>
      </c>
      <c r="I599" s="281">
        <v>45.714285714285715</v>
      </c>
    </row>
    <row r="600" spans="1:9" ht="16.5">
      <c r="A600" s="12">
        <v>41080</v>
      </c>
      <c r="B600" s="17" t="s">
        <v>2989</v>
      </c>
      <c r="H600">
        <v>4.7142857142857144</v>
      </c>
      <c r="I600" s="281">
        <v>4.7142857142857144</v>
      </c>
    </row>
    <row r="601" spans="1:9" ht="16.5">
      <c r="A601" s="12">
        <v>41080</v>
      </c>
      <c r="B601" s="17" t="s">
        <v>2990</v>
      </c>
      <c r="H601">
        <v>32.857142857142861</v>
      </c>
      <c r="I601" s="281">
        <v>32.857142857142861</v>
      </c>
    </row>
    <row r="602" spans="1:9" ht="16.5">
      <c r="A602" s="12">
        <v>41080</v>
      </c>
      <c r="B602" s="17" t="s">
        <v>2991</v>
      </c>
      <c r="H602">
        <v>10.714285714285715</v>
      </c>
      <c r="I602" s="281">
        <v>10.714285714285715</v>
      </c>
    </row>
    <row r="603" spans="1:9" ht="16.5">
      <c r="A603" s="12">
        <v>41080</v>
      </c>
      <c r="B603" s="17" t="s">
        <v>2992</v>
      </c>
      <c r="H603">
        <v>5.4285714285714288</v>
      </c>
      <c r="I603" s="281">
        <v>5.4285714285714288</v>
      </c>
    </row>
    <row r="604" spans="1:9" ht="16.5">
      <c r="A604" s="12">
        <v>41080</v>
      </c>
      <c r="B604" s="17" t="s">
        <v>2993</v>
      </c>
      <c r="H604">
        <v>18.571428571428573</v>
      </c>
      <c r="I604" s="281">
        <v>18.571428571428573</v>
      </c>
    </row>
    <row r="605" spans="1:9" ht="16.5">
      <c r="A605" s="12">
        <v>41080</v>
      </c>
      <c r="B605" s="17" t="s">
        <v>2994</v>
      </c>
      <c r="H605">
        <v>50</v>
      </c>
      <c r="I605" s="281">
        <v>50</v>
      </c>
    </row>
    <row r="606" spans="1:9" ht="16.5">
      <c r="A606" s="12">
        <v>41080</v>
      </c>
      <c r="B606" s="17" t="s">
        <v>2995</v>
      </c>
      <c r="H606">
        <v>6.5714285714285712</v>
      </c>
      <c r="I606" s="281">
        <v>6.5714285714285712</v>
      </c>
    </row>
    <row r="607" spans="1:9" ht="16.5">
      <c r="A607" s="12">
        <v>41080</v>
      </c>
      <c r="B607" s="17" t="s">
        <v>2996</v>
      </c>
      <c r="H607">
        <v>18.571428571428573</v>
      </c>
      <c r="I607" s="281">
        <v>18.571428571428573</v>
      </c>
    </row>
    <row r="608" spans="1:9" ht="16.5">
      <c r="A608" s="12">
        <v>41080</v>
      </c>
      <c r="B608" s="17" t="s">
        <v>2997</v>
      </c>
      <c r="H608">
        <v>54.285714285714292</v>
      </c>
      <c r="I608" s="281">
        <v>54.285714285714292</v>
      </c>
    </row>
    <row r="609" spans="1:9" ht="16.5">
      <c r="A609" s="12">
        <v>41080</v>
      </c>
      <c r="B609" s="17" t="s">
        <v>2998</v>
      </c>
      <c r="H609">
        <v>12.857142857142858</v>
      </c>
      <c r="I609" s="281">
        <v>12.857142857142858</v>
      </c>
    </row>
    <row r="610" spans="1:9" ht="15.75">
      <c r="A610" s="12">
        <v>41080</v>
      </c>
      <c r="B610" s="200" t="s">
        <v>2999</v>
      </c>
      <c r="H610">
        <v>102.85714285714286</v>
      </c>
      <c r="I610" s="281">
        <v>102.85714285714286</v>
      </c>
    </row>
    <row r="611" spans="1:9" ht="16.5">
      <c r="A611" s="12">
        <v>41080</v>
      </c>
      <c r="B611" s="17" t="s">
        <v>3000</v>
      </c>
      <c r="H611">
        <v>12.857142857142858</v>
      </c>
      <c r="I611" s="281">
        <v>12.857142857142858</v>
      </c>
    </row>
    <row r="612" spans="1:9" ht="16.5">
      <c r="A612" s="12">
        <v>41080</v>
      </c>
      <c r="B612" s="17" t="s">
        <v>2590</v>
      </c>
      <c r="H612">
        <v>5</v>
      </c>
      <c r="I612" s="281">
        <v>5</v>
      </c>
    </row>
    <row r="613" spans="1:9" ht="16.5">
      <c r="A613" s="12">
        <v>41080</v>
      </c>
      <c r="B613" s="17" t="s">
        <v>3001</v>
      </c>
      <c r="H613">
        <v>38.571428571428577</v>
      </c>
      <c r="I613" s="281">
        <v>38.571428571428577</v>
      </c>
    </row>
    <row r="614" spans="1:9" ht="16.5">
      <c r="A614" s="12">
        <v>41080</v>
      </c>
      <c r="B614" s="17" t="s">
        <v>3002</v>
      </c>
      <c r="H614">
        <v>25.714285714285715</v>
      </c>
      <c r="I614" s="281">
        <v>25.714285714285715</v>
      </c>
    </row>
    <row r="615" spans="1:9" ht="16.5">
      <c r="A615" s="12">
        <v>41080</v>
      </c>
      <c r="B615" s="17" t="s">
        <v>3003</v>
      </c>
      <c r="H615">
        <v>21.428571428571431</v>
      </c>
      <c r="I615" s="281">
        <v>21.428571428571431</v>
      </c>
    </row>
    <row r="616" spans="1:9" ht="16.5">
      <c r="A616" s="12">
        <v>41080</v>
      </c>
      <c r="B616" s="17" t="s">
        <v>3004</v>
      </c>
      <c r="H616">
        <v>11.428571428571429</v>
      </c>
      <c r="I616" s="281">
        <v>11.428571428571429</v>
      </c>
    </row>
    <row r="617" spans="1:9" ht="15.75">
      <c r="A617" s="12">
        <v>41080</v>
      </c>
      <c r="B617" s="200" t="s">
        <v>3005</v>
      </c>
      <c r="H617">
        <v>30.000000000000004</v>
      </c>
      <c r="I617" s="281">
        <v>30.000000000000004</v>
      </c>
    </row>
    <row r="618" spans="1:9" ht="16.5">
      <c r="A618" s="12">
        <v>41080</v>
      </c>
      <c r="B618" s="17" t="s">
        <v>3006</v>
      </c>
      <c r="H618">
        <v>95.714285714285722</v>
      </c>
      <c r="I618" s="281">
        <v>95.714285714285722</v>
      </c>
    </row>
    <row r="619" spans="1:9" ht="16.5">
      <c r="A619" s="12">
        <v>41080</v>
      </c>
      <c r="B619" s="17" t="s">
        <v>3007</v>
      </c>
      <c r="H619">
        <v>15.714285714285715</v>
      </c>
      <c r="I619" s="281">
        <v>15.714285714285715</v>
      </c>
    </row>
    <row r="620" spans="1:9" ht="16.5">
      <c r="A620" s="12">
        <v>41080</v>
      </c>
      <c r="B620" s="17" t="s">
        <v>3008</v>
      </c>
      <c r="H620">
        <v>74.285714285714292</v>
      </c>
      <c r="I620" s="281">
        <v>74.285714285714292</v>
      </c>
    </row>
    <row r="621" spans="1:9" ht="16.5">
      <c r="A621" s="12">
        <v>41080</v>
      </c>
      <c r="B621" s="17" t="s">
        <v>3009</v>
      </c>
      <c r="H621">
        <v>42.857142857142861</v>
      </c>
      <c r="I621" s="281">
        <v>42.857142857142861</v>
      </c>
    </row>
    <row r="622" spans="1:9" ht="16.5">
      <c r="A622" s="12">
        <v>41080</v>
      </c>
      <c r="B622" s="17" t="s">
        <v>3010</v>
      </c>
      <c r="H622">
        <v>5.7142857142857144</v>
      </c>
      <c r="I622" s="281">
        <v>5.7142857142857144</v>
      </c>
    </row>
    <row r="623" spans="1:9" ht="16.5">
      <c r="A623" s="12">
        <v>41080</v>
      </c>
      <c r="B623" s="17" t="s">
        <v>3011</v>
      </c>
      <c r="H623">
        <v>27.142857142857146</v>
      </c>
      <c r="I623" s="281">
        <v>27.142857142857146</v>
      </c>
    </row>
    <row r="624" spans="1:9" ht="16.5">
      <c r="A624" s="12">
        <v>41080</v>
      </c>
      <c r="B624" s="17" t="s">
        <v>367</v>
      </c>
      <c r="H624">
        <v>50</v>
      </c>
      <c r="I624" s="281">
        <v>50</v>
      </c>
    </row>
    <row r="625" spans="1:9" ht="16.5">
      <c r="A625" s="12">
        <v>41080</v>
      </c>
      <c r="B625" s="17" t="s">
        <v>368</v>
      </c>
      <c r="H625">
        <v>4.2857142857142856</v>
      </c>
      <c r="I625" s="281">
        <v>4.2857142857142856</v>
      </c>
    </row>
    <row r="626" spans="1:9" ht="16.5">
      <c r="A626" s="12">
        <v>41080</v>
      </c>
      <c r="B626" s="17" t="s">
        <v>3012</v>
      </c>
      <c r="H626">
        <v>7.1428571428571432</v>
      </c>
      <c r="I626" s="281">
        <v>7.1428571428571432</v>
      </c>
    </row>
    <row r="627" spans="1:9" ht="16.5">
      <c r="A627" s="12">
        <v>41080</v>
      </c>
      <c r="B627" s="17" t="s">
        <v>3013</v>
      </c>
      <c r="H627">
        <v>17.142857142857142</v>
      </c>
      <c r="I627" s="281">
        <v>17.142857142857142</v>
      </c>
    </row>
    <row r="628" spans="1:9" ht="16.5">
      <c r="A628" s="12">
        <v>41080</v>
      </c>
      <c r="B628" s="17" t="s">
        <v>3014</v>
      </c>
      <c r="H628">
        <v>100</v>
      </c>
      <c r="I628" s="281">
        <v>100</v>
      </c>
    </row>
    <row r="629" spans="1:9" ht="16.5">
      <c r="A629" s="12">
        <v>41080</v>
      </c>
      <c r="B629" s="17" t="s">
        <v>3015</v>
      </c>
      <c r="H629">
        <v>24.285714285714288</v>
      </c>
      <c r="I629" s="281">
        <v>24.285714285714288</v>
      </c>
    </row>
    <row r="630" spans="1:9" ht="15.75">
      <c r="A630" s="12">
        <v>41080</v>
      </c>
      <c r="B630" s="200" t="s">
        <v>3016</v>
      </c>
      <c r="H630">
        <v>5.7142857142857144</v>
      </c>
      <c r="I630" s="281">
        <v>5.7142857142857144</v>
      </c>
    </row>
    <row r="631" spans="1:9" ht="16.5">
      <c r="A631" s="12">
        <v>41080</v>
      </c>
      <c r="B631" s="17" t="s">
        <v>3017</v>
      </c>
      <c r="H631">
        <v>54.285714285714292</v>
      </c>
      <c r="I631" s="281">
        <v>54.285714285714292</v>
      </c>
    </row>
    <row r="632" spans="1:9" ht="16.5">
      <c r="A632" s="12">
        <v>41080</v>
      </c>
      <c r="B632" s="17" t="s">
        <v>3018</v>
      </c>
      <c r="H632">
        <v>42.857142857142861</v>
      </c>
      <c r="I632" s="281">
        <v>42.857142857142861</v>
      </c>
    </row>
    <row r="633" spans="1:9" ht="16.5">
      <c r="A633" s="12">
        <v>41080</v>
      </c>
      <c r="B633" s="17" t="s">
        <v>3019</v>
      </c>
      <c r="H633">
        <v>20</v>
      </c>
      <c r="I633" s="281">
        <v>20</v>
      </c>
    </row>
    <row r="634" spans="1:9" ht="16.5">
      <c r="A634" s="12">
        <v>41080</v>
      </c>
      <c r="B634" s="17" t="s">
        <v>1301</v>
      </c>
      <c r="H634">
        <v>5</v>
      </c>
      <c r="I634" s="281">
        <v>5</v>
      </c>
    </row>
    <row r="635" spans="1:9" ht="16.5">
      <c r="A635" s="12">
        <v>41080</v>
      </c>
      <c r="B635" s="17" t="s">
        <v>3020</v>
      </c>
      <c r="H635">
        <v>11.428571428571429</v>
      </c>
      <c r="I635" s="281">
        <v>11.428571428571429</v>
      </c>
    </row>
    <row r="636" spans="1:9" ht="16.5">
      <c r="A636" s="12">
        <v>41080</v>
      </c>
      <c r="B636" s="17" t="s">
        <v>3021</v>
      </c>
      <c r="H636">
        <v>25.714285714285715</v>
      </c>
      <c r="I636" s="281">
        <v>25.714285714285715</v>
      </c>
    </row>
    <row r="637" spans="1:9" ht="16.5">
      <c r="A637" s="12">
        <v>41080</v>
      </c>
      <c r="B637" s="17" t="s">
        <v>3022</v>
      </c>
      <c r="H637">
        <v>37.142857142857146</v>
      </c>
      <c r="I637" s="281">
        <v>37.142857142857146</v>
      </c>
    </row>
    <row r="638" spans="1:9" ht="16.5">
      <c r="A638" s="12">
        <v>41080</v>
      </c>
      <c r="B638" s="17" t="s">
        <v>3023</v>
      </c>
      <c r="H638">
        <v>45.714285714285715</v>
      </c>
      <c r="I638" s="281">
        <v>45.714285714285715</v>
      </c>
    </row>
    <row r="639" spans="1:9" ht="16.5">
      <c r="A639" s="12">
        <v>41080</v>
      </c>
      <c r="B639" s="17" t="s">
        <v>3024</v>
      </c>
      <c r="H639">
        <v>15.714285714285715</v>
      </c>
      <c r="I639" s="281">
        <v>15.714285714285715</v>
      </c>
    </row>
    <row r="640" spans="1:9" ht="16.5">
      <c r="A640" s="12">
        <v>41080</v>
      </c>
      <c r="B640" s="17" t="s">
        <v>3025</v>
      </c>
      <c r="H640">
        <v>21.428571428571431</v>
      </c>
      <c r="I640" s="281">
        <v>21.428571428571431</v>
      </c>
    </row>
    <row r="641" spans="1:9" ht="16.5">
      <c r="A641" s="12">
        <v>41080</v>
      </c>
      <c r="B641" s="17" t="s">
        <v>3026</v>
      </c>
      <c r="H641">
        <v>5.7142857142857144</v>
      </c>
      <c r="I641" s="281">
        <v>5.7142857142857144</v>
      </c>
    </row>
    <row r="642" spans="1:9" ht="16.5">
      <c r="A642" s="12">
        <v>41080</v>
      </c>
      <c r="B642" s="17" t="s">
        <v>3027</v>
      </c>
      <c r="H642">
        <v>14.285714285714286</v>
      </c>
      <c r="I642" s="281">
        <v>14.285714285714286</v>
      </c>
    </row>
    <row r="643" spans="1:9" ht="16.5">
      <c r="A643" s="12">
        <v>41080</v>
      </c>
      <c r="B643" s="17" t="s">
        <v>3028</v>
      </c>
      <c r="H643">
        <v>7.1428571428571432</v>
      </c>
      <c r="I643" s="281">
        <v>7.1428571428571432</v>
      </c>
    </row>
    <row r="644" spans="1:9" ht="16.5">
      <c r="A644" s="12">
        <v>41080</v>
      </c>
      <c r="B644" s="17" t="s">
        <v>3029</v>
      </c>
      <c r="H644">
        <v>25.714285714285715</v>
      </c>
      <c r="I644" s="281">
        <v>25.714285714285715</v>
      </c>
    </row>
    <row r="645" spans="1:9" ht="16.5">
      <c r="A645" s="12">
        <v>41080</v>
      </c>
      <c r="B645" s="17" t="s">
        <v>3030</v>
      </c>
      <c r="H645">
        <v>4.2857142857142856</v>
      </c>
      <c r="I645" s="281">
        <v>4.2857142857142856</v>
      </c>
    </row>
    <row r="646" spans="1:9" ht="16.5">
      <c r="A646" s="12">
        <v>41080</v>
      </c>
      <c r="B646" s="17" t="s">
        <v>3031</v>
      </c>
      <c r="H646">
        <v>4.2857142857142856</v>
      </c>
      <c r="I646" s="281">
        <v>4.2857142857142856</v>
      </c>
    </row>
    <row r="647" spans="1:9" ht="16.5">
      <c r="A647" s="12">
        <v>41080</v>
      </c>
      <c r="B647" s="17" t="s">
        <v>3032</v>
      </c>
      <c r="H647">
        <v>11.428571428571429</v>
      </c>
      <c r="I647" s="281">
        <v>11.428571428571429</v>
      </c>
    </row>
    <row r="648" spans="1:9" ht="16.5">
      <c r="A648" s="12">
        <v>41080</v>
      </c>
      <c r="B648" s="17" t="s">
        <v>3033</v>
      </c>
      <c r="H648">
        <v>2.8571428571428572</v>
      </c>
      <c r="I648" s="281">
        <v>2.8571428571428572</v>
      </c>
    </row>
    <row r="649" spans="1:9" ht="16.5">
      <c r="A649" s="12">
        <v>41080</v>
      </c>
      <c r="B649" s="17" t="s">
        <v>3034</v>
      </c>
      <c r="H649">
        <v>22.857142857142858</v>
      </c>
      <c r="I649" s="281">
        <v>22.857142857142858</v>
      </c>
    </row>
    <row r="650" spans="1:9" ht="16.5">
      <c r="A650" s="12">
        <v>41080</v>
      </c>
      <c r="B650" s="17" t="s">
        <v>3035</v>
      </c>
      <c r="H650">
        <v>5.7142857142857144</v>
      </c>
      <c r="I650" s="281">
        <v>5.7142857142857144</v>
      </c>
    </row>
    <row r="651" spans="1:9" ht="16.5">
      <c r="A651" s="12">
        <v>41080</v>
      </c>
      <c r="B651" s="17" t="s">
        <v>3036</v>
      </c>
      <c r="H651">
        <v>50</v>
      </c>
      <c r="I651" s="281">
        <v>50</v>
      </c>
    </row>
    <row r="652" spans="1:9" ht="16.5">
      <c r="A652" s="12">
        <v>41080</v>
      </c>
      <c r="B652" s="17" t="s">
        <v>3037</v>
      </c>
      <c r="H652">
        <v>68.571428571428569</v>
      </c>
      <c r="I652" s="281">
        <v>68.571428571428569</v>
      </c>
    </row>
    <row r="653" spans="1:9" ht="16.5">
      <c r="A653" s="12">
        <v>41080</v>
      </c>
      <c r="B653" s="17" t="s">
        <v>3038</v>
      </c>
      <c r="H653">
        <v>1.8571428571428574</v>
      </c>
      <c r="I653" s="281">
        <v>1.8571428571428574</v>
      </c>
    </row>
    <row r="654" spans="1:9" ht="16.5">
      <c r="A654" s="12">
        <v>41080</v>
      </c>
      <c r="B654" s="17" t="s">
        <v>3039</v>
      </c>
      <c r="H654">
        <v>28.571428571428573</v>
      </c>
      <c r="I654" s="281">
        <v>28.571428571428573</v>
      </c>
    </row>
    <row r="655" spans="1:9" ht="16.5">
      <c r="A655" s="12">
        <v>41080</v>
      </c>
      <c r="B655" s="17" t="s">
        <v>3040</v>
      </c>
      <c r="H655">
        <v>47.142857142857146</v>
      </c>
      <c r="I655" s="281">
        <v>47.142857142857146</v>
      </c>
    </row>
    <row r="656" spans="1:9" ht="16.5">
      <c r="A656" s="12">
        <v>41080</v>
      </c>
      <c r="B656" s="17" t="s">
        <v>3041</v>
      </c>
      <c r="H656">
        <v>5.7142857142857144</v>
      </c>
      <c r="I656" s="281">
        <v>5.7142857142857144</v>
      </c>
    </row>
    <row r="657" spans="1:9" ht="15.75">
      <c r="A657" s="12">
        <v>41080</v>
      </c>
      <c r="B657" s="200" t="s">
        <v>3042</v>
      </c>
      <c r="H657">
        <v>5.7142857142857144</v>
      </c>
      <c r="I657" s="281">
        <v>5.7142857142857144</v>
      </c>
    </row>
    <row r="658" spans="1:9" ht="15.75">
      <c r="A658" s="12">
        <v>41080</v>
      </c>
      <c r="B658" s="200" t="s">
        <v>3043</v>
      </c>
      <c r="H658">
        <v>10</v>
      </c>
      <c r="I658" s="281">
        <v>10</v>
      </c>
    </row>
    <row r="659" spans="1:9" ht="16.5">
      <c r="A659" s="12">
        <v>41080</v>
      </c>
      <c r="B659" s="17" t="s">
        <v>3044</v>
      </c>
      <c r="H659">
        <v>71.428571428571431</v>
      </c>
      <c r="I659" s="281">
        <v>71.428571428571431</v>
      </c>
    </row>
    <row r="660" spans="1:9" ht="16.5">
      <c r="A660" s="12">
        <v>41080</v>
      </c>
      <c r="B660" s="17" t="s">
        <v>3045</v>
      </c>
      <c r="H660">
        <v>45.714285714285715</v>
      </c>
      <c r="I660" s="281">
        <v>45.714285714285715</v>
      </c>
    </row>
    <row r="661" spans="1:9" ht="15.75">
      <c r="A661" s="12">
        <v>41080</v>
      </c>
      <c r="B661" s="200" t="s">
        <v>3046</v>
      </c>
      <c r="H661">
        <v>11.428571428571429</v>
      </c>
      <c r="I661" s="281">
        <v>11.428571428571429</v>
      </c>
    </row>
    <row r="662" spans="1:9" ht="16.5">
      <c r="A662" s="12">
        <v>41080</v>
      </c>
      <c r="B662" s="17" t="s">
        <v>3047</v>
      </c>
      <c r="H662">
        <v>34.285714285714285</v>
      </c>
      <c r="I662" s="281">
        <v>34.285714285714285</v>
      </c>
    </row>
    <row r="663" spans="1:9" ht="16.5">
      <c r="A663" s="12">
        <v>41080</v>
      </c>
      <c r="B663" s="17" t="s">
        <v>3048</v>
      </c>
      <c r="H663">
        <v>57.142857142857146</v>
      </c>
      <c r="I663" s="281">
        <v>57.142857142857146</v>
      </c>
    </row>
    <row r="664" spans="1:9" ht="16.5">
      <c r="A664" s="12">
        <v>41080</v>
      </c>
      <c r="B664" s="17" t="s">
        <v>3049</v>
      </c>
      <c r="H664">
        <v>10</v>
      </c>
      <c r="I664" s="281">
        <v>10</v>
      </c>
    </row>
    <row r="665" spans="1:9" ht="16.5">
      <c r="A665" s="12">
        <v>41080</v>
      </c>
      <c r="B665" s="17" t="s">
        <v>3050</v>
      </c>
      <c r="H665">
        <v>14.285714285714286</v>
      </c>
      <c r="I665" s="281">
        <v>14.285714285714286</v>
      </c>
    </row>
    <row r="666" spans="1:9" ht="16.5">
      <c r="A666" s="12">
        <v>41080</v>
      </c>
      <c r="B666" s="17" t="s">
        <v>3051</v>
      </c>
      <c r="H666">
        <v>8.5714285714285712</v>
      </c>
      <c r="I666" s="281">
        <v>8.5714285714285712</v>
      </c>
    </row>
    <row r="667" spans="1:9" ht="16.5">
      <c r="A667" s="12">
        <v>41080</v>
      </c>
      <c r="B667" s="17" t="s">
        <v>3052</v>
      </c>
      <c r="H667">
        <v>10</v>
      </c>
      <c r="I667" s="281">
        <v>10</v>
      </c>
    </row>
    <row r="668" spans="1:9" ht="16.5">
      <c r="A668" s="12">
        <v>41080</v>
      </c>
      <c r="B668" s="17" t="s">
        <v>369</v>
      </c>
      <c r="H668">
        <v>1.142857142857143</v>
      </c>
      <c r="I668" s="281">
        <v>1.142857142857143</v>
      </c>
    </row>
    <row r="669" spans="1:9" ht="16.5">
      <c r="A669" s="12">
        <v>41080</v>
      </c>
      <c r="B669" s="17" t="s">
        <v>3053</v>
      </c>
      <c r="H669">
        <v>5</v>
      </c>
      <c r="I669" s="281">
        <v>5</v>
      </c>
    </row>
    <row r="670" spans="1:9" ht="16.5">
      <c r="A670" s="12">
        <v>41080</v>
      </c>
      <c r="B670" s="17" t="s">
        <v>3054</v>
      </c>
      <c r="H670">
        <v>57.142857142857146</v>
      </c>
      <c r="I670" s="281">
        <v>57.142857142857146</v>
      </c>
    </row>
    <row r="671" spans="1:9" ht="16.5">
      <c r="A671" s="12">
        <v>41080</v>
      </c>
      <c r="B671" s="17" t="s">
        <v>3055</v>
      </c>
      <c r="H671">
        <v>15.714285714285715</v>
      </c>
      <c r="I671" s="281">
        <v>15.714285714285715</v>
      </c>
    </row>
    <row r="672" spans="1:9" ht="16.5">
      <c r="A672" s="12">
        <v>41080</v>
      </c>
      <c r="B672" s="17" t="s">
        <v>3056</v>
      </c>
      <c r="H672">
        <v>18.571428571428573</v>
      </c>
      <c r="I672" s="281">
        <v>18.571428571428573</v>
      </c>
    </row>
    <row r="673" spans="1:9" ht="16.5">
      <c r="A673" s="12">
        <v>41080</v>
      </c>
      <c r="B673" s="17" t="s">
        <v>3057</v>
      </c>
      <c r="H673">
        <v>8.5714285714285712</v>
      </c>
      <c r="I673" s="281">
        <v>8.5714285714285712</v>
      </c>
    </row>
    <row r="674" spans="1:9" ht="16.5">
      <c r="A674" s="12">
        <v>41080</v>
      </c>
      <c r="B674" s="17" t="s">
        <v>3058</v>
      </c>
      <c r="H674">
        <v>62.857142857142861</v>
      </c>
      <c r="I674" s="281">
        <v>62.857142857142861</v>
      </c>
    </row>
    <row r="675" spans="1:9" ht="16.5">
      <c r="A675" s="12">
        <v>41080</v>
      </c>
      <c r="B675" s="17" t="s">
        <v>3059</v>
      </c>
      <c r="H675">
        <v>7.1428571428571432</v>
      </c>
      <c r="I675" s="281">
        <v>7.1428571428571432</v>
      </c>
    </row>
    <row r="676" spans="1:9" ht="16.5">
      <c r="A676" s="12">
        <v>41080</v>
      </c>
      <c r="B676" s="17" t="s">
        <v>3060</v>
      </c>
      <c r="H676">
        <v>11.428571428571429</v>
      </c>
      <c r="I676" s="281">
        <v>11.428571428571429</v>
      </c>
    </row>
    <row r="677" spans="1:9" ht="16.5">
      <c r="A677" s="12">
        <v>41080</v>
      </c>
      <c r="B677" s="17" t="s">
        <v>3061</v>
      </c>
      <c r="H677">
        <v>21.428571428571431</v>
      </c>
      <c r="I677" s="281">
        <v>21.428571428571431</v>
      </c>
    </row>
    <row r="678" spans="1:9" ht="16.5">
      <c r="A678" s="12">
        <v>41080</v>
      </c>
      <c r="B678" s="17" t="s">
        <v>3062</v>
      </c>
      <c r="H678">
        <v>24.285714285714288</v>
      </c>
      <c r="I678" s="281">
        <v>24.285714285714288</v>
      </c>
    </row>
    <row r="679" spans="1:9" ht="16.5">
      <c r="A679" s="12">
        <v>41080</v>
      </c>
      <c r="B679" s="17" t="s">
        <v>3063</v>
      </c>
      <c r="H679">
        <v>8.5714285714285712</v>
      </c>
      <c r="I679" s="281">
        <v>8.5714285714285712</v>
      </c>
    </row>
    <row r="680" spans="1:9" ht="16.5">
      <c r="A680" s="12">
        <v>41080</v>
      </c>
      <c r="B680" s="17" t="s">
        <v>3064</v>
      </c>
      <c r="H680">
        <v>5.7142857142857144</v>
      </c>
      <c r="I680" s="281">
        <v>5.7142857142857144</v>
      </c>
    </row>
    <row r="681" spans="1:9" ht="16.5">
      <c r="A681" s="12">
        <v>41080</v>
      </c>
      <c r="B681" s="17" t="s">
        <v>3065</v>
      </c>
      <c r="H681">
        <v>35.714285714285715</v>
      </c>
      <c r="I681" s="281">
        <v>35.714285714285715</v>
      </c>
    </row>
    <row r="682" spans="1:9" ht="16.5">
      <c r="A682" s="12">
        <v>41080</v>
      </c>
      <c r="B682" s="17" t="s">
        <v>3066</v>
      </c>
      <c r="H682">
        <v>34.285714285714285</v>
      </c>
      <c r="I682" s="281">
        <v>34.285714285714285</v>
      </c>
    </row>
    <row r="683" spans="1:9" ht="16.5">
      <c r="A683" s="12">
        <v>41080</v>
      </c>
      <c r="B683" s="17" t="s">
        <v>3067</v>
      </c>
      <c r="H683">
        <v>14.285714285714286</v>
      </c>
      <c r="I683" s="281">
        <v>14.285714285714286</v>
      </c>
    </row>
    <row r="684" spans="1:9" ht="16.5">
      <c r="A684" s="12">
        <v>41080</v>
      </c>
      <c r="B684" s="17" t="s">
        <v>3068</v>
      </c>
      <c r="H684">
        <v>28.571428571428573</v>
      </c>
      <c r="I684" s="281">
        <v>28.571428571428573</v>
      </c>
    </row>
    <row r="685" spans="1:9" ht="16.5">
      <c r="A685" s="12">
        <v>41080</v>
      </c>
      <c r="B685" s="17" t="s">
        <v>3069</v>
      </c>
      <c r="H685">
        <v>50</v>
      </c>
      <c r="I685" s="281">
        <v>50</v>
      </c>
    </row>
    <row r="686" spans="1:9" ht="16.5">
      <c r="A686" s="12">
        <v>41080</v>
      </c>
      <c r="B686" s="17" t="s">
        <v>3070</v>
      </c>
      <c r="H686">
        <v>62.857142857142861</v>
      </c>
      <c r="I686" s="281">
        <v>62.857142857142861</v>
      </c>
    </row>
    <row r="687" spans="1:9" ht="16.5">
      <c r="A687" s="12">
        <v>41080</v>
      </c>
      <c r="B687" s="17" t="s">
        <v>3071</v>
      </c>
      <c r="H687">
        <v>4.2857142857142856</v>
      </c>
      <c r="I687" s="281">
        <v>4.2857142857142856</v>
      </c>
    </row>
    <row r="688" spans="1:9" ht="15.75">
      <c r="A688" s="12">
        <v>41080</v>
      </c>
      <c r="B688" s="200" t="s">
        <v>3072</v>
      </c>
      <c r="H688">
        <v>1.4285714285714286</v>
      </c>
      <c r="I688" s="281">
        <v>1.4285714285714286</v>
      </c>
    </row>
    <row r="689" spans="1:9" ht="15.75">
      <c r="A689" s="12">
        <v>41080</v>
      </c>
      <c r="B689" s="200" t="s">
        <v>3073</v>
      </c>
      <c r="H689">
        <v>6.4285714285714288</v>
      </c>
      <c r="I689" s="281">
        <v>6.4285714285714288</v>
      </c>
    </row>
    <row r="690" spans="1:9" ht="16.5">
      <c r="A690" s="12">
        <v>41080</v>
      </c>
      <c r="B690" s="17" t="s">
        <v>3074</v>
      </c>
      <c r="H690">
        <v>28.571428571428573</v>
      </c>
      <c r="I690" s="281">
        <v>28.571428571428573</v>
      </c>
    </row>
    <row r="691" spans="1:9" ht="16.5">
      <c r="A691" s="12">
        <v>41080</v>
      </c>
      <c r="B691" s="17" t="s">
        <v>3075</v>
      </c>
      <c r="H691">
        <v>10.285714285714286</v>
      </c>
      <c r="I691" s="281">
        <v>10.285714285714286</v>
      </c>
    </row>
    <row r="692" spans="1:9" ht="16.5">
      <c r="A692" s="12">
        <v>41080</v>
      </c>
      <c r="B692" s="17" t="s">
        <v>3076</v>
      </c>
      <c r="H692">
        <v>5.7142857142857144</v>
      </c>
      <c r="I692" s="281">
        <v>5.7142857142857144</v>
      </c>
    </row>
    <row r="693" spans="1:9" ht="16.5">
      <c r="A693" s="12">
        <v>41080</v>
      </c>
      <c r="B693" s="17" t="s">
        <v>3077</v>
      </c>
      <c r="H693">
        <v>8.2857142857142865</v>
      </c>
      <c r="I693" s="281">
        <v>8.2857142857142865</v>
      </c>
    </row>
    <row r="694" spans="1:9" ht="16.5">
      <c r="A694" s="12">
        <v>41080</v>
      </c>
      <c r="B694" s="17" t="s">
        <v>3078</v>
      </c>
      <c r="H694">
        <v>14.285714285714286</v>
      </c>
      <c r="I694" s="281">
        <v>14.285714285714286</v>
      </c>
    </row>
    <row r="695" spans="1:9" ht="16.5">
      <c r="A695" s="12">
        <v>41080</v>
      </c>
      <c r="B695" s="17" t="s">
        <v>3079</v>
      </c>
      <c r="H695">
        <v>28.571428571428573</v>
      </c>
      <c r="I695" s="281">
        <v>28.571428571428573</v>
      </c>
    </row>
    <row r="696" spans="1:9" ht="16.5">
      <c r="A696" s="12">
        <v>41080</v>
      </c>
      <c r="B696" s="17" t="s">
        <v>3080</v>
      </c>
      <c r="H696">
        <v>8.5714285714285712</v>
      </c>
      <c r="I696" s="281">
        <v>8.5714285714285712</v>
      </c>
    </row>
    <row r="697" spans="1:9" ht="16.5">
      <c r="A697" s="12">
        <v>41080</v>
      </c>
      <c r="B697" s="17" t="s">
        <v>3081</v>
      </c>
      <c r="H697">
        <v>8.5714285714285712</v>
      </c>
      <c r="I697" s="281">
        <v>8.5714285714285712</v>
      </c>
    </row>
    <row r="698" spans="1:9" ht="16.5">
      <c r="A698" s="12">
        <v>41080</v>
      </c>
      <c r="B698" s="17" t="s">
        <v>3082</v>
      </c>
      <c r="H698">
        <v>5</v>
      </c>
      <c r="I698" s="281">
        <v>5</v>
      </c>
    </row>
    <row r="699" spans="1:9" ht="16.5">
      <c r="A699" s="12">
        <v>41080</v>
      </c>
      <c r="B699" s="17" t="s">
        <v>3083</v>
      </c>
      <c r="H699">
        <v>11.428571428571429</v>
      </c>
      <c r="I699" s="281">
        <v>11.428571428571429</v>
      </c>
    </row>
    <row r="700" spans="1:9" ht="16.5">
      <c r="A700" s="12">
        <v>41080</v>
      </c>
      <c r="B700" s="17" t="s">
        <v>3084</v>
      </c>
      <c r="H700">
        <v>40</v>
      </c>
      <c r="I700" s="281">
        <v>40</v>
      </c>
    </row>
    <row r="701" spans="1:9" ht="16.5">
      <c r="A701" s="12">
        <v>41080</v>
      </c>
      <c r="B701" s="17" t="s">
        <v>3085</v>
      </c>
      <c r="H701">
        <v>31.428571428571431</v>
      </c>
      <c r="I701" s="281">
        <v>31.428571428571431</v>
      </c>
    </row>
    <row r="702" spans="1:9" ht="16.5">
      <c r="A702" s="12">
        <v>41080</v>
      </c>
      <c r="B702" s="17" t="s">
        <v>3086</v>
      </c>
      <c r="H702">
        <v>24.285714285714288</v>
      </c>
      <c r="I702" s="281">
        <v>24.285714285714288</v>
      </c>
    </row>
    <row r="703" spans="1:9" ht="16.5">
      <c r="A703" s="12">
        <v>41080</v>
      </c>
      <c r="B703" s="17" t="s">
        <v>3087</v>
      </c>
      <c r="H703">
        <v>17.142857142857142</v>
      </c>
      <c r="I703" s="281">
        <v>17.142857142857142</v>
      </c>
    </row>
    <row r="704" spans="1:9" ht="16.5">
      <c r="A704" s="12">
        <v>41080</v>
      </c>
      <c r="B704" s="17" t="s">
        <v>3088</v>
      </c>
      <c r="H704">
        <v>38.571428571428577</v>
      </c>
      <c r="I704" s="281">
        <v>38.571428571428577</v>
      </c>
    </row>
    <row r="705" spans="1:9" ht="16.5">
      <c r="A705" s="12">
        <v>41080</v>
      </c>
      <c r="B705" s="17" t="s">
        <v>3089</v>
      </c>
      <c r="H705">
        <v>135.71428571428572</v>
      </c>
      <c r="I705" s="281">
        <v>135.71428571428572</v>
      </c>
    </row>
    <row r="706" spans="1:9" ht="16.5">
      <c r="A706" s="12">
        <v>41080</v>
      </c>
      <c r="B706" s="17" t="s">
        <v>3090</v>
      </c>
      <c r="H706">
        <v>7.1428571428571432</v>
      </c>
      <c r="I706" s="281">
        <v>7.1428571428571432</v>
      </c>
    </row>
    <row r="707" spans="1:9" ht="16.5">
      <c r="A707" s="12">
        <v>41080</v>
      </c>
      <c r="B707" s="17" t="s">
        <v>3091</v>
      </c>
      <c r="H707">
        <v>14.285714285714286</v>
      </c>
      <c r="I707" s="281">
        <v>14.285714285714286</v>
      </c>
    </row>
    <row r="708" spans="1:9" ht="16.5">
      <c r="A708" s="12">
        <v>41080</v>
      </c>
      <c r="B708" s="17" t="s">
        <v>3092</v>
      </c>
      <c r="H708">
        <v>12.857142857142858</v>
      </c>
      <c r="I708" s="281">
        <v>12.857142857142858</v>
      </c>
    </row>
    <row r="709" spans="1:9" ht="16.5">
      <c r="A709" s="12">
        <v>41080</v>
      </c>
      <c r="B709" s="17" t="s">
        <v>3093</v>
      </c>
      <c r="H709">
        <v>57.142857142857146</v>
      </c>
      <c r="I709" s="281">
        <v>57.142857142857146</v>
      </c>
    </row>
    <row r="710" spans="1:9" ht="16.5">
      <c r="A710" s="12">
        <v>41080</v>
      </c>
      <c r="B710" s="17" t="s">
        <v>3094</v>
      </c>
      <c r="H710">
        <v>2.1428571428571428</v>
      </c>
      <c r="I710" s="281">
        <v>2.1428571428571428</v>
      </c>
    </row>
    <row r="711" spans="1:9" ht="16.5">
      <c r="A711" s="12">
        <v>41080</v>
      </c>
      <c r="B711" s="17" t="s">
        <v>3095</v>
      </c>
      <c r="H711">
        <v>8.5714285714285712</v>
      </c>
      <c r="I711" s="281">
        <v>8.5714285714285712</v>
      </c>
    </row>
    <row r="712" spans="1:9" ht="16.5">
      <c r="A712" s="12">
        <v>41080</v>
      </c>
      <c r="B712" s="17" t="s">
        <v>3096</v>
      </c>
      <c r="H712">
        <v>125.71428571428572</v>
      </c>
      <c r="I712" s="281">
        <v>125.71428571428572</v>
      </c>
    </row>
    <row r="713" spans="1:9" ht="16.5">
      <c r="A713" s="12">
        <v>41080</v>
      </c>
      <c r="B713" s="17" t="s">
        <v>3097</v>
      </c>
      <c r="H713">
        <v>12.142857142857144</v>
      </c>
      <c r="I713" s="281">
        <v>12.142857142857144</v>
      </c>
    </row>
    <row r="714" spans="1:9" ht="16.5">
      <c r="A714" s="12">
        <v>41080</v>
      </c>
      <c r="B714" s="17" t="s">
        <v>3098</v>
      </c>
      <c r="H714">
        <v>11.428571428571429</v>
      </c>
      <c r="I714" s="281">
        <v>11.428571428571429</v>
      </c>
    </row>
    <row r="715" spans="1:9" ht="16.5">
      <c r="A715" s="12">
        <v>41080</v>
      </c>
      <c r="B715" s="17" t="s">
        <v>3099</v>
      </c>
      <c r="H715">
        <v>62.857142857142861</v>
      </c>
      <c r="I715" s="281">
        <v>62.857142857142861</v>
      </c>
    </row>
    <row r="716" spans="1:9" ht="16.5">
      <c r="A716" s="12">
        <v>41080</v>
      </c>
      <c r="B716" s="17" t="s">
        <v>3100</v>
      </c>
      <c r="H716">
        <v>14.285714285714286</v>
      </c>
      <c r="I716" s="281">
        <v>14.285714285714286</v>
      </c>
    </row>
    <row r="717" spans="1:9" ht="16.5">
      <c r="A717" s="12">
        <v>41080</v>
      </c>
      <c r="B717" s="17" t="s">
        <v>3101</v>
      </c>
      <c r="H717">
        <v>50</v>
      </c>
      <c r="I717" s="281">
        <v>50</v>
      </c>
    </row>
    <row r="718" spans="1:9" ht="16.5">
      <c r="A718" s="12">
        <v>41080</v>
      </c>
      <c r="B718" s="17" t="s">
        <v>3102</v>
      </c>
      <c r="H718">
        <v>14.285714285714286</v>
      </c>
      <c r="I718" s="281">
        <v>14.285714285714286</v>
      </c>
    </row>
    <row r="719" spans="1:9" ht="16.5">
      <c r="A719" s="12">
        <v>41080</v>
      </c>
      <c r="B719" s="17" t="s">
        <v>3103</v>
      </c>
      <c r="H719">
        <v>14.285714285714286</v>
      </c>
      <c r="I719" s="281">
        <v>14.285714285714286</v>
      </c>
    </row>
    <row r="720" spans="1:9" ht="16.5">
      <c r="A720" s="12">
        <v>41080</v>
      </c>
      <c r="B720" s="17" t="s">
        <v>3104</v>
      </c>
      <c r="H720">
        <v>28.571428571428573</v>
      </c>
      <c r="I720" s="281">
        <v>28.571428571428573</v>
      </c>
    </row>
    <row r="721" spans="1:9" ht="16.5">
      <c r="A721" s="12">
        <v>41080</v>
      </c>
      <c r="B721" s="17" t="s">
        <v>3105</v>
      </c>
      <c r="H721">
        <v>71.428571428571431</v>
      </c>
      <c r="I721" s="281">
        <v>71.428571428571431</v>
      </c>
    </row>
    <row r="722" spans="1:9" ht="16.5">
      <c r="A722" s="12">
        <v>41080</v>
      </c>
      <c r="B722" s="17" t="s">
        <v>3106</v>
      </c>
      <c r="H722">
        <v>50</v>
      </c>
      <c r="I722" s="281">
        <v>50</v>
      </c>
    </row>
    <row r="723" spans="1:9" ht="16.5">
      <c r="A723" s="12">
        <v>41080</v>
      </c>
      <c r="B723" s="17" t="s">
        <v>3107</v>
      </c>
      <c r="H723">
        <v>50</v>
      </c>
      <c r="I723" s="281">
        <v>50</v>
      </c>
    </row>
    <row r="724" spans="1:9" ht="16.5">
      <c r="A724" s="12">
        <v>41080</v>
      </c>
      <c r="B724" s="17" t="s">
        <v>3108</v>
      </c>
      <c r="H724">
        <v>50</v>
      </c>
      <c r="I724" s="281">
        <v>50</v>
      </c>
    </row>
    <row r="725" spans="1:9" ht="16.5">
      <c r="A725" s="12">
        <v>41080</v>
      </c>
      <c r="B725" s="17" t="s">
        <v>3109</v>
      </c>
      <c r="H725">
        <v>50</v>
      </c>
      <c r="I725" s="281">
        <v>50</v>
      </c>
    </row>
    <row r="726" spans="1:9" ht="16.5">
      <c r="A726" s="12">
        <v>41080</v>
      </c>
      <c r="B726" s="17" t="s">
        <v>3110</v>
      </c>
      <c r="H726">
        <v>47.142857142857146</v>
      </c>
      <c r="I726" s="281">
        <v>47.142857142857146</v>
      </c>
    </row>
    <row r="727" spans="1:9" ht="16.5">
      <c r="A727" s="12">
        <v>41080</v>
      </c>
      <c r="B727" s="17" t="s">
        <v>3111</v>
      </c>
      <c r="H727">
        <v>12.857142857142858</v>
      </c>
      <c r="I727" s="281">
        <v>12.857142857142858</v>
      </c>
    </row>
    <row r="728" spans="1:9" ht="16.5">
      <c r="A728" s="12">
        <v>41080</v>
      </c>
      <c r="B728" s="17" t="s">
        <v>3112</v>
      </c>
      <c r="H728">
        <v>9.2857142857142865</v>
      </c>
      <c r="I728" s="281">
        <v>9.2857142857142865</v>
      </c>
    </row>
    <row r="729" spans="1:9" ht="16.5">
      <c r="A729" s="12">
        <v>41080</v>
      </c>
      <c r="B729" s="17" t="s">
        <v>3113</v>
      </c>
      <c r="H729">
        <v>11.428571428571429</v>
      </c>
      <c r="I729" s="281">
        <v>11.428571428571429</v>
      </c>
    </row>
    <row r="730" spans="1:9" ht="16.5">
      <c r="A730" s="12">
        <v>41080</v>
      </c>
      <c r="B730" s="17" t="s">
        <v>3114</v>
      </c>
      <c r="H730">
        <v>12.857142857142858</v>
      </c>
      <c r="I730" s="281">
        <v>12.857142857142858</v>
      </c>
    </row>
    <row r="731" spans="1:9" ht="16.5">
      <c r="A731" s="12">
        <v>41080</v>
      </c>
      <c r="B731" s="17" t="s">
        <v>3115</v>
      </c>
      <c r="H731">
        <v>12.857142857142858</v>
      </c>
      <c r="I731" s="281">
        <v>12.857142857142858</v>
      </c>
    </row>
    <row r="732" spans="1:9" ht="16.5">
      <c r="A732" s="12">
        <v>41080</v>
      </c>
      <c r="B732" s="17" t="s">
        <v>3116</v>
      </c>
      <c r="H732">
        <v>12.857142857142858</v>
      </c>
      <c r="I732" s="281">
        <v>12.857142857142858</v>
      </c>
    </row>
    <row r="733" spans="1:9" ht="16.5">
      <c r="A733" s="12">
        <v>41080</v>
      </c>
      <c r="B733" s="17" t="s">
        <v>3117</v>
      </c>
      <c r="H733">
        <v>2.8571428571428572</v>
      </c>
      <c r="I733" s="281">
        <v>2.8571428571428572</v>
      </c>
    </row>
    <row r="734" spans="1:9" ht="15.75">
      <c r="A734" s="12">
        <v>41080</v>
      </c>
      <c r="B734" s="200" t="s">
        <v>3118</v>
      </c>
      <c r="H734">
        <v>10</v>
      </c>
      <c r="I734" s="281">
        <v>10</v>
      </c>
    </row>
    <row r="735" spans="1:9" ht="15.75">
      <c r="A735" s="12">
        <v>41080</v>
      </c>
      <c r="B735" s="200" t="s">
        <v>3119</v>
      </c>
      <c r="H735">
        <v>64.285714285714292</v>
      </c>
      <c r="I735" s="281">
        <v>64.285714285714292</v>
      </c>
    </row>
    <row r="736" spans="1:9" ht="15.75">
      <c r="A736" s="12">
        <v>41080</v>
      </c>
      <c r="B736" s="200" t="s">
        <v>3120</v>
      </c>
      <c r="H736">
        <v>40</v>
      </c>
      <c r="I736" s="281">
        <v>40</v>
      </c>
    </row>
    <row r="737" spans="1:9" ht="15.75">
      <c r="A737" s="12">
        <v>41080</v>
      </c>
      <c r="B737" s="200" t="s">
        <v>3121</v>
      </c>
      <c r="H737">
        <v>40</v>
      </c>
      <c r="I737" s="281">
        <v>40</v>
      </c>
    </row>
    <row r="738" spans="1:9" ht="15.75">
      <c r="A738" s="12">
        <v>41080</v>
      </c>
      <c r="B738" s="200" t="s">
        <v>3122</v>
      </c>
      <c r="H738">
        <v>118.57142857142858</v>
      </c>
      <c r="I738" s="281">
        <v>118.57142857142858</v>
      </c>
    </row>
    <row r="739" spans="1:9" ht="16.5">
      <c r="A739" s="12">
        <v>41080</v>
      </c>
      <c r="B739" s="17" t="s">
        <v>3123</v>
      </c>
      <c r="H739">
        <v>82.857142857142861</v>
      </c>
      <c r="I739" s="281">
        <v>82.857142857142861</v>
      </c>
    </row>
    <row r="740" spans="1:9" ht="16.5">
      <c r="A740" s="12">
        <v>41080</v>
      </c>
      <c r="B740" s="17" t="s">
        <v>3124</v>
      </c>
      <c r="H740">
        <v>107.14285714285715</v>
      </c>
      <c r="I740" s="281">
        <v>107.14285714285715</v>
      </c>
    </row>
    <row r="741" spans="1:9" ht="16.5">
      <c r="A741" s="12">
        <v>41080</v>
      </c>
      <c r="B741" s="17" t="s">
        <v>3125</v>
      </c>
      <c r="H741">
        <v>140</v>
      </c>
      <c r="I741" s="281">
        <v>140</v>
      </c>
    </row>
    <row r="742" spans="1:9" ht="16.5">
      <c r="A742" s="12">
        <v>41080</v>
      </c>
      <c r="B742" s="17" t="s">
        <v>372</v>
      </c>
      <c r="H742">
        <v>10</v>
      </c>
      <c r="I742" s="281">
        <v>10</v>
      </c>
    </row>
    <row r="743" spans="1:9" ht="16.5">
      <c r="A743" s="12">
        <v>41080</v>
      </c>
      <c r="B743" s="17" t="s">
        <v>373</v>
      </c>
      <c r="H743">
        <v>32.857142857142861</v>
      </c>
      <c r="I743" s="281">
        <v>32.857142857142861</v>
      </c>
    </row>
    <row r="744" spans="1:9" ht="16.5">
      <c r="A744" s="12">
        <v>41080</v>
      </c>
      <c r="B744" s="17" t="s">
        <v>374</v>
      </c>
      <c r="H744">
        <v>14.285714285714286</v>
      </c>
      <c r="I744" s="281">
        <v>14.285714285714286</v>
      </c>
    </row>
    <row r="745" spans="1:9" ht="16.5">
      <c r="A745" s="12">
        <v>41080</v>
      </c>
      <c r="B745" s="17" t="s">
        <v>375</v>
      </c>
      <c r="H745">
        <v>14.285714285714286</v>
      </c>
      <c r="I745" s="281">
        <v>14.285714285714286</v>
      </c>
    </row>
    <row r="746" spans="1:9" ht="16.5">
      <c r="A746" s="12">
        <v>41080</v>
      </c>
      <c r="B746" s="17" t="s">
        <v>376</v>
      </c>
      <c r="H746">
        <v>5.7142857142857144</v>
      </c>
      <c r="I746" s="281">
        <v>5.7142857142857144</v>
      </c>
    </row>
    <row r="747" spans="1:9" ht="16.5">
      <c r="A747" s="12">
        <v>41080</v>
      </c>
      <c r="B747" s="17" t="s">
        <v>377</v>
      </c>
      <c r="H747">
        <v>10</v>
      </c>
      <c r="I747" s="281">
        <v>10</v>
      </c>
    </row>
    <row r="748" spans="1:9" ht="16.5">
      <c r="A748" s="12">
        <v>41080</v>
      </c>
      <c r="B748" s="17" t="s">
        <v>3126</v>
      </c>
      <c r="H748">
        <v>8.5714285714285712</v>
      </c>
      <c r="I748" s="281">
        <v>8.5714285714285712</v>
      </c>
    </row>
    <row r="749" spans="1:9" ht="16.5">
      <c r="A749" s="12">
        <v>41080</v>
      </c>
      <c r="B749" s="17" t="s">
        <v>3127</v>
      </c>
      <c r="H749">
        <v>157.14285714285714</v>
      </c>
      <c r="I749" s="281">
        <v>157.14285714285714</v>
      </c>
    </row>
    <row r="750" spans="1:9" ht="16.5">
      <c r="A750" s="12">
        <v>41080</v>
      </c>
      <c r="B750" s="17" t="s">
        <v>378</v>
      </c>
      <c r="H750">
        <v>50</v>
      </c>
      <c r="I750" s="281">
        <v>50</v>
      </c>
    </row>
    <row r="751" spans="1:9" ht="16.5">
      <c r="A751" s="12">
        <v>41080</v>
      </c>
      <c r="B751" s="17" t="s">
        <v>3128</v>
      </c>
      <c r="H751">
        <v>228.57142857142858</v>
      </c>
      <c r="I751" s="281">
        <v>228.57142857142858</v>
      </c>
    </row>
    <row r="752" spans="1:9" ht="16.5">
      <c r="A752" s="12">
        <v>41080</v>
      </c>
      <c r="B752" s="17" t="s">
        <v>379</v>
      </c>
      <c r="H752">
        <v>12.857142857142858</v>
      </c>
      <c r="I752" s="281">
        <v>12.857142857142858</v>
      </c>
    </row>
    <row r="753" spans="1:9" ht="16.5">
      <c r="A753" s="12">
        <v>41080</v>
      </c>
      <c r="B753" s="17" t="s">
        <v>380</v>
      </c>
      <c r="H753">
        <v>21.428571428571431</v>
      </c>
      <c r="I753" s="281">
        <v>21.428571428571431</v>
      </c>
    </row>
    <row r="754" spans="1:9" ht="15.75">
      <c r="A754" s="12">
        <v>41080</v>
      </c>
      <c r="B754" s="200" t="s">
        <v>381</v>
      </c>
      <c r="H754">
        <v>207.14285714285717</v>
      </c>
      <c r="I754" s="281">
        <v>207.14285714285717</v>
      </c>
    </row>
    <row r="755" spans="1:9" ht="15.75">
      <c r="A755" s="12">
        <v>41080</v>
      </c>
      <c r="B755" s="200" t="s">
        <v>382</v>
      </c>
      <c r="H755">
        <v>221.42857142857144</v>
      </c>
      <c r="I755" s="281">
        <v>221.42857142857144</v>
      </c>
    </row>
    <row r="756" spans="1:9" ht="16.5">
      <c r="A756" s="12">
        <v>41080</v>
      </c>
      <c r="B756" s="17" t="s">
        <v>383</v>
      </c>
      <c r="H756">
        <v>78.571428571428569</v>
      </c>
      <c r="I756" s="281">
        <v>78.571428571428569</v>
      </c>
    </row>
    <row r="757" spans="1:9" ht="15.75">
      <c r="B757" s="200" t="s">
        <v>3129</v>
      </c>
      <c r="C757" s="122"/>
      <c r="H757">
        <v>1.7</v>
      </c>
      <c r="I757" s="281">
        <v>1.7</v>
      </c>
    </row>
    <row r="758" spans="1:9" ht="16.5">
      <c r="A758" s="12">
        <v>41080</v>
      </c>
      <c r="B758" s="17" t="s">
        <v>3130</v>
      </c>
      <c r="C758" s="122"/>
      <c r="H758">
        <v>68.928571428571431</v>
      </c>
      <c r="I758" s="281">
        <v>68.928571428571431</v>
      </c>
    </row>
    <row r="759" spans="1:9" ht="15.75">
      <c r="A759" s="12">
        <v>41080</v>
      </c>
      <c r="B759" s="200" t="s">
        <v>3131</v>
      </c>
      <c r="C759" s="122"/>
      <c r="H759">
        <v>2.1428571428571428</v>
      </c>
      <c r="I759" s="281">
        <v>2.1428571428571428</v>
      </c>
    </row>
    <row r="760" spans="1:9" ht="15.75">
      <c r="A760" s="12">
        <v>41080</v>
      </c>
      <c r="B760" s="200" t="s">
        <v>3132</v>
      </c>
      <c r="H760">
        <v>2.0285714285714285</v>
      </c>
      <c r="I760" s="281">
        <v>2.0285714285714285</v>
      </c>
    </row>
    <row r="761" spans="1:9" ht="15.75">
      <c r="A761" s="12">
        <v>41080</v>
      </c>
      <c r="B761" s="200" t="s">
        <v>3133</v>
      </c>
      <c r="H761">
        <v>3.5714285714285716</v>
      </c>
      <c r="I761" s="281">
        <v>3.5714285714285716</v>
      </c>
    </row>
    <row r="762" spans="1:9" ht="15.75">
      <c r="A762" s="12">
        <v>41080</v>
      </c>
      <c r="B762" s="200" t="s">
        <v>3134</v>
      </c>
      <c r="H762">
        <v>3.1428571428571432</v>
      </c>
      <c r="I762" s="281">
        <v>3.1428571428571432</v>
      </c>
    </row>
    <row r="763" spans="1:9" ht="15.75">
      <c r="A763" s="12">
        <v>41080</v>
      </c>
      <c r="B763" s="200" t="s">
        <v>3135</v>
      </c>
      <c r="H763">
        <v>3.5714285714285716</v>
      </c>
      <c r="I763" s="281">
        <v>3.5714285714285716</v>
      </c>
    </row>
    <row r="764" spans="1:9" ht="15.75">
      <c r="A764" s="12">
        <v>41080</v>
      </c>
      <c r="B764" s="200" t="s">
        <v>3136</v>
      </c>
      <c r="H764">
        <v>3.5714285714285716</v>
      </c>
      <c r="I764" s="281">
        <v>3.5714285714285716</v>
      </c>
    </row>
    <row r="765" spans="1:9" ht="15.75">
      <c r="A765" s="12">
        <v>41080</v>
      </c>
      <c r="B765" s="200" t="s">
        <v>3137</v>
      </c>
      <c r="H765">
        <v>2.8571428571428572</v>
      </c>
      <c r="I765" s="281">
        <v>2.8571428571428572</v>
      </c>
    </row>
    <row r="766" spans="1:9" ht="15.75">
      <c r="A766" s="12">
        <v>41080</v>
      </c>
      <c r="B766" s="200" t="s">
        <v>3138</v>
      </c>
      <c r="H766">
        <v>3.4285714285714288</v>
      </c>
      <c r="I766" s="281">
        <v>3.4285714285714288</v>
      </c>
    </row>
    <row r="767" spans="1:9" ht="15.75">
      <c r="A767" s="12">
        <v>41080</v>
      </c>
      <c r="B767" s="200" t="s">
        <v>3139</v>
      </c>
      <c r="H767">
        <v>2.5714285714285716</v>
      </c>
      <c r="I767" s="281">
        <v>2.5714285714285716</v>
      </c>
    </row>
    <row r="768" spans="1:9" ht="15.75">
      <c r="A768" s="12">
        <v>41080</v>
      </c>
      <c r="B768" s="200" t="s">
        <v>3140</v>
      </c>
      <c r="H768">
        <v>2</v>
      </c>
      <c r="I768" s="281">
        <v>2</v>
      </c>
    </row>
    <row r="769" spans="1:9" ht="15.75">
      <c r="A769" s="12">
        <v>41080</v>
      </c>
      <c r="B769" s="200" t="s">
        <v>3141</v>
      </c>
      <c r="H769">
        <v>2</v>
      </c>
      <c r="I769" s="281">
        <v>2</v>
      </c>
    </row>
    <row r="770" spans="1:9" ht="15.75">
      <c r="A770" s="12">
        <v>41080</v>
      </c>
      <c r="B770" s="200" t="s">
        <v>3142</v>
      </c>
      <c r="H770">
        <v>2.2142857142857144</v>
      </c>
      <c r="I770" s="281">
        <v>2.2142857142857144</v>
      </c>
    </row>
    <row r="771" spans="1:9" ht="15.75">
      <c r="A771" s="12">
        <v>41080</v>
      </c>
      <c r="B771" s="200" t="s">
        <v>865</v>
      </c>
      <c r="H771">
        <v>2.7142857142857144</v>
      </c>
      <c r="I771" s="281">
        <v>2.7142857142857144</v>
      </c>
    </row>
    <row r="772" spans="1:9" ht="15.75">
      <c r="A772" s="12">
        <v>41080</v>
      </c>
      <c r="B772" s="200" t="s">
        <v>3143</v>
      </c>
      <c r="H772">
        <v>2.6857142857142859</v>
      </c>
      <c r="I772" s="281">
        <v>2.6857142857142859</v>
      </c>
    </row>
    <row r="773" spans="1:9" ht="15.75">
      <c r="A773" s="12">
        <v>41080</v>
      </c>
      <c r="B773" s="200" t="s">
        <v>3144</v>
      </c>
      <c r="H773">
        <v>4.2857142857142856</v>
      </c>
      <c r="I773" s="281">
        <v>4.2857142857142856</v>
      </c>
    </row>
    <row r="774" spans="1:9" ht="15.75">
      <c r="A774" s="12">
        <v>41080</v>
      </c>
      <c r="B774" s="200" t="s">
        <v>3145</v>
      </c>
      <c r="H774">
        <v>4.1428571428571432</v>
      </c>
      <c r="I774" s="281">
        <v>4.1428571428571432</v>
      </c>
    </row>
    <row r="775" spans="1:9" ht="15.75">
      <c r="A775" s="12">
        <v>41080</v>
      </c>
      <c r="B775" s="200" t="s">
        <v>3146</v>
      </c>
      <c r="H775">
        <v>3.2142857142857144</v>
      </c>
      <c r="I775" s="281">
        <v>3.2142857142857144</v>
      </c>
    </row>
    <row r="776" spans="1:9" ht="15.75">
      <c r="A776" s="12">
        <v>41080</v>
      </c>
      <c r="B776" s="200" t="s">
        <v>2350</v>
      </c>
      <c r="H776">
        <v>2.5714285714285716</v>
      </c>
      <c r="I776" s="281">
        <v>2.5714285714285716</v>
      </c>
    </row>
    <row r="777" spans="1:9" ht="15.75">
      <c r="A777" s="12">
        <v>41080</v>
      </c>
      <c r="B777" s="200" t="s">
        <v>3147</v>
      </c>
      <c r="H777">
        <v>5.757142857142858</v>
      </c>
      <c r="I777" s="281">
        <v>5.757142857142858</v>
      </c>
    </row>
    <row r="778" spans="1:9" ht="15.75">
      <c r="A778" s="12">
        <v>41080</v>
      </c>
      <c r="B778" s="200" t="s">
        <v>3148</v>
      </c>
      <c r="H778">
        <v>5</v>
      </c>
      <c r="I778" s="281">
        <v>5</v>
      </c>
    </row>
    <row r="779" spans="1:9" ht="15.75">
      <c r="A779" s="12">
        <v>41080</v>
      </c>
      <c r="B779" s="200" t="s">
        <v>3149</v>
      </c>
      <c r="H779">
        <v>3.6</v>
      </c>
      <c r="I779" s="281">
        <v>3.6</v>
      </c>
    </row>
    <row r="780" spans="1:9" ht="15.75">
      <c r="A780" s="12">
        <v>41080</v>
      </c>
      <c r="B780" s="200" t="s">
        <v>3150</v>
      </c>
      <c r="H780">
        <v>7.5714285714285721</v>
      </c>
      <c r="I780" s="281">
        <v>7.5714285714285721</v>
      </c>
    </row>
    <row r="781" spans="1:9" ht="15.75">
      <c r="A781" s="12">
        <v>41080</v>
      </c>
      <c r="B781" s="200" t="s">
        <v>1519</v>
      </c>
      <c r="H781">
        <v>10</v>
      </c>
      <c r="I781" s="281">
        <v>10</v>
      </c>
    </row>
    <row r="782" spans="1:9" ht="15.75">
      <c r="A782" s="12">
        <v>41080</v>
      </c>
      <c r="B782" s="200" t="s">
        <v>3151</v>
      </c>
      <c r="H782">
        <v>10.428571428571429</v>
      </c>
      <c r="I782" s="281">
        <v>10.428571428571429</v>
      </c>
    </row>
    <row r="783" spans="1:9" ht="15.75">
      <c r="A783" s="12">
        <v>41080</v>
      </c>
      <c r="B783" s="200" t="s">
        <v>3152</v>
      </c>
      <c r="H783">
        <v>5</v>
      </c>
      <c r="I783" s="281">
        <v>5</v>
      </c>
    </row>
    <row r="784" spans="1:9" ht="15.75">
      <c r="A784" s="12">
        <v>41080</v>
      </c>
      <c r="B784" s="200" t="s">
        <v>3153</v>
      </c>
      <c r="H784">
        <v>9.2857142857142865</v>
      </c>
      <c r="I784" s="281">
        <v>9.2857142857142865</v>
      </c>
    </row>
    <row r="785" spans="1:9" ht="15.75">
      <c r="A785" s="12">
        <v>41080</v>
      </c>
      <c r="B785" s="200" t="s">
        <v>3154</v>
      </c>
      <c r="H785">
        <v>3.5714285714285716</v>
      </c>
      <c r="I785" s="281">
        <v>3.5714285714285716</v>
      </c>
    </row>
    <row r="786" spans="1:9" ht="15.75">
      <c r="A786" s="12">
        <v>41080</v>
      </c>
      <c r="B786" s="200" t="s">
        <v>3155</v>
      </c>
      <c r="H786">
        <v>3.7142857142857149</v>
      </c>
      <c r="I786" s="281">
        <v>3.7142857142857149</v>
      </c>
    </row>
    <row r="787" spans="1:9" ht="15.75">
      <c r="A787" s="12">
        <v>41080</v>
      </c>
      <c r="B787" s="200" t="s">
        <v>3156</v>
      </c>
      <c r="H787">
        <v>2.4285714285714288</v>
      </c>
      <c r="I787" s="281">
        <v>2.4285714285714288</v>
      </c>
    </row>
    <row r="788" spans="1:9" ht="15.75">
      <c r="A788" s="12">
        <v>41080</v>
      </c>
      <c r="B788" s="200"/>
      <c r="I788" s="281"/>
    </row>
    <row r="789" spans="1:9" ht="15.75">
      <c r="A789" s="12">
        <v>41080</v>
      </c>
      <c r="B789" s="200"/>
      <c r="I789" s="281"/>
    </row>
    <row r="790" spans="1:9" ht="15.75">
      <c r="A790" s="12">
        <v>41080</v>
      </c>
      <c r="B790" s="200"/>
      <c r="I790" s="281"/>
    </row>
    <row r="791" spans="1:9">
      <c r="A791" s="12">
        <v>41080</v>
      </c>
    </row>
  </sheetData>
  <autoFilter ref="A1:H751">
    <sortState ref="A2:H1665">
      <sortCondition descending="1" ref="A1:A5250"/>
    </sortState>
  </autoFilter>
  <customSheetViews>
    <customSheetView guid="{3AADC896-6B20-4F99-8402-796B8C297358}">
      <pane xSplit="3" ySplit="1" topLeftCell="D2" activePane="bottomRight" state="frozen"/>
      <selection pane="bottomRight" activeCell="C25" sqref="C25"/>
      <pageMargins left="0.75" right="0.75" top="1" bottom="1" header="0.5" footer="0.5"/>
      <headerFooter alignWithMargins="0"/>
    </customSheetView>
  </customSheetViews>
  <phoneticPr fontId="1" type="noConversion"/>
  <conditionalFormatting sqref="I57:I164">
    <cfRule type="expression" dxfId="59" priority="15" stopIfTrue="1">
      <formula>G57&gt;I57</formula>
    </cfRule>
    <cfRule type="expression" dxfId="58" priority="16" stopIfTrue="1">
      <formula>G57&lt;I57</formula>
    </cfRule>
  </conditionalFormatting>
  <conditionalFormatting sqref="I165:I357">
    <cfRule type="expression" dxfId="57" priority="13" stopIfTrue="1">
      <formula>G165&gt;I165</formula>
    </cfRule>
    <cfRule type="expression" dxfId="56" priority="14" stopIfTrue="1">
      <formula>G165&lt;I165</formula>
    </cfRule>
  </conditionalFormatting>
  <conditionalFormatting sqref="I358:I384">
    <cfRule type="expression" dxfId="55" priority="11" stopIfTrue="1">
      <formula>G358&gt;I358</formula>
    </cfRule>
    <cfRule type="expression" dxfId="54" priority="12" stopIfTrue="1">
      <formula>G358&lt;I358</formula>
    </cfRule>
  </conditionalFormatting>
  <conditionalFormatting sqref="I385:I394">
    <cfRule type="expression" dxfId="53" priority="9" stopIfTrue="1">
      <formula>G385&gt;I385</formula>
    </cfRule>
    <cfRule type="expression" dxfId="52" priority="10" stopIfTrue="1">
      <formula>G385&lt;I385</formula>
    </cfRule>
  </conditionalFormatting>
  <conditionalFormatting sqref="I395:I425">
    <cfRule type="expression" dxfId="51" priority="7" stopIfTrue="1">
      <formula>G395&gt;I395</formula>
    </cfRule>
    <cfRule type="expression" dxfId="50" priority="8" stopIfTrue="1">
      <formula>G395&lt;I395</formula>
    </cfRule>
  </conditionalFormatting>
  <conditionalFormatting sqref="I426:I447">
    <cfRule type="expression" dxfId="49" priority="5" stopIfTrue="1">
      <formula>G426&gt;I426</formula>
    </cfRule>
    <cfRule type="expression" dxfId="48" priority="6" stopIfTrue="1">
      <formula>G426&lt;I426</formula>
    </cfRule>
  </conditionalFormatting>
  <conditionalFormatting sqref="I448:I469">
    <cfRule type="expression" dxfId="47" priority="3" stopIfTrue="1">
      <formula>G448&gt;I448</formula>
    </cfRule>
    <cfRule type="expression" dxfId="46" priority="4" stopIfTrue="1">
      <formula>G448&lt;I448</formula>
    </cfRule>
  </conditionalFormatting>
  <conditionalFormatting sqref="I470:I790">
    <cfRule type="expression" dxfId="45" priority="1" stopIfTrue="1">
      <formula>G470&gt;I470</formula>
    </cfRule>
    <cfRule type="expression" dxfId="44" priority="2" stopIfTrue="1">
      <formula>G470&lt;I470</formula>
    </cfRule>
  </conditionalFormatting>
  <dataValidations count="4">
    <dataValidation type="list" allowBlank="1" showInputMessage="1" showErrorMessage="1" sqref="H1">
      <formula1>库组别</formula1>
    </dataValidation>
    <dataValidation type="list" allowBlank="1" showInputMessage="1" showErrorMessage="1" sqref="G1">
      <formula1>送货人</formula1>
    </dataValidation>
    <dataValidation type="decimal" operator="greaterThan" allowBlank="1" showInputMessage="1" showErrorMessage="1" sqref="C1:E1">
      <formula1>0</formula1>
    </dataValidation>
    <dataValidation type="list" showInputMessage="1" showErrorMessage="1" sqref="B1">
      <formula1>采购品种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53"/>
  <sheetViews>
    <sheetView showZeros="0" workbookViewId="0">
      <pane xSplit="3" ySplit="4" topLeftCell="D5" activePane="bottomRight" state="frozen"/>
      <selection pane="topRight" activeCell="C1" sqref="C1"/>
      <selection pane="bottomLeft" activeCell="A3" sqref="A3"/>
      <selection pane="bottomRight" activeCell="G25" sqref="G25"/>
    </sheetView>
  </sheetViews>
  <sheetFormatPr defaultRowHeight="14.25"/>
  <cols>
    <col min="1" max="1" width="9" style="2"/>
    <col min="2" max="2" width="17.875" style="4" customWidth="1"/>
    <col min="3" max="3" width="9.75" style="2" customWidth="1"/>
    <col min="4" max="4" width="15.5" style="2" customWidth="1"/>
    <col min="5" max="5" width="5.5" style="2" bestFit="1" customWidth="1"/>
    <col min="6" max="6" width="13" style="2" bestFit="1" customWidth="1"/>
    <col min="7" max="7" width="6.5" style="2" bestFit="1" customWidth="1"/>
    <col min="8" max="8" width="9.625" style="2" bestFit="1" customWidth="1"/>
    <col min="9" max="9" width="6.5" style="2" bestFit="1" customWidth="1"/>
    <col min="10" max="10" width="7.5" style="2" bestFit="1" customWidth="1"/>
    <col min="11" max="11" width="6.5" style="2" bestFit="1" customWidth="1"/>
    <col min="12" max="16384" width="9" style="2"/>
  </cols>
  <sheetData>
    <row r="1" spans="1:11" ht="20.25">
      <c r="A1" s="76" t="s">
        <v>760</v>
      </c>
      <c r="B1" s="77"/>
      <c r="C1" s="76"/>
      <c r="D1" s="76"/>
      <c r="E1" s="76"/>
      <c r="F1" s="76"/>
      <c r="G1" s="76"/>
      <c r="H1" s="76"/>
      <c r="I1" s="76"/>
      <c r="J1" s="76"/>
      <c r="K1" s="76"/>
    </row>
    <row r="2" spans="1:11" ht="15" thickBot="1"/>
    <row r="3" spans="1:11" ht="12" customHeight="1">
      <c r="A3" s="294" t="s">
        <v>759</v>
      </c>
      <c r="B3" s="296" t="s">
        <v>10</v>
      </c>
      <c r="C3" s="296" t="s">
        <v>53</v>
      </c>
      <c r="D3" s="67" t="s">
        <v>15</v>
      </c>
      <c r="E3" s="67" t="s">
        <v>15</v>
      </c>
      <c r="F3" s="67" t="s">
        <v>388</v>
      </c>
      <c r="G3" s="67" t="s">
        <v>388</v>
      </c>
      <c r="H3" s="67" t="s">
        <v>389</v>
      </c>
      <c r="I3" s="67" t="s">
        <v>389</v>
      </c>
      <c r="J3" s="67" t="s">
        <v>390</v>
      </c>
      <c r="K3" s="73" t="s">
        <v>390</v>
      </c>
    </row>
    <row r="4" spans="1:11" ht="38.25" customHeight="1">
      <c r="A4" s="295"/>
      <c r="B4" s="288"/>
      <c r="C4" s="288"/>
      <c r="D4" s="53" t="s">
        <v>10</v>
      </c>
      <c r="E4" s="74" t="s">
        <v>22</v>
      </c>
      <c r="F4" s="74" t="s">
        <v>10</v>
      </c>
      <c r="G4" s="74" t="s">
        <v>22</v>
      </c>
      <c r="H4" s="74" t="s">
        <v>10</v>
      </c>
      <c r="I4" s="74" t="s">
        <v>22</v>
      </c>
      <c r="J4" s="74" t="s">
        <v>10</v>
      </c>
      <c r="K4" s="75" t="s">
        <v>22</v>
      </c>
    </row>
    <row r="5" spans="1:11">
      <c r="A5" s="68" t="s">
        <v>419</v>
      </c>
      <c r="B5" s="61" t="s">
        <v>1031</v>
      </c>
      <c r="C5" s="65">
        <v>20</v>
      </c>
      <c r="D5" s="37" t="str">
        <f>IFERROR(VLOOKUP($B5,热菜核算,COLUMNS(热菜成本核算!$A$3:$C$3),0),"")</f>
        <v>肥牛片</v>
      </c>
      <c r="E5" s="37">
        <f>IFERROR(VLOOKUP($B5,热菜核算,COLUMNS(热菜成本核算!$A$3:D$3),0)*$C5/VLOOKUP($B5,热菜核算,COLUMNS(热菜成本核算!$A$3:$B$3),0),"")</f>
        <v>11</v>
      </c>
      <c r="F5" s="37" t="str">
        <f>IFERROR(VLOOKUP($B5,热菜核算,COLUMNS(热菜成本核算!$A$3:$E$3),0),"")</f>
        <v>黄豆芽</v>
      </c>
      <c r="G5" s="37">
        <f>IFERROR(VLOOKUP($B5,热菜核算,COLUMNS(热菜成本核算!$A$3:F$3),0)*$C5/VLOOKUP($B5,热菜核算,COLUMNS(热菜成本核算!$A$3:$B$3),0),"")</f>
        <v>6</v>
      </c>
      <c r="H5" s="37">
        <f>IFERROR(VLOOKUP($B5,热菜核算,COLUMNS(热菜成本核算!$A$3:$G$3),0),"")</f>
        <v>0</v>
      </c>
      <c r="I5" s="37">
        <f>IFERROR(VLOOKUP($B5,热菜核算,COLUMNS(热菜成本核算!$A$3:H$3),0)*$C5/VLOOKUP($B5,热菜核算,COLUMNS(热菜成本核算!$A$3:$B$3),0),"")</f>
        <v>0</v>
      </c>
      <c r="J5" s="37">
        <f>IFERROR(VLOOKUP($B5,热菜核算,COLUMNS(热菜成本核算!$A$3:$I$3),0),"")</f>
        <v>0</v>
      </c>
      <c r="K5" s="69">
        <f>IFERROR(VLOOKUP($B5,热菜核算,COLUMNS(热菜成本核算!$A$3:J$3),0)*$C5/VLOOKUP($B5,热菜核算,COLUMNS(热菜成本核算!$A$3:$B$3),0),"")</f>
        <v>0</v>
      </c>
    </row>
    <row r="6" spans="1:11">
      <c r="A6" s="68" t="s">
        <v>419</v>
      </c>
      <c r="B6" s="61" t="s">
        <v>752</v>
      </c>
      <c r="C6" s="65">
        <v>60</v>
      </c>
      <c r="D6" s="37" t="str">
        <f>IFERROR(VLOOKUP($B6,热菜核算,COLUMNS(热菜成本核算!$A$3:$C$3),0),"")</f>
        <v>蒜苗</v>
      </c>
      <c r="E6" s="37">
        <f>IFERROR(VLOOKUP($B6,热菜核算,COLUMNS(热菜成本核算!$A$3:D$3),0)*$C6/VLOOKUP($B6,热菜核算,COLUMNS(热菜成本核算!$A$3:$B$3),0),"")</f>
        <v>24</v>
      </c>
      <c r="F6" s="37" t="str">
        <f>IFERROR(VLOOKUP($B6,热菜核算,COLUMNS(热菜成本核算!$A$3:$E$3),0),"")</f>
        <v>四号肉</v>
      </c>
      <c r="G6" s="37">
        <f>IFERROR(VLOOKUP($B6,热菜核算,COLUMNS(热菜成本核算!$A$3:F$3),0)*$C6/VLOOKUP($B6,热菜核算,COLUMNS(热菜成本核算!$A$3:$B$3),0),"")</f>
        <v>6</v>
      </c>
      <c r="H6" s="37" t="str">
        <f>IFERROR(VLOOKUP($B6,热菜核算,COLUMNS(热菜成本核算!$A$3:$G$3),0),"")</f>
        <v>红椒</v>
      </c>
      <c r="I6" s="37">
        <f>IFERROR(VLOOKUP($B6,热菜核算,COLUMNS(热菜成本核算!$A$3:H$3),0)*$C6/VLOOKUP($B6,热菜核算,COLUMNS(热菜成本核算!$A$3:$B$3),0),"")</f>
        <v>2</v>
      </c>
      <c r="J6" s="37">
        <f>IFERROR(VLOOKUP($B6,热菜核算,COLUMNS(热菜成本核算!$A$3:$I$3),0),"")</f>
        <v>0</v>
      </c>
      <c r="K6" s="69">
        <f>IFERROR(VLOOKUP($B6,热菜核算,COLUMNS(热菜成本核算!$A$3:J$3),0)*$C6/VLOOKUP($B6,热菜核算,COLUMNS(热菜成本核算!$A$3:$B$3),0),"")</f>
        <v>0</v>
      </c>
    </row>
    <row r="7" spans="1:11">
      <c r="A7" s="68"/>
      <c r="B7" s="61" t="s">
        <v>753</v>
      </c>
      <c r="C7" s="65">
        <v>50</v>
      </c>
      <c r="D7" s="37" t="str">
        <f>IFERROR(VLOOKUP($B7,热菜核算,COLUMNS(热菜成本核算!$A$3:$C$3),0),"")</f>
        <v>鸡边腿</v>
      </c>
      <c r="E7" s="37">
        <f>IFERROR(VLOOKUP($B7,热菜核算,COLUMNS(热菜成本核算!$A$3:D$3),0)*$C7/VLOOKUP($B7,热菜核算,COLUMNS(热菜成本核算!$A$3:$B$3),0),"")</f>
        <v>25</v>
      </c>
      <c r="F7" s="37" t="str">
        <f>IFERROR(VLOOKUP($B7,热菜核算,COLUMNS(热菜成本核算!$A$3:$E$3),0),"")</f>
        <v>鲜香菇</v>
      </c>
      <c r="G7" s="37">
        <f>IFERROR(VLOOKUP($B7,热菜核算,COLUMNS(热菜成本核算!$A$3:F$3),0)*$C7/VLOOKUP($B7,热菜核算,COLUMNS(热菜成本核算!$A$3:$B$3),0),"")</f>
        <v>5</v>
      </c>
      <c r="H7" s="37" t="str">
        <f>IFERROR(VLOOKUP($B7,热菜核算,COLUMNS(热菜成本核算!$A$3:$G$3),0),"")</f>
        <v>新大中土豆</v>
      </c>
      <c r="I7" s="37">
        <f>IFERROR(VLOOKUP($B7,热菜核算,COLUMNS(热菜成本核算!$A$3:H$3),0)*$C7/VLOOKUP($B7,热菜核算,COLUMNS(热菜成本核算!$A$3:$B$3),0),"")</f>
        <v>8</v>
      </c>
      <c r="J7" s="37">
        <f>IFERROR(VLOOKUP($B7,热菜核算,COLUMNS(热菜成本核算!$A$3:$I$3),0),"")</f>
        <v>0</v>
      </c>
      <c r="K7" s="69">
        <f>IFERROR(VLOOKUP($B7,热菜核算,COLUMNS(热菜成本核算!$A$3:J$3),0)*$C7/VLOOKUP($B7,热菜核算,COLUMNS(热菜成本核算!$A$3:$B$3),0),"")</f>
        <v>0</v>
      </c>
    </row>
    <row r="8" spans="1:11">
      <c r="A8" s="68"/>
      <c r="B8" s="61" t="s">
        <v>754</v>
      </c>
      <c r="C8" s="65">
        <v>40</v>
      </c>
      <c r="D8" s="37" t="str">
        <f>IFERROR(VLOOKUP($B8,热菜核算,COLUMNS(热菜成本核算!$A$3:$C$3),0),"")</f>
        <v>卤水豆腐</v>
      </c>
      <c r="E8" s="37">
        <f>IFERROR(VLOOKUP($B8,热菜核算,COLUMNS(热菜成本核算!$A$3:D$3),0)*$C8/VLOOKUP($B8,热菜核算,COLUMNS(热菜成本核算!$A$3:$B$3),0),"")</f>
        <v>20</v>
      </c>
      <c r="F8" s="37" t="str">
        <f>IFERROR(VLOOKUP($B8,热菜核算,COLUMNS(热菜成本核算!$A$3:$E$3),0),"")</f>
        <v>去皮前尖</v>
      </c>
      <c r="G8" s="37">
        <f>IFERROR(VLOOKUP($B8,热菜核算,COLUMNS(热菜成本核算!$A$3:F$3),0)*$C8/VLOOKUP($B8,热菜核算,COLUMNS(热菜成本核算!$A$3:$B$3),0),"")</f>
        <v>4</v>
      </c>
      <c r="H8" s="37" t="str">
        <f>IFERROR(VLOOKUP($B8,热菜核算,COLUMNS(热菜成本核算!$A$3:$G$3),0),"")</f>
        <v>青蒜</v>
      </c>
      <c r="I8" s="37">
        <f>IFERROR(VLOOKUP($B8,热菜核算,COLUMNS(热菜成本核算!$A$3:H$3),0)*$C8/VLOOKUP($B8,热菜核算,COLUMNS(热菜成本核算!$A$3:$B$3),0),"")</f>
        <v>1</v>
      </c>
      <c r="J8" s="37">
        <f>IFERROR(VLOOKUP($B8,热菜核算,COLUMNS(热菜成本核算!$A$3:$I$3),0),"")</f>
        <v>0</v>
      </c>
      <c r="K8" s="69">
        <f>IFERROR(VLOOKUP($B8,热菜核算,COLUMNS(热菜成本核算!$A$3:J$3),0)*$C8/VLOOKUP($B8,热菜核算,COLUMNS(热菜成本核算!$A$3:$B$3),0),"")</f>
        <v>0</v>
      </c>
    </row>
    <row r="9" spans="1:11">
      <c r="A9" s="68"/>
      <c r="B9" s="61" t="s">
        <v>755</v>
      </c>
      <c r="C9" s="65">
        <v>60</v>
      </c>
      <c r="D9" s="37" t="str">
        <f>IFERROR(VLOOKUP($B9,热菜核算,COLUMNS(热菜成本核算!$A$3:$C$3),0),"")</f>
        <v>青笋</v>
      </c>
      <c r="E9" s="37">
        <f>IFERROR(VLOOKUP($B9,热菜核算,COLUMNS(热菜成本核算!$A$3:D$3),0)*$C9/VLOOKUP($B9,热菜核算,COLUMNS(热菜成本核算!$A$3:$B$3),0),"")</f>
        <v>30</v>
      </c>
      <c r="F9" s="37" t="str">
        <f>IFERROR(VLOOKUP($B9,热菜核算,COLUMNS(热菜成本核算!$A$3:$E$3),0),"")</f>
        <v>鸡蛋(筐)</v>
      </c>
      <c r="G9" s="37">
        <f>IFERROR(VLOOKUP($B9,热菜核算,COLUMNS(热菜成本核算!$A$3:F$3),0)*$C9/VLOOKUP($B9,热菜核算,COLUMNS(热菜成本核算!$A$3:$B$3),0),"")</f>
        <v>10</v>
      </c>
      <c r="H9" s="37" t="str">
        <f>IFERROR(VLOOKUP($B9,热菜核算,COLUMNS(热菜成本核算!$A$3:$G$3),0),"")</f>
        <v>木耳(斤)</v>
      </c>
      <c r="I9" s="37">
        <f>IFERROR(VLOOKUP($B9,热菜核算,COLUMNS(热菜成本核算!$A$3:H$3),0)*$C9/VLOOKUP($B9,热菜核算,COLUMNS(热菜成本核算!$A$3:$B$3),0),"")</f>
        <v>0.5</v>
      </c>
      <c r="J9" s="37">
        <f>IFERROR(VLOOKUP($B9,热菜核算,COLUMNS(热菜成本核算!$A$3:$I$3),0),"")</f>
        <v>0</v>
      </c>
      <c r="K9" s="69">
        <f>IFERROR(VLOOKUP($B9,热菜核算,COLUMNS(热菜成本核算!$A$3:J$3),0)*$C9/VLOOKUP($B9,热菜核算,COLUMNS(热菜成本核算!$A$3:$B$3),0),"")</f>
        <v>0</v>
      </c>
    </row>
    <row r="10" spans="1:11">
      <c r="A10" s="68"/>
      <c r="B10" s="61" t="s">
        <v>756</v>
      </c>
      <c r="C10" s="65">
        <v>20</v>
      </c>
      <c r="D10" s="37" t="str">
        <f>IFERROR(VLOOKUP($B10,热菜核算,COLUMNS(热菜成本核算!$A$3:$C$3),0),"")</f>
        <v>小白菜</v>
      </c>
      <c r="E10" s="37">
        <f>IFERROR(VLOOKUP($B10,热菜核算,COLUMNS(热菜成本核算!$A$3:D$3),0)*$C10/VLOOKUP($B10,热菜核算,COLUMNS(热菜成本核算!$A$3:$B$3),0),"")</f>
        <v>14</v>
      </c>
      <c r="F10" s="37">
        <f>IFERROR(VLOOKUP($B10,热菜核算,COLUMNS(热菜成本核算!$A$3:$E$3),0),"")</f>
        <v>0</v>
      </c>
      <c r="G10" s="37">
        <f>IFERROR(VLOOKUP($B10,热菜核算,COLUMNS(热菜成本核算!$A$3:F$3),0)*$C10/VLOOKUP($B10,热菜核算,COLUMNS(热菜成本核算!$A$3:$B$3),0),"")</f>
        <v>0</v>
      </c>
      <c r="H10" s="37">
        <f>IFERROR(VLOOKUP($B10,热菜核算,COLUMNS(热菜成本核算!$A$3:$G$3),0),"")</f>
        <v>0</v>
      </c>
      <c r="I10" s="37">
        <f>IFERROR(VLOOKUP($B10,热菜核算,COLUMNS(热菜成本核算!$A$3:H$3),0)*$C10/VLOOKUP($B10,热菜核算,COLUMNS(热菜成本核算!$A$3:$B$3),0),"")</f>
        <v>0</v>
      </c>
      <c r="J10" s="37">
        <f>IFERROR(VLOOKUP($B10,热菜核算,COLUMNS(热菜成本核算!$A$3:$I$3),0),"")</f>
        <v>0</v>
      </c>
      <c r="K10" s="69">
        <f>IFERROR(VLOOKUP($B10,热菜核算,COLUMNS(热菜成本核算!$A$3:J$3),0)*$C10/VLOOKUP($B10,热菜核算,COLUMNS(热菜成本核算!$A$3:$B$3),0),"")</f>
        <v>0</v>
      </c>
    </row>
    <row r="11" spans="1:11">
      <c r="A11" s="68"/>
      <c r="B11" s="61" t="s">
        <v>757</v>
      </c>
      <c r="C11" s="65">
        <v>30</v>
      </c>
      <c r="D11" s="37" t="str">
        <f>IFERROR(VLOOKUP($B11,热菜核算,COLUMNS(热菜成本核算!$A$3:$C$3),0),"")</f>
        <v>绿豆芽</v>
      </c>
      <c r="E11" s="37">
        <f>IFERROR(VLOOKUP($B11,热菜核算,COLUMNS(热菜成本核算!$A$3:D$3),0)*$C11/VLOOKUP($B11,热菜核算,COLUMNS(热菜成本核算!$A$3:$B$3),0),"")</f>
        <v>20</v>
      </c>
      <c r="F11" s="37">
        <f>IFERROR(VLOOKUP($B11,热菜核算,COLUMNS(热菜成本核算!$A$3:$E$3),0),"")</f>
        <v>0</v>
      </c>
      <c r="G11" s="37">
        <f>IFERROR(VLOOKUP($B11,热菜核算,COLUMNS(热菜成本核算!$A$3:F$3),0)*$C11/VLOOKUP($B11,热菜核算,COLUMNS(热菜成本核算!$A$3:$B$3),0),"")</f>
        <v>0</v>
      </c>
      <c r="H11" s="37">
        <f>IFERROR(VLOOKUP($B11,热菜核算,COLUMNS(热菜成本核算!$A$3:$G$3),0),"")</f>
        <v>0</v>
      </c>
      <c r="I11" s="37">
        <f>IFERROR(VLOOKUP($B11,热菜核算,COLUMNS(热菜成本核算!$A$3:H$3),0)*$C11/VLOOKUP($B11,热菜核算,COLUMNS(热菜成本核算!$A$3:$B$3),0),"")</f>
        <v>0</v>
      </c>
      <c r="J11" s="37">
        <f>IFERROR(VLOOKUP($B11,热菜核算,COLUMNS(热菜成本核算!$A$3:$I$3),0),"")</f>
        <v>0</v>
      </c>
      <c r="K11" s="69">
        <f>IFERROR(VLOOKUP($B11,热菜核算,COLUMNS(热菜成本核算!$A$3:J$3),0)*$C11/VLOOKUP($B11,热菜核算,COLUMNS(热菜成本核算!$A$3:$B$3),0),"")</f>
        <v>0</v>
      </c>
    </row>
    <row r="12" spans="1:11">
      <c r="A12" s="68"/>
      <c r="B12" s="61" t="s">
        <v>758</v>
      </c>
      <c r="C12" s="65">
        <v>50</v>
      </c>
      <c r="D12" s="37" t="str">
        <f>IFERROR(VLOOKUP($B12,热菜核算,COLUMNS(热菜成本核算!$A$3:$C$3),0),"")</f>
        <v>单冻黄鱼</v>
      </c>
      <c r="E12" s="37">
        <f>IFERROR(VLOOKUP($B12,热菜核算,COLUMNS(热菜成本核算!$A$3:D$3),0)*$C12/VLOOKUP($B12,热菜核算,COLUMNS(热菜成本核算!$A$3:$B$3),0),"")</f>
        <v>26.666666666666668</v>
      </c>
      <c r="F12" s="37">
        <f>IFERROR(VLOOKUP($B12,热菜核算,COLUMNS(热菜成本核算!$A$3:$E$3),0),"")</f>
        <v>0</v>
      </c>
      <c r="G12" s="37">
        <f>IFERROR(VLOOKUP($B12,热菜核算,COLUMNS(热菜成本核算!$A$3:F$3),0)*$C12/VLOOKUP($B12,热菜核算,COLUMNS(热菜成本核算!$A$3:$B$3),0),"")</f>
        <v>0</v>
      </c>
      <c r="H12" s="37">
        <f>IFERROR(VLOOKUP($B12,热菜核算,COLUMNS(热菜成本核算!$A$3:$G$3),0),"")</f>
        <v>0</v>
      </c>
      <c r="I12" s="37">
        <f>IFERROR(VLOOKUP($B12,热菜核算,COLUMNS(热菜成本核算!$A$3:H$3),0)*$C12/VLOOKUP($B12,热菜核算,COLUMNS(热菜成本核算!$A$3:$B$3),0),"")</f>
        <v>0</v>
      </c>
      <c r="J12" s="37">
        <f>IFERROR(VLOOKUP($B12,热菜核算,COLUMNS(热菜成本核算!$A$3:$I$3),0),"")</f>
        <v>0</v>
      </c>
      <c r="K12" s="69">
        <f>IFERROR(VLOOKUP($B12,热菜核算,COLUMNS(热菜成本核算!$A$3:J$3),0)*$C12/VLOOKUP($B12,热菜核算,COLUMNS(热菜成本核算!$A$3:$B$3),0),"")</f>
        <v>0</v>
      </c>
    </row>
    <row r="13" spans="1:11">
      <c r="A13" s="70"/>
      <c r="B13" s="65"/>
      <c r="C13" s="65"/>
      <c r="D13" s="37" t="str">
        <f>IFERROR(VLOOKUP($B13,热菜核算,COLUMNS(热菜成本核算!$A$3:$C$3),0),"")</f>
        <v/>
      </c>
      <c r="E13" s="37" t="str">
        <f>IFERROR(VLOOKUP($B13,热菜核算,COLUMNS(热菜成本核算!$A$3:D$3),0)*$C13/VLOOKUP($B13,热菜核算,COLUMNS(热菜成本核算!$A$3:$B$3),0),"")</f>
        <v/>
      </c>
      <c r="F13" s="37" t="str">
        <f>IFERROR(VLOOKUP($B13,热菜核算,COLUMNS(热菜成本核算!$A$3:$E$3),0),"")</f>
        <v/>
      </c>
      <c r="G13" s="37" t="str">
        <f>IFERROR(VLOOKUP($B13,热菜核算,COLUMNS(热菜成本核算!$A$3:F$3),0)*$C13/VLOOKUP($B13,热菜核算,COLUMNS(热菜成本核算!$A$3:$B$3),0),"")</f>
        <v/>
      </c>
      <c r="H13" s="37" t="str">
        <f>IFERROR(VLOOKUP($B13,热菜核算,COLUMNS(热菜成本核算!$A$3:$G$3),0),"")</f>
        <v/>
      </c>
      <c r="I13" s="37" t="str">
        <f>IFERROR(VLOOKUP($B13,热菜核算,COLUMNS(热菜成本核算!$A$3:H$3),0)*$C13/VLOOKUP($B13,热菜核算,COLUMNS(热菜成本核算!$A$3:$B$3),0),"")</f>
        <v/>
      </c>
      <c r="J13" s="37" t="str">
        <f>IFERROR(VLOOKUP($B13,热菜核算,COLUMNS(热菜成本核算!$A$3:$I$3),0),"")</f>
        <v/>
      </c>
      <c r="K13" s="69" t="str">
        <f>IFERROR(VLOOKUP($B13,热菜核算,COLUMNS(热菜成本核算!$A$3:J$3),0)*$C13/VLOOKUP($B13,热菜核算,COLUMNS(热菜成本核算!$A$3:$B$3),0),"")</f>
        <v/>
      </c>
    </row>
    <row r="14" spans="1:11" s="3" customFormat="1">
      <c r="A14" s="70"/>
      <c r="B14" s="65"/>
      <c r="C14" s="65"/>
      <c r="D14" s="37" t="str">
        <f>IFERROR(VLOOKUP($B14,热菜核算,COLUMNS(热菜成本核算!$A$3:$C$3),0),"")</f>
        <v/>
      </c>
      <c r="E14" s="37" t="str">
        <f>IFERROR(VLOOKUP($B14,热菜核算,COLUMNS(热菜成本核算!$A$3:D$3),0)*$C14/VLOOKUP($B14,热菜核算,COLUMNS(热菜成本核算!$A$3:$B$3),0),"")</f>
        <v/>
      </c>
      <c r="F14" s="37" t="str">
        <f>IFERROR(VLOOKUP($B14,热菜核算,COLUMNS(热菜成本核算!$A$3:$E$3),0),"")</f>
        <v/>
      </c>
      <c r="G14" s="37" t="str">
        <f>IFERROR(VLOOKUP($B14,热菜核算,COLUMNS(热菜成本核算!$A$3:F$3),0)*$C14/VLOOKUP($B14,热菜核算,COLUMNS(热菜成本核算!$A$3:$B$3),0),"")</f>
        <v/>
      </c>
      <c r="H14" s="37" t="str">
        <f>IFERROR(VLOOKUP($B14,热菜核算,COLUMNS(热菜成本核算!$A$3:$G$3),0),"")</f>
        <v/>
      </c>
      <c r="I14" s="37" t="str">
        <f>IFERROR(VLOOKUP($B14,热菜核算,COLUMNS(热菜成本核算!$A$3:H$3),0)*$C14/VLOOKUP($B14,热菜核算,COLUMNS(热菜成本核算!$A$3:$B$3),0),"")</f>
        <v/>
      </c>
      <c r="J14" s="37" t="str">
        <f>IFERROR(VLOOKUP($B14,热菜核算,COLUMNS(热菜成本核算!$A$3:$I$3),0),"")</f>
        <v/>
      </c>
      <c r="K14" s="69" t="str">
        <f>IFERROR(VLOOKUP($B14,热菜核算,COLUMNS(热菜成本核算!$A$3:J$3),0)*$C14/VLOOKUP($B14,热菜核算,COLUMNS(热菜成本核算!$A$3:$B$3),0),"")</f>
        <v/>
      </c>
    </row>
    <row r="15" spans="1:11">
      <c r="A15" s="70"/>
      <c r="B15" s="65"/>
      <c r="C15" s="65"/>
      <c r="D15" s="37" t="str">
        <f>IFERROR(VLOOKUP($B15,热菜核算,COLUMNS(热菜成本核算!$A$3:$C$3),0),"")</f>
        <v/>
      </c>
      <c r="E15" s="37" t="str">
        <f>IFERROR(VLOOKUP($B15,热菜核算,COLUMNS(热菜成本核算!$A$3:D$3),0)*$C15/VLOOKUP($B15,热菜核算,COLUMNS(热菜成本核算!$A$3:$B$3),0),"")</f>
        <v/>
      </c>
      <c r="F15" s="37" t="str">
        <f>IFERROR(VLOOKUP($B15,热菜核算,COLUMNS(热菜成本核算!$A$3:$E$3),0),"")</f>
        <v/>
      </c>
      <c r="G15" s="37" t="str">
        <f>IFERROR(VLOOKUP($B15,热菜核算,COLUMNS(热菜成本核算!$A$3:F$3),0)*$C15/VLOOKUP($B15,热菜核算,COLUMNS(热菜成本核算!$A$3:$B$3),0),"")</f>
        <v/>
      </c>
      <c r="H15" s="37" t="str">
        <f>IFERROR(VLOOKUP($B15,热菜核算,COLUMNS(热菜成本核算!$A$3:$G$3),0),"")</f>
        <v/>
      </c>
      <c r="I15" s="37" t="str">
        <f>IFERROR(VLOOKUP($B15,热菜核算,COLUMNS(热菜成本核算!$A$3:H$3),0)*$C15/VLOOKUP($B15,热菜核算,COLUMNS(热菜成本核算!$A$3:$B$3),0),"")</f>
        <v/>
      </c>
      <c r="J15" s="37" t="str">
        <f>IFERROR(VLOOKUP($B15,热菜核算,COLUMNS(热菜成本核算!$A$3:$I$3),0),"")</f>
        <v/>
      </c>
      <c r="K15" s="69" t="str">
        <f>IFERROR(VLOOKUP($B15,热菜核算,COLUMNS(热菜成本核算!$A$3:J$3),0)*$C15/VLOOKUP($B15,热菜核算,COLUMNS(热菜成本核算!$A$3:$B$3),0),"")</f>
        <v/>
      </c>
    </row>
    <row r="16" spans="1:11">
      <c r="A16" s="70"/>
      <c r="B16" s="65"/>
      <c r="C16" s="65"/>
      <c r="D16" s="37" t="str">
        <f>IFERROR(VLOOKUP($B16,热菜核算,COLUMNS(热菜成本核算!$A$3:$C$3),0),"")</f>
        <v/>
      </c>
      <c r="E16" s="37" t="str">
        <f>IFERROR(VLOOKUP($B16,热菜核算,COLUMNS(热菜成本核算!$A$3:D$3),0)*$C16/VLOOKUP($B16,热菜核算,COLUMNS(热菜成本核算!$A$3:$B$3),0),"")</f>
        <v/>
      </c>
      <c r="F16" s="37" t="str">
        <f>IFERROR(VLOOKUP($B16,热菜核算,COLUMNS(热菜成本核算!$A$3:$E$3),0),"")</f>
        <v/>
      </c>
      <c r="G16" s="37" t="str">
        <f>IFERROR(VLOOKUP($B16,热菜核算,COLUMNS(热菜成本核算!$A$3:F$3),0)*$C16/VLOOKUP($B16,热菜核算,COLUMNS(热菜成本核算!$A$3:$B$3),0),"")</f>
        <v/>
      </c>
      <c r="H16" s="37" t="str">
        <f>IFERROR(VLOOKUP($B16,热菜核算,COLUMNS(热菜成本核算!$A$3:$G$3),0),"")</f>
        <v/>
      </c>
      <c r="I16" s="37" t="str">
        <f>IFERROR(VLOOKUP($B16,热菜核算,COLUMNS(热菜成本核算!$A$3:H$3),0)*$C16/VLOOKUP($B16,热菜核算,COLUMNS(热菜成本核算!$A$3:$B$3),0),"")</f>
        <v/>
      </c>
      <c r="J16" s="37" t="str">
        <f>IFERROR(VLOOKUP($B16,热菜核算,COLUMNS(热菜成本核算!$A$3:$I$3),0),"")</f>
        <v/>
      </c>
      <c r="K16" s="69" t="str">
        <f>IFERROR(VLOOKUP($B16,热菜核算,COLUMNS(热菜成本核算!$A$3:J$3),0)*$C16/VLOOKUP($B16,热菜核算,COLUMNS(热菜成本核算!$A$3:$B$3),0),"")</f>
        <v/>
      </c>
    </row>
    <row r="17" spans="1:11">
      <c r="A17" s="70"/>
      <c r="B17" s="65"/>
      <c r="C17" s="65"/>
      <c r="D17" s="37" t="str">
        <f>IFERROR(VLOOKUP($B17,热菜核算,COLUMNS(热菜成本核算!$A$3:$C$3),0),"")</f>
        <v/>
      </c>
      <c r="E17" s="37" t="str">
        <f>IFERROR(VLOOKUP($B17,热菜核算,COLUMNS(热菜成本核算!$A$3:D$3),0)*$C17/VLOOKUP($B17,热菜核算,COLUMNS(热菜成本核算!$A$3:$B$3),0),"")</f>
        <v/>
      </c>
      <c r="F17" s="37" t="str">
        <f>IFERROR(VLOOKUP($B17,热菜核算,COLUMNS(热菜成本核算!$A$3:$E$3),0),"")</f>
        <v/>
      </c>
      <c r="G17" s="37" t="str">
        <f>IFERROR(VLOOKUP($B17,热菜核算,COLUMNS(热菜成本核算!$A$3:F$3),0)*$C17/VLOOKUP($B17,热菜核算,COLUMNS(热菜成本核算!$A$3:$B$3),0),"")</f>
        <v/>
      </c>
      <c r="H17" s="37" t="str">
        <f>IFERROR(VLOOKUP($B17,热菜核算,COLUMNS(热菜成本核算!$A$3:$G$3),0),"")</f>
        <v/>
      </c>
      <c r="I17" s="37" t="str">
        <f>IFERROR(VLOOKUP($B17,热菜核算,COLUMNS(热菜成本核算!$A$3:H$3),0)*$C17/VLOOKUP($B17,热菜核算,COLUMNS(热菜成本核算!$A$3:$B$3),0),"")</f>
        <v/>
      </c>
      <c r="J17" s="37" t="str">
        <f>IFERROR(VLOOKUP($B17,热菜核算,COLUMNS(热菜成本核算!$A$3:$I$3),0),"")</f>
        <v/>
      </c>
      <c r="K17" s="69" t="str">
        <f>IFERROR(VLOOKUP($B17,热菜核算,COLUMNS(热菜成本核算!$A$3:J$3),0)*$C17/VLOOKUP($B17,热菜核算,COLUMNS(热菜成本核算!$A$3:$B$3),0),"")</f>
        <v/>
      </c>
    </row>
    <row r="18" spans="1:11">
      <c r="A18" s="70"/>
      <c r="B18" s="65"/>
      <c r="C18" s="65"/>
      <c r="D18" s="37" t="str">
        <f>IFERROR(VLOOKUP($B18,热菜核算,COLUMNS(热菜成本核算!$A$3:$C$3),0),"")</f>
        <v/>
      </c>
      <c r="E18" s="37" t="str">
        <f>IFERROR(VLOOKUP($B18,热菜核算,COLUMNS(热菜成本核算!$A$3:D$3),0)*$C18/VLOOKUP($B18,热菜核算,COLUMNS(热菜成本核算!$A$3:$B$3),0),"")</f>
        <v/>
      </c>
      <c r="F18" s="37" t="str">
        <f>IFERROR(VLOOKUP($B18,热菜核算,COLUMNS(热菜成本核算!$A$3:$E$3),0),"")</f>
        <v/>
      </c>
      <c r="G18" s="37" t="str">
        <f>IFERROR(VLOOKUP($B18,热菜核算,COLUMNS(热菜成本核算!$A$3:F$3),0)*$C18/VLOOKUP($B18,热菜核算,COLUMNS(热菜成本核算!$A$3:$B$3),0),"")</f>
        <v/>
      </c>
      <c r="H18" s="37" t="str">
        <f>IFERROR(VLOOKUP($B18,热菜核算,COLUMNS(热菜成本核算!$A$3:$G$3),0),"")</f>
        <v/>
      </c>
      <c r="I18" s="37" t="str">
        <f>IFERROR(VLOOKUP($B18,热菜核算,COLUMNS(热菜成本核算!$A$3:H$3),0)*$C18/VLOOKUP($B18,热菜核算,COLUMNS(热菜成本核算!$A$3:$B$3),0),"")</f>
        <v/>
      </c>
      <c r="J18" s="37" t="str">
        <f>IFERROR(VLOOKUP($B18,热菜核算,COLUMNS(热菜成本核算!$A$3:$I$3),0),"")</f>
        <v/>
      </c>
      <c r="K18" s="69" t="str">
        <f>IFERROR(VLOOKUP($B18,热菜核算,COLUMNS(热菜成本核算!$A$3:J$3),0)*$C18/VLOOKUP($B18,热菜核算,COLUMNS(热菜成本核算!$A$3:$B$3),0),"")</f>
        <v/>
      </c>
    </row>
    <row r="19" spans="1:11">
      <c r="A19" s="70"/>
      <c r="B19" s="65"/>
      <c r="C19" s="65"/>
      <c r="D19" s="37" t="str">
        <f>IFERROR(VLOOKUP($B19,热菜核算,COLUMNS(热菜成本核算!$A$3:$C$3),0),"")</f>
        <v/>
      </c>
      <c r="E19" s="37" t="str">
        <f>IFERROR(VLOOKUP($B19,热菜核算,COLUMNS(热菜成本核算!$A$3:D$3),0)*$C19/VLOOKUP($B19,热菜核算,COLUMNS(热菜成本核算!$A$3:$B$3),0),"")</f>
        <v/>
      </c>
      <c r="F19" s="37" t="str">
        <f>IFERROR(VLOOKUP($B19,热菜核算,COLUMNS(热菜成本核算!$A$3:$E$3),0),"")</f>
        <v/>
      </c>
      <c r="G19" s="37" t="str">
        <f>IFERROR(VLOOKUP($B19,热菜核算,COLUMNS(热菜成本核算!$A$3:F$3),0)*$C19/VLOOKUP($B19,热菜核算,COLUMNS(热菜成本核算!$A$3:$B$3),0),"")</f>
        <v/>
      </c>
      <c r="H19" s="37" t="str">
        <f>IFERROR(VLOOKUP($B19,热菜核算,COLUMNS(热菜成本核算!$A$3:$G$3),0),"")</f>
        <v/>
      </c>
      <c r="I19" s="37" t="str">
        <f>IFERROR(VLOOKUP($B19,热菜核算,COLUMNS(热菜成本核算!$A$3:H$3),0)*$C19/VLOOKUP($B19,热菜核算,COLUMNS(热菜成本核算!$A$3:$B$3),0),"")</f>
        <v/>
      </c>
      <c r="J19" s="37" t="str">
        <f>IFERROR(VLOOKUP($B19,热菜核算,COLUMNS(热菜成本核算!$A$3:$I$3),0),"")</f>
        <v/>
      </c>
      <c r="K19" s="69" t="str">
        <f>IFERROR(VLOOKUP($B19,热菜核算,COLUMNS(热菜成本核算!$A$3:J$3),0)*$C19/VLOOKUP($B19,热菜核算,COLUMNS(热菜成本核算!$A$3:$B$3),0),"")</f>
        <v/>
      </c>
    </row>
    <row r="20" spans="1:11">
      <c r="A20" s="70"/>
      <c r="B20" s="65"/>
      <c r="C20" s="65"/>
      <c r="D20" s="37" t="str">
        <f>IFERROR(VLOOKUP($B20,热菜核算,COLUMNS(热菜成本核算!$A$3:$C$3),0),"")</f>
        <v/>
      </c>
      <c r="E20" s="37" t="str">
        <f>IFERROR(VLOOKUP($B20,热菜核算,COLUMNS(热菜成本核算!$A$3:D$3),0)*$C20/VLOOKUP($B20,热菜核算,COLUMNS(热菜成本核算!$A$3:$B$3),0),"")</f>
        <v/>
      </c>
      <c r="F20" s="37" t="str">
        <f>IFERROR(VLOOKUP($B20,热菜核算,COLUMNS(热菜成本核算!$A$3:$E$3),0),"")</f>
        <v/>
      </c>
      <c r="G20" s="37" t="str">
        <f>IFERROR(VLOOKUP($B20,热菜核算,COLUMNS(热菜成本核算!$A$3:F$3),0)*$C20/VLOOKUP($B20,热菜核算,COLUMNS(热菜成本核算!$A$3:$B$3),0),"")</f>
        <v/>
      </c>
      <c r="H20" s="37" t="str">
        <f>IFERROR(VLOOKUP($B20,热菜核算,COLUMNS(热菜成本核算!$A$3:$G$3),0),"")</f>
        <v/>
      </c>
      <c r="I20" s="37" t="str">
        <f>IFERROR(VLOOKUP($B20,热菜核算,COLUMNS(热菜成本核算!$A$3:H$3),0)*$C20/VLOOKUP($B20,热菜核算,COLUMNS(热菜成本核算!$A$3:$B$3),0),"")</f>
        <v/>
      </c>
      <c r="J20" s="37" t="str">
        <f>IFERROR(VLOOKUP($B20,热菜核算,COLUMNS(热菜成本核算!$A$3:$I$3),0),"")</f>
        <v/>
      </c>
      <c r="K20" s="69" t="str">
        <f>IFERROR(VLOOKUP($B20,热菜核算,COLUMNS(热菜成本核算!$A$3:J$3),0)*$C20/VLOOKUP($B20,热菜核算,COLUMNS(热菜成本核算!$A$3:$B$3),0),"")</f>
        <v/>
      </c>
    </row>
    <row r="21" spans="1:11">
      <c r="A21" s="70"/>
      <c r="B21" s="65"/>
      <c r="C21" s="65"/>
      <c r="D21" s="37" t="str">
        <f>IFERROR(VLOOKUP($B21,热菜核算,COLUMNS(热菜成本核算!$A$3:$C$3),0),"")</f>
        <v/>
      </c>
      <c r="E21" s="37" t="str">
        <f>IFERROR(VLOOKUP($B21,热菜核算,COLUMNS(热菜成本核算!$A$3:D$3),0)*$C21/VLOOKUP($B21,热菜核算,COLUMNS(热菜成本核算!$A$3:$B$3),0),"")</f>
        <v/>
      </c>
      <c r="F21" s="37" t="str">
        <f>IFERROR(VLOOKUP($B21,热菜核算,COLUMNS(热菜成本核算!$A$3:$E$3),0),"")</f>
        <v/>
      </c>
      <c r="G21" s="37" t="str">
        <f>IFERROR(VLOOKUP($B21,热菜核算,COLUMNS(热菜成本核算!$A$3:F$3),0)*$C21/VLOOKUP($B21,热菜核算,COLUMNS(热菜成本核算!$A$3:$B$3),0),"")</f>
        <v/>
      </c>
      <c r="H21" s="37" t="str">
        <f>IFERROR(VLOOKUP($B21,热菜核算,COLUMNS(热菜成本核算!$A$3:$G$3),0),"")</f>
        <v/>
      </c>
      <c r="I21" s="37" t="str">
        <f>IFERROR(VLOOKUP($B21,热菜核算,COLUMNS(热菜成本核算!$A$3:H$3),0)*$C21/VLOOKUP($B21,热菜核算,COLUMNS(热菜成本核算!$A$3:$B$3),0),"")</f>
        <v/>
      </c>
      <c r="J21" s="37" t="str">
        <f>IFERROR(VLOOKUP($B21,热菜核算,COLUMNS(热菜成本核算!$A$3:$I$3),0),"")</f>
        <v/>
      </c>
      <c r="K21" s="69" t="str">
        <f>IFERROR(VLOOKUP($B21,热菜核算,COLUMNS(热菜成本核算!$A$3:J$3),0)*$C21/VLOOKUP($B21,热菜核算,COLUMNS(热菜成本核算!$A$3:$B$3),0),"")</f>
        <v/>
      </c>
    </row>
    <row r="22" spans="1:11">
      <c r="A22" s="70"/>
      <c r="B22" s="65"/>
      <c r="C22" s="65"/>
      <c r="D22" s="37" t="str">
        <f>IFERROR(VLOOKUP($B22,热菜核算,COLUMNS(热菜成本核算!$A$3:$C$3),0),"")</f>
        <v/>
      </c>
      <c r="E22" s="37" t="str">
        <f>IFERROR(VLOOKUP($B22,热菜核算,COLUMNS(热菜成本核算!$A$3:D$3),0)*$C22/VLOOKUP($B22,热菜核算,COLUMNS(热菜成本核算!$A$3:$B$3),0),"")</f>
        <v/>
      </c>
      <c r="F22" s="37" t="str">
        <f>IFERROR(VLOOKUP($B22,热菜核算,COLUMNS(热菜成本核算!$A$3:$E$3),0),"")</f>
        <v/>
      </c>
      <c r="G22" s="37" t="str">
        <f>IFERROR(VLOOKUP($B22,热菜核算,COLUMNS(热菜成本核算!$A$3:F$3),0)*$C22/VLOOKUP($B22,热菜核算,COLUMNS(热菜成本核算!$A$3:$B$3),0),"")</f>
        <v/>
      </c>
      <c r="H22" s="37" t="str">
        <f>IFERROR(VLOOKUP($B22,热菜核算,COLUMNS(热菜成本核算!$A$3:$G$3),0),"")</f>
        <v/>
      </c>
      <c r="I22" s="37" t="str">
        <f>IFERROR(VLOOKUP($B22,热菜核算,COLUMNS(热菜成本核算!$A$3:H$3),0)*$C22/VLOOKUP($B22,热菜核算,COLUMNS(热菜成本核算!$A$3:$B$3),0),"")</f>
        <v/>
      </c>
      <c r="J22" s="37" t="str">
        <f>IFERROR(VLOOKUP($B22,热菜核算,COLUMNS(热菜成本核算!$A$3:$I$3),0),"")</f>
        <v/>
      </c>
      <c r="K22" s="69" t="str">
        <f>IFERROR(VLOOKUP($B22,热菜核算,COLUMNS(热菜成本核算!$A$3:J$3),0)*$C22/VLOOKUP($B22,热菜核算,COLUMNS(热菜成本核算!$A$3:$B$3),0),"")</f>
        <v/>
      </c>
    </row>
    <row r="23" spans="1:11">
      <c r="A23" s="70"/>
      <c r="B23" s="65"/>
      <c r="C23" s="65"/>
      <c r="D23" s="37" t="str">
        <f>IFERROR(VLOOKUP($B23,热菜核算,COLUMNS(热菜成本核算!$A$3:$C$3),0),"")</f>
        <v/>
      </c>
      <c r="E23" s="37" t="str">
        <f>IFERROR(VLOOKUP($B23,热菜核算,COLUMNS(热菜成本核算!$A$3:D$3),0)*$C23/VLOOKUP($B23,热菜核算,COLUMNS(热菜成本核算!$A$3:$B$3),0),"")</f>
        <v/>
      </c>
      <c r="F23" s="37" t="str">
        <f>IFERROR(VLOOKUP($B23,热菜核算,COLUMNS(热菜成本核算!$A$3:$E$3),0),"")</f>
        <v/>
      </c>
      <c r="G23" s="37" t="str">
        <f>IFERROR(VLOOKUP($B23,热菜核算,COLUMNS(热菜成本核算!$A$3:F$3),0)*$C23/VLOOKUP($B23,热菜核算,COLUMNS(热菜成本核算!$A$3:$B$3),0),"")</f>
        <v/>
      </c>
      <c r="H23" s="37" t="str">
        <f>IFERROR(VLOOKUP($B23,热菜核算,COLUMNS(热菜成本核算!$A$3:$G$3),0),"")</f>
        <v/>
      </c>
      <c r="I23" s="37" t="str">
        <f>IFERROR(VLOOKUP($B23,热菜核算,COLUMNS(热菜成本核算!$A$3:H$3),0)*$C23/VLOOKUP($B23,热菜核算,COLUMNS(热菜成本核算!$A$3:$B$3),0),"")</f>
        <v/>
      </c>
      <c r="J23" s="37" t="str">
        <f>IFERROR(VLOOKUP($B23,热菜核算,COLUMNS(热菜成本核算!$A$3:$I$3),0),"")</f>
        <v/>
      </c>
      <c r="K23" s="69" t="str">
        <f>IFERROR(VLOOKUP($B23,热菜核算,COLUMNS(热菜成本核算!$A$3:J$3),0)*$C23/VLOOKUP($B23,热菜核算,COLUMNS(热菜成本核算!$A$3:$B$3),0),"")</f>
        <v/>
      </c>
    </row>
    <row r="24" spans="1:11">
      <c r="A24" s="70"/>
      <c r="B24" s="65"/>
      <c r="C24" s="65"/>
      <c r="D24" s="37" t="str">
        <f>IFERROR(VLOOKUP($B24,热菜核算,COLUMNS(热菜成本核算!$A$3:$C$3),0),"")</f>
        <v/>
      </c>
      <c r="E24" s="37" t="str">
        <f>IFERROR(VLOOKUP($B24,热菜核算,COLUMNS(热菜成本核算!$A$3:D$3),0)*$C24/VLOOKUP($B24,热菜核算,COLUMNS(热菜成本核算!$A$3:$B$3),0),"")</f>
        <v/>
      </c>
      <c r="F24" s="37" t="str">
        <f>IFERROR(VLOOKUP($B24,热菜核算,COLUMNS(热菜成本核算!$A$3:$E$3),0),"")</f>
        <v/>
      </c>
      <c r="G24" s="37" t="str">
        <f>IFERROR(VLOOKUP($B24,热菜核算,COLUMNS(热菜成本核算!$A$3:F$3),0)*$C24/VLOOKUP($B24,热菜核算,COLUMNS(热菜成本核算!$A$3:$B$3),0),"")</f>
        <v/>
      </c>
      <c r="H24" s="37" t="str">
        <f>IFERROR(VLOOKUP($B24,热菜核算,COLUMNS(热菜成本核算!$A$3:$G$3),0),"")</f>
        <v/>
      </c>
      <c r="I24" s="37" t="str">
        <f>IFERROR(VLOOKUP($B24,热菜核算,COLUMNS(热菜成本核算!$A$3:H$3),0)*$C24/VLOOKUP($B24,热菜核算,COLUMNS(热菜成本核算!$A$3:$B$3),0),"")</f>
        <v/>
      </c>
      <c r="J24" s="37" t="str">
        <f>IFERROR(VLOOKUP($B24,热菜核算,COLUMNS(热菜成本核算!$A$3:$I$3),0),"")</f>
        <v/>
      </c>
      <c r="K24" s="69" t="str">
        <f>IFERROR(VLOOKUP($B24,热菜核算,COLUMNS(热菜成本核算!$A$3:J$3),0)*$C24/VLOOKUP($B24,热菜核算,COLUMNS(热菜成本核算!$A$3:$B$3),0),"")</f>
        <v/>
      </c>
    </row>
    <row r="25" spans="1:11">
      <c r="A25" s="70"/>
      <c r="B25" s="65"/>
      <c r="C25" s="65"/>
      <c r="D25" s="37" t="str">
        <f>IFERROR(VLOOKUP($B25,热菜核算,COLUMNS(热菜成本核算!$A$3:$C$3),0),"")</f>
        <v/>
      </c>
      <c r="E25" s="37" t="str">
        <f>IFERROR(VLOOKUP($B25,热菜核算,COLUMNS(热菜成本核算!$A$3:D$3),0)*$C25/VLOOKUP($B25,热菜核算,COLUMNS(热菜成本核算!$A$3:$B$3),0),"")</f>
        <v/>
      </c>
      <c r="F25" s="37" t="str">
        <f>IFERROR(VLOOKUP($B25,热菜核算,COLUMNS(热菜成本核算!$A$3:$E$3),0),"")</f>
        <v/>
      </c>
      <c r="G25" s="37" t="str">
        <f>IFERROR(VLOOKUP($B25,热菜核算,COLUMNS(热菜成本核算!$A$3:F$3),0)*$C25/VLOOKUP($B25,热菜核算,COLUMNS(热菜成本核算!$A$3:$B$3),0),"")</f>
        <v/>
      </c>
      <c r="H25" s="37" t="str">
        <f>IFERROR(VLOOKUP($B25,热菜核算,COLUMNS(热菜成本核算!$A$3:$G$3),0),"")</f>
        <v/>
      </c>
      <c r="I25" s="37" t="str">
        <f>IFERROR(VLOOKUP($B25,热菜核算,COLUMNS(热菜成本核算!$A$3:H$3),0)*$C25/VLOOKUP($B25,热菜核算,COLUMNS(热菜成本核算!$A$3:$B$3),0),"")</f>
        <v/>
      </c>
      <c r="J25" s="37" t="str">
        <f>IFERROR(VLOOKUP($B25,热菜核算,COLUMNS(热菜成本核算!$A$3:$I$3),0),"")</f>
        <v/>
      </c>
      <c r="K25" s="69" t="str">
        <f>IFERROR(VLOOKUP($B25,热菜核算,COLUMNS(热菜成本核算!$A$3:J$3),0)*$C25/VLOOKUP($B25,热菜核算,COLUMNS(热菜成本核算!$A$3:$B$3),0),"")</f>
        <v/>
      </c>
    </row>
    <row r="26" spans="1:11">
      <c r="A26" s="70"/>
      <c r="B26" s="65"/>
      <c r="C26" s="65"/>
      <c r="D26" s="37" t="str">
        <f>IFERROR(VLOOKUP($B26,热菜核算,COLUMNS(热菜成本核算!$A$3:$C$3),0),"")</f>
        <v/>
      </c>
      <c r="E26" s="37" t="str">
        <f>IFERROR(VLOOKUP($B26,热菜核算,COLUMNS(热菜成本核算!$A$3:D$3),0)*$C26/VLOOKUP($B26,热菜核算,COLUMNS(热菜成本核算!$A$3:$B$3),0),"")</f>
        <v/>
      </c>
      <c r="F26" s="37" t="str">
        <f>IFERROR(VLOOKUP($B26,热菜核算,COLUMNS(热菜成本核算!$A$3:$E$3),0),"")</f>
        <v/>
      </c>
      <c r="G26" s="37" t="str">
        <f>IFERROR(VLOOKUP($B26,热菜核算,COLUMNS(热菜成本核算!$A$3:F$3),0)*$C26/VLOOKUP($B26,热菜核算,COLUMNS(热菜成本核算!$A$3:$B$3),0),"")</f>
        <v/>
      </c>
      <c r="H26" s="37" t="str">
        <f>IFERROR(VLOOKUP($B26,热菜核算,COLUMNS(热菜成本核算!$A$3:$G$3),0),"")</f>
        <v/>
      </c>
      <c r="I26" s="37" t="str">
        <f>IFERROR(VLOOKUP($B26,热菜核算,COLUMNS(热菜成本核算!$A$3:H$3),0)*$C26/VLOOKUP($B26,热菜核算,COLUMNS(热菜成本核算!$A$3:$B$3),0),"")</f>
        <v/>
      </c>
      <c r="J26" s="37" t="str">
        <f>IFERROR(VLOOKUP($B26,热菜核算,COLUMNS(热菜成本核算!$A$3:$I$3),0),"")</f>
        <v/>
      </c>
      <c r="K26" s="69" t="str">
        <f>IFERROR(VLOOKUP($B26,热菜核算,COLUMNS(热菜成本核算!$A$3:J$3),0)*$C26/VLOOKUP($B26,热菜核算,COLUMNS(热菜成本核算!$A$3:$B$3),0),"")</f>
        <v/>
      </c>
    </row>
    <row r="27" spans="1:11">
      <c r="A27" s="70"/>
      <c r="B27" s="65"/>
      <c r="C27" s="65"/>
      <c r="D27" s="37" t="str">
        <f>IFERROR(VLOOKUP($B27,热菜核算,COLUMNS(热菜成本核算!$A$3:$C$3),0),"")</f>
        <v/>
      </c>
      <c r="E27" s="37" t="str">
        <f>IFERROR(VLOOKUP($B27,热菜核算,COLUMNS(热菜成本核算!$A$3:D$3),0)*$C27/VLOOKUP($B27,热菜核算,COLUMNS(热菜成本核算!$A$3:$B$3),0),"")</f>
        <v/>
      </c>
      <c r="F27" s="37" t="str">
        <f>IFERROR(VLOOKUP($B27,热菜核算,COLUMNS(热菜成本核算!$A$3:$E$3),0),"")</f>
        <v/>
      </c>
      <c r="G27" s="37" t="str">
        <f>IFERROR(VLOOKUP($B27,热菜核算,COLUMNS(热菜成本核算!$A$3:F$3),0)*$C27/VLOOKUP($B27,热菜核算,COLUMNS(热菜成本核算!$A$3:$B$3),0),"")</f>
        <v/>
      </c>
      <c r="H27" s="37" t="str">
        <f>IFERROR(VLOOKUP($B27,热菜核算,COLUMNS(热菜成本核算!$A$3:$G$3),0),"")</f>
        <v/>
      </c>
      <c r="I27" s="37" t="str">
        <f>IFERROR(VLOOKUP($B27,热菜核算,COLUMNS(热菜成本核算!$A$3:H$3),0)*$C27/VLOOKUP($B27,热菜核算,COLUMNS(热菜成本核算!$A$3:$B$3),0),"")</f>
        <v/>
      </c>
      <c r="J27" s="37" t="str">
        <f>IFERROR(VLOOKUP($B27,热菜核算,COLUMNS(热菜成本核算!$A$3:$I$3),0),"")</f>
        <v/>
      </c>
      <c r="K27" s="69" t="str">
        <f>IFERROR(VLOOKUP($B27,热菜核算,COLUMNS(热菜成本核算!$A$3:J$3),0)*$C27/VLOOKUP($B27,热菜核算,COLUMNS(热菜成本核算!$A$3:$B$3),0),"")</f>
        <v/>
      </c>
    </row>
    <row r="28" spans="1:11">
      <c r="A28" s="70"/>
      <c r="B28" s="65"/>
      <c r="C28" s="65"/>
      <c r="D28" s="37" t="str">
        <f>IFERROR(VLOOKUP($B28,热菜核算,COLUMNS(热菜成本核算!$A$3:$C$3),0),"")</f>
        <v/>
      </c>
      <c r="E28" s="37" t="str">
        <f>IFERROR(VLOOKUP($B28,热菜核算,COLUMNS(热菜成本核算!$A$3:D$3),0)*$C28/VLOOKUP($B28,热菜核算,COLUMNS(热菜成本核算!$A$3:$B$3),0),"")</f>
        <v/>
      </c>
      <c r="F28" s="37" t="str">
        <f>IFERROR(VLOOKUP($B28,热菜核算,COLUMNS(热菜成本核算!$A$3:$E$3),0),"")</f>
        <v/>
      </c>
      <c r="G28" s="37" t="str">
        <f>IFERROR(VLOOKUP($B28,热菜核算,COLUMNS(热菜成本核算!$A$3:F$3),0)*$C28/VLOOKUP($B28,热菜核算,COLUMNS(热菜成本核算!$A$3:$B$3),0),"")</f>
        <v/>
      </c>
      <c r="H28" s="37" t="str">
        <f>IFERROR(VLOOKUP($B28,热菜核算,COLUMNS(热菜成本核算!$A$3:$G$3),0),"")</f>
        <v/>
      </c>
      <c r="I28" s="37" t="str">
        <f>IFERROR(VLOOKUP($B28,热菜核算,COLUMNS(热菜成本核算!$A$3:H$3),0)*$C28/VLOOKUP($B28,热菜核算,COLUMNS(热菜成本核算!$A$3:$B$3),0),"")</f>
        <v/>
      </c>
      <c r="J28" s="37" t="str">
        <f>IFERROR(VLOOKUP($B28,热菜核算,COLUMNS(热菜成本核算!$A$3:$I$3),0),"")</f>
        <v/>
      </c>
      <c r="K28" s="69" t="str">
        <f>IFERROR(VLOOKUP($B28,热菜核算,COLUMNS(热菜成本核算!$A$3:J$3),0)*$C28/VLOOKUP($B28,热菜核算,COLUMNS(热菜成本核算!$A$3:$B$3),0),"")</f>
        <v/>
      </c>
    </row>
    <row r="29" spans="1:11">
      <c r="A29" s="70"/>
      <c r="B29" s="65"/>
      <c r="C29" s="65"/>
      <c r="D29" s="37" t="str">
        <f>IFERROR(VLOOKUP($B29,热菜核算,COLUMNS(热菜成本核算!$A$3:$C$3),0),"")</f>
        <v/>
      </c>
      <c r="E29" s="37" t="str">
        <f>IFERROR(VLOOKUP($B29,热菜核算,COLUMNS(热菜成本核算!$A$3:D$3),0)*$C29/VLOOKUP($B29,热菜核算,COLUMNS(热菜成本核算!$A$3:$B$3),0),"")</f>
        <v/>
      </c>
      <c r="F29" s="37" t="str">
        <f>IFERROR(VLOOKUP($B29,热菜核算,COLUMNS(热菜成本核算!$A$3:$E$3),0),"")</f>
        <v/>
      </c>
      <c r="G29" s="37" t="str">
        <f>IFERROR(VLOOKUP($B29,热菜核算,COLUMNS(热菜成本核算!$A$3:F$3),0)*$C29/VLOOKUP($B29,热菜核算,COLUMNS(热菜成本核算!$A$3:$B$3),0),"")</f>
        <v/>
      </c>
      <c r="H29" s="37" t="str">
        <f>IFERROR(VLOOKUP($B29,热菜核算,COLUMNS(热菜成本核算!$A$3:$G$3),0),"")</f>
        <v/>
      </c>
      <c r="I29" s="37" t="str">
        <f>IFERROR(VLOOKUP($B29,热菜核算,COLUMNS(热菜成本核算!$A$3:H$3),0)*$C29/VLOOKUP($B29,热菜核算,COLUMNS(热菜成本核算!$A$3:$B$3),0),"")</f>
        <v/>
      </c>
      <c r="J29" s="37" t="str">
        <f>IFERROR(VLOOKUP($B29,热菜核算,COLUMNS(热菜成本核算!$A$3:$I$3),0),"")</f>
        <v/>
      </c>
      <c r="K29" s="69" t="str">
        <f>IFERROR(VLOOKUP($B29,热菜核算,COLUMNS(热菜成本核算!$A$3:J$3),0)*$C29/VLOOKUP($B29,热菜核算,COLUMNS(热菜成本核算!$A$3:$B$3),0),"")</f>
        <v/>
      </c>
    </row>
    <row r="30" spans="1:11">
      <c r="A30" s="70"/>
      <c r="B30" s="65"/>
      <c r="C30" s="65"/>
      <c r="D30" s="37" t="str">
        <f>IFERROR(VLOOKUP($B30,热菜核算,COLUMNS(热菜成本核算!$A$3:$C$3),0),"")</f>
        <v/>
      </c>
      <c r="E30" s="37" t="str">
        <f>IFERROR(VLOOKUP($B30,热菜核算,COLUMNS(热菜成本核算!$A$3:D$3),0)*$C30/VLOOKUP($B30,热菜核算,COLUMNS(热菜成本核算!$A$3:$B$3),0),"")</f>
        <v/>
      </c>
      <c r="F30" s="37" t="str">
        <f>IFERROR(VLOOKUP($B30,热菜核算,COLUMNS(热菜成本核算!$A$3:$E$3),0),"")</f>
        <v/>
      </c>
      <c r="G30" s="37" t="str">
        <f>IFERROR(VLOOKUP($B30,热菜核算,COLUMNS(热菜成本核算!$A$3:F$3),0)*$C30/VLOOKUP($B30,热菜核算,COLUMNS(热菜成本核算!$A$3:$B$3),0),"")</f>
        <v/>
      </c>
      <c r="H30" s="37" t="str">
        <f>IFERROR(VLOOKUP($B30,热菜核算,COLUMNS(热菜成本核算!$A$3:$G$3),0),"")</f>
        <v/>
      </c>
      <c r="I30" s="37" t="str">
        <f>IFERROR(VLOOKUP($B30,热菜核算,COLUMNS(热菜成本核算!$A$3:H$3),0)*$C30/VLOOKUP($B30,热菜核算,COLUMNS(热菜成本核算!$A$3:$B$3),0),"")</f>
        <v/>
      </c>
      <c r="J30" s="37" t="str">
        <f>IFERROR(VLOOKUP($B30,热菜核算,COLUMNS(热菜成本核算!$A$3:$I$3),0),"")</f>
        <v/>
      </c>
      <c r="K30" s="69" t="str">
        <f>IFERROR(VLOOKUP($B30,热菜核算,COLUMNS(热菜成本核算!$A$3:J$3),0)*$C30/VLOOKUP($B30,热菜核算,COLUMNS(热菜成本核算!$A$3:$B$3),0),"")</f>
        <v/>
      </c>
    </row>
    <row r="31" spans="1:11">
      <c r="A31" s="70"/>
      <c r="B31" s="65"/>
      <c r="C31" s="65"/>
      <c r="D31" s="37" t="str">
        <f>IFERROR(VLOOKUP($B31,热菜核算,COLUMNS(热菜成本核算!$A$3:$C$3),0),"")</f>
        <v/>
      </c>
      <c r="E31" s="37" t="str">
        <f>IFERROR(VLOOKUP($B31,热菜核算,COLUMNS(热菜成本核算!$A$3:D$3),0)*$C31/VLOOKUP($B31,热菜核算,COLUMNS(热菜成本核算!$A$3:$B$3),0),"")</f>
        <v/>
      </c>
      <c r="F31" s="37" t="str">
        <f>IFERROR(VLOOKUP($B31,热菜核算,COLUMNS(热菜成本核算!$A$3:$E$3),0),"")</f>
        <v/>
      </c>
      <c r="G31" s="37" t="str">
        <f>IFERROR(VLOOKUP($B31,热菜核算,COLUMNS(热菜成本核算!$A$3:F$3),0)*$C31/VLOOKUP($B31,热菜核算,COLUMNS(热菜成本核算!$A$3:$B$3),0),"")</f>
        <v/>
      </c>
      <c r="H31" s="37" t="str">
        <f>IFERROR(VLOOKUP($B31,热菜核算,COLUMNS(热菜成本核算!$A$3:$G$3),0),"")</f>
        <v/>
      </c>
      <c r="I31" s="37" t="str">
        <f>IFERROR(VLOOKUP($B31,热菜核算,COLUMNS(热菜成本核算!$A$3:H$3),0)*$C31/VLOOKUP($B31,热菜核算,COLUMNS(热菜成本核算!$A$3:$B$3),0),"")</f>
        <v/>
      </c>
      <c r="J31" s="37" t="str">
        <f>IFERROR(VLOOKUP($B31,热菜核算,COLUMNS(热菜成本核算!$A$3:$I$3),0),"")</f>
        <v/>
      </c>
      <c r="K31" s="69" t="str">
        <f>IFERROR(VLOOKUP($B31,热菜核算,COLUMNS(热菜成本核算!$A$3:J$3),0)*$C31/VLOOKUP($B31,热菜核算,COLUMNS(热菜成本核算!$A$3:$B$3),0),"")</f>
        <v/>
      </c>
    </row>
    <row r="32" spans="1:11">
      <c r="A32" s="70"/>
      <c r="B32" s="65"/>
      <c r="C32" s="65"/>
      <c r="D32" s="37" t="str">
        <f>IFERROR(VLOOKUP($B32,热菜核算,COLUMNS(热菜成本核算!$A$3:$C$3),0),"")</f>
        <v/>
      </c>
      <c r="E32" s="37" t="str">
        <f>IFERROR(VLOOKUP($B32,热菜核算,COLUMNS(热菜成本核算!$A$3:D$3),0)*$C32/VLOOKUP($B32,热菜核算,COLUMNS(热菜成本核算!$A$3:$B$3),0),"")</f>
        <v/>
      </c>
      <c r="F32" s="37" t="str">
        <f>IFERROR(VLOOKUP($B32,热菜核算,COLUMNS(热菜成本核算!$A$3:$E$3),0),"")</f>
        <v/>
      </c>
      <c r="G32" s="37" t="str">
        <f>IFERROR(VLOOKUP($B32,热菜核算,COLUMNS(热菜成本核算!$A$3:F$3),0)*$C32/VLOOKUP($B32,热菜核算,COLUMNS(热菜成本核算!$A$3:$B$3),0),"")</f>
        <v/>
      </c>
      <c r="H32" s="37" t="str">
        <f>IFERROR(VLOOKUP($B32,热菜核算,COLUMNS(热菜成本核算!$A$3:$G$3),0),"")</f>
        <v/>
      </c>
      <c r="I32" s="37" t="str">
        <f>IFERROR(VLOOKUP($B32,热菜核算,COLUMNS(热菜成本核算!$A$3:H$3),0)*$C32/VLOOKUP($B32,热菜核算,COLUMNS(热菜成本核算!$A$3:$B$3),0),"")</f>
        <v/>
      </c>
      <c r="J32" s="37" t="str">
        <f>IFERROR(VLOOKUP($B32,热菜核算,COLUMNS(热菜成本核算!$A$3:$I$3),0),"")</f>
        <v/>
      </c>
      <c r="K32" s="69" t="str">
        <f>IFERROR(VLOOKUP($B32,热菜核算,COLUMNS(热菜成本核算!$A$3:J$3),0)*$C32/VLOOKUP($B32,热菜核算,COLUMNS(热菜成本核算!$A$3:$B$3),0),"")</f>
        <v/>
      </c>
    </row>
    <row r="33" spans="1:11">
      <c r="A33" s="70"/>
      <c r="B33" s="65"/>
      <c r="C33" s="65"/>
      <c r="D33" s="37" t="str">
        <f>IFERROR(VLOOKUP($B33,热菜核算,COLUMNS(热菜成本核算!$A$3:$C$3),0),"")</f>
        <v/>
      </c>
      <c r="E33" s="37" t="str">
        <f>IFERROR(VLOOKUP($B33,热菜核算,COLUMNS(热菜成本核算!$A$3:D$3),0)*$C33/VLOOKUP($B33,热菜核算,COLUMNS(热菜成本核算!$A$3:$B$3),0),"")</f>
        <v/>
      </c>
      <c r="F33" s="37" t="str">
        <f>IFERROR(VLOOKUP($B33,热菜核算,COLUMNS(热菜成本核算!$A$3:$E$3),0),"")</f>
        <v/>
      </c>
      <c r="G33" s="37" t="str">
        <f>IFERROR(VLOOKUP($B33,热菜核算,COLUMNS(热菜成本核算!$A$3:F$3),0)*$C33/VLOOKUP($B33,热菜核算,COLUMNS(热菜成本核算!$A$3:$B$3),0),"")</f>
        <v/>
      </c>
      <c r="H33" s="37" t="str">
        <f>IFERROR(VLOOKUP($B33,热菜核算,COLUMNS(热菜成本核算!$A$3:$G$3),0),"")</f>
        <v/>
      </c>
      <c r="I33" s="37" t="str">
        <f>IFERROR(VLOOKUP($B33,热菜核算,COLUMNS(热菜成本核算!$A$3:H$3),0)*$C33/VLOOKUP($B33,热菜核算,COLUMNS(热菜成本核算!$A$3:$B$3),0),"")</f>
        <v/>
      </c>
      <c r="J33" s="37" t="str">
        <f>IFERROR(VLOOKUP($B33,热菜核算,COLUMNS(热菜成本核算!$A$3:$I$3),0),"")</f>
        <v/>
      </c>
      <c r="K33" s="69" t="str">
        <f>IFERROR(VLOOKUP($B33,热菜核算,COLUMNS(热菜成本核算!$A$3:J$3),0)*$C33/VLOOKUP($B33,热菜核算,COLUMNS(热菜成本核算!$A$3:$B$3),0),"")</f>
        <v/>
      </c>
    </row>
    <row r="34" spans="1:11">
      <c r="A34" s="70"/>
      <c r="B34" s="65"/>
      <c r="C34" s="65"/>
      <c r="D34" s="37" t="str">
        <f>IFERROR(VLOOKUP($B34,热菜核算,COLUMNS(热菜成本核算!$A$3:$C$3),0),"")</f>
        <v/>
      </c>
      <c r="E34" s="37" t="str">
        <f>IFERROR(VLOOKUP($B34,热菜核算,COLUMNS(热菜成本核算!$A$3:D$3),0)*$C34/VLOOKUP($B34,热菜核算,COLUMNS(热菜成本核算!$A$3:$B$3),0),"")</f>
        <v/>
      </c>
      <c r="F34" s="37" t="str">
        <f>IFERROR(VLOOKUP($B34,热菜核算,COLUMNS(热菜成本核算!$A$3:$E$3),0),"")</f>
        <v/>
      </c>
      <c r="G34" s="37" t="str">
        <f>IFERROR(VLOOKUP($B34,热菜核算,COLUMNS(热菜成本核算!$A$3:F$3),0)*$C34/VLOOKUP($B34,热菜核算,COLUMNS(热菜成本核算!$A$3:$B$3),0),"")</f>
        <v/>
      </c>
      <c r="H34" s="37" t="str">
        <f>IFERROR(VLOOKUP($B34,热菜核算,COLUMNS(热菜成本核算!$A$3:$G$3),0),"")</f>
        <v/>
      </c>
      <c r="I34" s="37" t="str">
        <f>IFERROR(VLOOKUP($B34,热菜核算,COLUMNS(热菜成本核算!$A$3:H$3),0)*$C34/VLOOKUP($B34,热菜核算,COLUMNS(热菜成本核算!$A$3:$B$3),0),"")</f>
        <v/>
      </c>
      <c r="J34" s="37" t="str">
        <f>IFERROR(VLOOKUP($B34,热菜核算,COLUMNS(热菜成本核算!$A$3:$I$3),0),"")</f>
        <v/>
      </c>
      <c r="K34" s="69" t="str">
        <f>IFERROR(VLOOKUP($B34,热菜核算,COLUMNS(热菜成本核算!$A$3:J$3),0)*$C34/VLOOKUP($B34,热菜核算,COLUMNS(热菜成本核算!$A$3:$B$3),0),"")</f>
        <v/>
      </c>
    </row>
    <row r="35" spans="1:11">
      <c r="A35" s="70"/>
      <c r="B35" s="65"/>
      <c r="C35" s="65"/>
      <c r="D35" s="37" t="str">
        <f>IFERROR(VLOOKUP($B35,热菜核算,COLUMNS(热菜成本核算!$A$3:$C$3),0),"")</f>
        <v/>
      </c>
      <c r="E35" s="37" t="str">
        <f>IFERROR(VLOOKUP($B35,热菜核算,COLUMNS(热菜成本核算!$A$3:D$3),0)*$C35/VLOOKUP($B35,热菜核算,COLUMNS(热菜成本核算!$A$3:$B$3),0),"")</f>
        <v/>
      </c>
      <c r="F35" s="37" t="str">
        <f>IFERROR(VLOOKUP($B35,热菜核算,COLUMNS(热菜成本核算!$A$3:$E$3),0),"")</f>
        <v/>
      </c>
      <c r="G35" s="37" t="str">
        <f>IFERROR(VLOOKUP($B35,热菜核算,COLUMNS(热菜成本核算!$A$3:F$3),0)*$C35/VLOOKUP($B35,热菜核算,COLUMNS(热菜成本核算!$A$3:$B$3),0),"")</f>
        <v/>
      </c>
      <c r="H35" s="37" t="str">
        <f>IFERROR(VLOOKUP($B35,热菜核算,COLUMNS(热菜成本核算!$A$3:$G$3),0),"")</f>
        <v/>
      </c>
      <c r="I35" s="37" t="str">
        <f>IFERROR(VLOOKUP($B35,热菜核算,COLUMNS(热菜成本核算!$A$3:H$3),0)*$C35/VLOOKUP($B35,热菜核算,COLUMNS(热菜成本核算!$A$3:$B$3),0),"")</f>
        <v/>
      </c>
      <c r="J35" s="37" t="str">
        <f>IFERROR(VLOOKUP($B35,热菜核算,COLUMNS(热菜成本核算!$A$3:$I$3),0),"")</f>
        <v/>
      </c>
      <c r="K35" s="69" t="str">
        <f>IFERROR(VLOOKUP($B35,热菜核算,COLUMNS(热菜成本核算!$A$3:J$3),0)*$C35/VLOOKUP($B35,热菜核算,COLUMNS(热菜成本核算!$A$3:$B$3),0),"")</f>
        <v/>
      </c>
    </row>
    <row r="36" spans="1:11">
      <c r="A36" s="70"/>
      <c r="B36" s="65"/>
      <c r="C36" s="65"/>
      <c r="D36" s="37" t="str">
        <f>IFERROR(VLOOKUP($B36,热菜核算,COLUMNS(热菜成本核算!$A$3:$C$3),0),"")</f>
        <v/>
      </c>
      <c r="E36" s="37" t="str">
        <f>IFERROR(VLOOKUP($B36,热菜核算,COLUMNS(热菜成本核算!$A$3:D$3),0)*$C36/VLOOKUP($B36,热菜核算,COLUMNS(热菜成本核算!$A$3:$B$3),0),"")</f>
        <v/>
      </c>
      <c r="F36" s="37" t="str">
        <f>IFERROR(VLOOKUP($B36,热菜核算,COLUMNS(热菜成本核算!$A$3:$E$3),0),"")</f>
        <v/>
      </c>
      <c r="G36" s="37" t="str">
        <f>IFERROR(VLOOKUP($B36,热菜核算,COLUMNS(热菜成本核算!$A$3:F$3),0)*$C36/VLOOKUP($B36,热菜核算,COLUMNS(热菜成本核算!$A$3:$B$3),0),"")</f>
        <v/>
      </c>
      <c r="H36" s="37" t="str">
        <f>IFERROR(VLOOKUP($B36,热菜核算,COLUMNS(热菜成本核算!$A$3:$G$3),0),"")</f>
        <v/>
      </c>
      <c r="I36" s="37" t="str">
        <f>IFERROR(VLOOKUP($B36,热菜核算,COLUMNS(热菜成本核算!$A$3:H$3),0)*$C36/VLOOKUP($B36,热菜核算,COLUMNS(热菜成本核算!$A$3:$B$3),0),"")</f>
        <v/>
      </c>
      <c r="J36" s="37" t="str">
        <f>IFERROR(VLOOKUP($B36,热菜核算,COLUMNS(热菜成本核算!$A$3:$I$3),0),"")</f>
        <v/>
      </c>
      <c r="K36" s="69" t="str">
        <f>IFERROR(VLOOKUP($B36,热菜核算,COLUMNS(热菜成本核算!$A$3:J$3),0)*$C36/VLOOKUP($B36,热菜核算,COLUMNS(热菜成本核算!$A$3:$B$3),0),"")</f>
        <v/>
      </c>
    </row>
    <row r="37" spans="1:11">
      <c r="A37" s="70"/>
      <c r="B37" s="65"/>
      <c r="C37" s="65"/>
      <c r="D37" s="37" t="str">
        <f>IFERROR(VLOOKUP($B37,热菜核算,COLUMNS(热菜成本核算!$A$3:$C$3),0),"")</f>
        <v/>
      </c>
      <c r="E37" s="37" t="str">
        <f>IFERROR(VLOOKUP($B37,热菜核算,COLUMNS(热菜成本核算!$A$3:D$3),0)*$C37/VLOOKUP($B37,热菜核算,COLUMNS(热菜成本核算!$A$3:$B$3),0),"")</f>
        <v/>
      </c>
      <c r="F37" s="37" t="str">
        <f>IFERROR(VLOOKUP($B37,热菜核算,COLUMNS(热菜成本核算!$A$3:$E$3),0),"")</f>
        <v/>
      </c>
      <c r="G37" s="37" t="str">
        <f>IFERROR(VLOOKUP($B37,热菜核算,COLUMNS(热菜成本核算!$A$3:F$3),0)*$C37/VLOOKUP($B37,热菜核算,COLUMNS(热菜成本核算!$A$3:$B$3),0),"")</f>
        <v/>
      </c>
      <c r="H37" s="37" t="str">
        <f>IFERROR(VLOOKUP($B37,热菜核算,COLUMNS(热菜成本核算!$A$3:$G$3),0),"")</f>
        <v/>
      </c>
      <c r="I37" s="37" t="str">
        <f>IFERROR(VLOOKUP($B37,热菜核算,COLUMNS(热菜成本核算!$A$3:H$3),0)*$C37/VLOOKUP($B37,热菜核算,COLUMNS(热菜成本核算!$A$3:$B$3),0),"")</f>
        <v/>
      </c>
      <c r="J37" s="37" t="str">
        <f>IFERROR(VLOOKUP($B37,热菜核算,COLUMNS(热菜成本核算!$A$3:$I$3),0),"")</f>
        <v/>
      </c>
      <c r="K37" s="69" t="str">
        <f>IFERROR(VLOOKUP($B37,热菜核算,COLUMNS(热菜成本核算!$A$3:J$3),0)*$C37/VLOOKUP($B37,热菜核算,COLUMNS(热菜成本核算!$A$3:$B$3),0),"")</f>
        <v/>
      </c>
    </row>
    <row r="38" spans="1:11">
      <c r="A38" s="70"/>
      <c r="B38" s="65"/>
      <c r="C38" s="65"/>
      <c r="D38" s="37" t="str">
        <f>IFERROR(VLOOKUP($B38,热菜核算,COLUMNS(热菜成本核算!$A$3:$C$3),0),"")</f>
        <v/>
      </c>
      <c r="E38" s="37" t="str">
        <f>IFERROR(VLOOKUP($B38,热菜核算,COLUMNS(热菜成本核算!$A$3:D$3),0)*$C38/VLOOKUP($B38,热菜核算,COLUMNS(热菜成本核算!$A$3:$B$3),0),"")</f>
        <v/>
      </c>
      <c r="F38" s="37" t="str">
        <f>IFERROR(VLOOKUP($B38,热菜核算,COLUMNS(热菜成本核算!$A$3:$E$3),0),"")</f>
        <v/>
      </c>
      <c r="G38" s="37" t="str">
        <f>IFERROR(VLOOKUP($B38,热菜核算,COLUMNS(热菜成本核算!$A$3:F$3),0)*$C38/VLOOKUP($B38,热菜核算,COLUMNS(热菜成本核算!$A$3:$B$3),0),"")</f>
        <v/>
      </c>
      <c r="H38" s="37" t="str">
        <f>IFERROR(VLOOKUP($B38,热菜核算,COLUMNS(热菜成本核算!$A$3:$G$3),0),"")</f>
        <v/>
      </c>
      <c r="I38" s="37" t="str">
        <f>IFERROR(VLOOKUP($B38,热菜核算,COLUMNS(热菜成本核算!$A$3:H$3),0)*$C38/VLOOKUP($B38,热菜核算,COLUMNS(热菜成本核算!$A$3:$B$3),0),"")</f>
        <v/>
      </c>
      <c r="J38" s="37" t="str">
        <f>IFERROR(VLOOKUP($B38,热菜核算,COLUMNS(热菜成本核算!$A$3:$I$3),0),"")</f>
        <v/>
      </c>
      <c r="K38" s="69" t="str">
        <f>IFERROR(VLOOKUP($B38,热菜核算,COLUMNS(热菜成本核算!$A$3:J$3),0)*$C38/VLOOKUP($B38,热菜核算,COLUMNS(热菜成本核算!$A$3:$B$3),0),"")</f>
        <v/>
      </c>
    </row>
    <row r="39" spans="1:11">
      <c r="A39" s="70"/>
      <c r="B39" s="65"/>
      <c r="C39" s="65"/>
      <c r="D39" s="37" t="str">
        <f>IFERROR(VLOOKUP($B39,热菜核算,COLUMNS(热菜成本核算!$A$3:$C$3),0),"")</f>
        <v/>
      </c>
      <c r="E39" s="37" t="str">
        <f>IFERROR(VLOOKUP($B39,热菜核算,COLUMNS(热菜成本核算!$A$3:D$3),0)*$C39/VLOOKUP($B39,热菜核算,COLUMNS(热菜成本核算!$A$3:$B$3),0),"")</f>
        <v/>
      </c>
      <c r="F39" s="37" t="str">
        <f>IFERROR(VLOOKUP($B39,热菜核算,COLUMNS(热菜成本核算!$A$3:$E$3),0),"")</f>
        <v/>
      </c>
      <c r="G39" s="37" t="str">
        <f>IFERROR(VLOOKUP($B39,热菜核算,COLUMNS(热菜成本核算!$A$3:F$3),0)*$C39/VLOOKUP($B39,热菜核算,COLUMNS(热菜成本核算!$A$3:$B$3),0),"")</f>
        <v/>
      </c>
      <c r="H39" s="37" t="str">
        <f>IFERROR(VLOOKUP($B39,热菜核算,COLUMNS(热菜成本核算!$A$3:$G$3),0),"")</f>
        <v/>
      </c>
      <c r="I39" s="37" t="str">
        <f>IFERROR(VLOOKUP($B39,热菜核算,COLUMNS(热菜成本核算!$A$3:H$3),0)*$C39/VLOOKUP($B39,热菜核算,COLUMNS(热菜成本核算!$A$3:$B$3),0),"")</f>
        <v/>
      </c>
      <c r="J39" s="37" t="str">
        <f>IFERROR(VLOOKUP($B39,热菜核算,COLUMNS(热菜成本核算!$A$3:$I$3),0),"")</f>
        <v/>
      </c>
      <c r="K39" s="69" t="str">
        <f>IFERROR(VLOOKUP($B39,热菜核算,COLUMNS(热菜成本核算!$A$3:J$3),0)*$C39/VLOOKUP($B39,热菜核算,COLUMNS(热菜成本核算!$A$3:$B$3),0),"")</f>
        <v/>
      </c>
    </row>
    <row r="40" spans="1:11">
      <c r="A40" s="70"/>
      <c r="B40" s="65"/>
      <c r="C40" s="65"/>
      <c r="D40" s="37" t="str">
        <f>IFERROR(VLOOKUP($B40,热菜核算,COLUMNS(热菜成本核算!$A$3:$C$3),0),"")</f>
        <v/>
      </c>
      <c r="E40" s="37" t="str">
        <f>IFERROR(VLOOKUP($B40,热菜核算,COLUMNS(热菜成本核算!$A$3:D$3),0)*$C40/VLOOKUP($B40,热菜核算,COLUMNS(热菜成本核算!$A$3:$B$3),0),"")</f>
        <v/>
      </c>
      <c r="F40" s="37" t="str">
        <f>IFERROR(VLOOKUP($B40,热菜核算,COLUMNS(热菜成本核算!$A$3:$E$3),0),"")</f>
        <v/>
      </c>
      <c r="G40" s="37" t="str">
        <f>IFERROR(VLOOKUP($B40,热菜核算,COLUMNS(热菜成本核算!$A$3:F$3),0)*$C40/VLOOKUP($B40,热菜核算,COLUMNS(热菜成本核算!$A$3:$B$3),0),"")</f>
        <v/>
      </c>
      <c r="H40" s="37" t="str">
        <f>IFERROR(VLOOKUP($B40,热菜核算,COLUMNS(热菜成本核算!$A$3:$G$3),0),"")</f>
        <v/>
      </c>
      <c r="I40" s="37" t="str">
        <f>IFERROR(VLOOKUP($B40,热菜核算,COLUMNS(热菜成本核算!$A$3:H$3),0)*$C40/VLOOKUP($B40,热菜核算,COLUMNS(热菜成本核算!$A$3:$B$3),0),"")</f>
        <v/>
      </c>
      <c r="J40" s="37" t="str">
        <f>IFERROR(VLOOKUP($B40,热菜核算,COLUMNS(热菜成本核算!$A$3:$I$3),0),"")</f>
        <v/>
      </c>
      <c r="K40" s="69" t="str">
        <f>IFERROR(VLOOKUP($B40,热菜核算,COLUMNS(热菜成本核算!$A$3:J$3),0)*$C40/VLOOKUP($B40,热菜核算,COLUMNS(热菜成本核算!$A$3:$B$3),0),"")</f>
        <v/>
      </c>
    </row>
    <row r="41" spans="1:11">
      <c r="A41" s="70"/>
      <c r="B41" s="65"/>
      <c r="C41" s="65"/>
      <c r="D41" s="37" t="str">
        <f>IFERROR(VLOOKUP($B41,热菜核算,COLUMNS(热菜成本核算!$A$3:$C$3),0),"")</f>
        <v/>
      </c>
      <c r="E41" s="37" t="str">
        <f>IFERROR(VLOOKUP($B41,热菜核算,COLUMNS(热菜成本核算!$A$3:D$3),0)*$C41/VLOOKUP($B41,热菜核算,COLUMNS(热菜成本核算!$A$3:$B$3),0),"")</f>
        <v/>
      </c>
      <c r="F41" s="37" t="str">
        <f>IFERROR(VLOOKUP($B41,热菜核算,COLUMNS(热菜成本核算!$A$3:$E$3),0),"")</f>
        <v/>
      </c>
      <c r="G41" s="37" t="str">
        <f>IFERROR(VLOOKUP($B41,热菜核算,COLUMNS(热菜成本核算!$A$3:F$3),0)*$C41/VLOOKUP($B41,热菜核算,COLUMNS(热菜成本核算!$A$3:$B$3),0),"")</f>
        <v/>
      </c>
      <c r="H41" s="37" t="str">
        <f>IFERROR(VLOOKUP($B41,热菜核算,COLUMNS(热菜成本核算!$A$3:$G$3),0),"")</f>
        <v/>
      </c>
      <c r="I41" s="37" t="str">
        <f>IFERROR(VLOOKUP($B41,热菜核算,COLUMNS(热菜成本核算!$A$3:H$3),0)*$C41/VLOOKUP($B41,热菜核算,COLUMNS(热菜成本核算!$A$3:$B$3),0),"")</f>
        <v/>
      </c>
      <c r="J41" s="37" t="str">
        <f>IFERROR(VLOOKUP($B41,热菜核算,COLUMNS(热菜成本核算!$A$3:$I$3),0),"")</f>
        <v/>
      </c>
      <c r="K41" s="69" t="str">
        <f>IFERROR(VLOOKUP($B41,热菜核算,COLUMNS(热菜成本核算!$A$3:J$3),0)*$C41/VLOOKUP($B41,热菜核算,COLUMNS(热菜成本核算!$A$3:$B$3),0),"")</f>
        <v/>
      </c>
    </row>
    <row r="42" spans="1:11">
      <c r="A42" s="70"/>
      <c r="B42" s="65"/>
      <c r="C42" s="65"/>
      <c r="D42" s="37" t="str">
        <f>IFERROR(VLOOKUP($B42,热菜核算,COLUMNS(热菜成本核算!$A$3:$C$3),0),"")</f>
        <v/>
      </c>
      <c r="E42" s="37" t="str">
        <f>IFERROR(VLOOKUP($B42,热菜核算,COLUMNS(热菜成本核算!$A$3:D$3),0)*$C42/VLOOKUP($B42,热菜核算,COLUMNS(热菜成本核算!$A$3:$B$3),0),"")</f>
        <v/>
      </c>
      <c r="F42" s="37" t="str">
        <f>IFERROR(VLOOKUP($B42,热菜核算,COLUMNS(热菜成本核算!$A$3:$E$3),0),"")</f>
        <v/>
      </c>
      <c r="G42" s="37" t="str">
        <f>IFERROR(VLOOKUP($B42,热菜核算,COLUMNS(热菜成本核算!$A$3:F$3),0)*$C42/VLOOKUP($B42,热菜核算,COLUMNS(热菜成本核算!$A$3:$B$3),0),"")</f>
        <v/>
      </c>
      <c r="H42" s="37" t="str">
        <f>IFERROR(VLOOKUP($B42,热菜核算,COLUMNS(热菜成本核算!$A$3:$G$3),0),"")</f>
        <v/>
      </c>
      <c r="I42" s="37" t="str">
        <f>IFERROR(VLOOKUP($B42,热菜核算,COLUMNS(热菜成本核算!$A$3:H$3),0)*$C42/VLOOKUP($B42,热菜核算,COLUMNS(热菜成本核算!$A$3:$B$3),0),"")</f>
        <v/>
      </c>
      <c r="J42" s="37" t="str">
        <f>IFERROR(VLOOKUP($B42,热菜核算,COLUMNS(热菜成本核算!$A$3:$I$3),0),"")</f>
        <v/>
      </c>
      <c r="K42" s="69" t="str">
        <f>IFERROR(VLOOKUP($B42,热菜核算,COLUMNS(热菜成本核算!$A$3:J$3),0)*$C42/VLOOKUP($B42,热菜核算,COLUMNS(热菜成本核算!$A$3:$B$3),0),"")</f>
        <v/>
      </c>
    </row>
    <row r="43" spans="1:11">
      <c r="A43" s="70"/>
      <c r="B43" s="65"/>
      <c r="C43" s="65"/>
      <c r="D43" s="37" t="str">
        <f>IFERROR(VLOOKUP($B43,热菜核算,COLUMNS(热菜成本核算!$A$3:$C$3),0),"")</f>
        <v/>
      </c>
      <c r="E43" s="37" t="str">
        <f>IFERROR(VLOOKUP($B43,热菜核算,COLUMNS(热菜成本核算!$A$3:D$3),0)*$C43/VLOOKUP($B43,热菜核算,COLUMNS(热菜成本核算!$A$3:$B$3),0),"")</f>
        <v/>
      </c>
      <c r="F43" s="37" t="str">
        <f>IFERROR(VLOOKUP($B43,热菜核算,COLUMNS(热菜成本核算!$A$3:$E$3),0),"")</f>
        <v/>
      </c>
      <c r="G43" s="37" t="str">
        <f>IFERROR(VLOOKUP($B43,热菜核算,COLUMNS(热菜成本核算!$A$3:F$3),0)*$C43/VLOOKUP($B43,热菜核算,COLUMNS(热菜成本核算!$A$3:$B$3),0),"")</f>
        <v/>
      </c>
      <c r="H43" s="37" t="str">
        <f>IFERROR(VLOOKUP($B43,热菜核算,COLUMNS(热菜成本核算!$A$3:$G$3),0),"")</f>
        <v/>
      </c>
      <c r="I43" s="37" t="str">
        <f>IFERROR(VLOOKUP($B43,热菜核算,COLUMNS(热菜成本核算!$A$3:H$3),0)*$C43/VLOOKUP($B43,热菜核算,COLUMNS(热菜成本核算!$A$3:$B$3),0),"")</f>
        <v/>
      </c>
      <c r="J43" s="37" t="str">
        <f>IFERROR(VLOOKUP($B43,热菜核算,COLUMNS(热菜成本核算!$A$3:$I$3),0),"")</f>
        <v/>
      </c>
      <c r="K43" s="69" t="str">
        <f>IFERROR(VLOOKUP($B43,热菜核算,COLUMNS(热菜成本核算!$A$3:J$3),0)*$C43/VLOOKUP($B43,热菜核算,COLUMNS(热菜成本核算!$A$3:$B$3),0),"")</f>
        <v/>
      </c>
    </row>
    <row r="44" spans="1:11">
      <c r="A44" s="70"/>
      <c r="B44" s="65"/>
      <c r="C44" s="65"/>
      <c r="D44" s="37" t="str">
        <f>IFERROR(VLOOKUP($B44,热菜核算,COLUMNS(热菜成本核算!$A$3:$C$3),0),"")</f>
        <v/>
      </c>
      <c r="E44" s="37" t="str">
        <f>IFERROR(VLOOKUP($B44,热菜核算,COLUMNS(热菜成本核算!$A$3:D$3),0)*$C44/VLOOKUP($B44,热菜核算,COLUMNS(热菜成本核算!$A$3:$B$3),0),"")</f>
        <v/>
      </c>
      <c r="F44" s="37" t="str">
        <f>IFERROR(VLOOKUP($B44,热菜核算,COLUMNS(热菜成本核算!$A$3:$E$3),0),"")</f>
        <v/>
      </c>
      <c r="G44" s="37" t="str">
        <f>IFERROR(VLOOKUP($B44,热菜核算,COLUMNS(热菜成本核算!$A$3:F$3),0)*$C44/VLOOKUP($B44,热菜核算,COLUMNS(热菜成本核算!$A$3:$B$3),0),"")</f>
        <v/>
      </c>
      <c r="H44" s="37" t="str">
        <f>IFERROR(VLOOKUP($B44,热菜核算,COLUMNS(热菜成本核算!$A$3:$G$3),0),"")</f>
        <v/>
      </c>
      <c r="I44" s="37" t="str">
        <f>IFERROR(VLOOKUP($B44,热菜核算,COLUMNS(热菜成本核算!$A$3:H$3),0)*$C44/VLOOKUP($B44,热菜核算,COLUMNS(热菜成本核算!$A$3:$B$3),0),"")</f>
        <v/>
      </c>
      <c r="J44" s="37" t="str">
        <f>IFERROR(VLOOKUP($B44,热菜核算,COLUMNS(热菜成本核算!$A$3:$I$3),0),"")</f>
        <v/>
      </c>
      <c r="K44" s="69" t="str">
        <f>IFERROR(VLOOKUP($B44,热菜核算,COLUMNS(热菜成本核算!$A$3:J$3),0)*$C44/VLOOKUP($B44,热菜核算,COLUMNS(热菜成本核算!$A$3:$B$3),0),"")</f>
        <v/>
      </c>
    </row>
    <row r="45" spans="1:11">
      <c r="A45" s="70"/>
      <c r="B45" s="65"/>
      <c r="C45" s="65"/>
      <c r="D45" s="37" t="str">
        <f>IFERROR(VLOOKUP($B45,热菜核算,COLUMNS(热菜成本核算!$A$3:$C$3),0),"")</f>
        <v/>
      </c>
      <c r="E45" s="37" t="str">
        <f>IFERROR(VLOOKUP($B45,热菜核算,COLUMNS(热菜成本核算!$A$3:D$3),0)*$C45/VLOOKUP($B45,热菜核算,COLUMNS(热菜成本核算!$A$3:$B$3),0),"")</f>
        <v/>
      </c>
      <c r="F45" s="37" t="str">
        <f>IFERROR(VLOOKUP($B45,热菜核算,COLUMNS(热菜成本核算!$A$3:$E$3),0),"")</f>
        <v/>
      </c>
      <c r="G45" s="37" t="str">
        <f>IFERROR(VLOOKUP($B45,热菜核算,COLUMNS(热菜成本核算!$A$3:F$3),0)*$C45/VLOOKUP($B45,热菜核算,COLUMNS(热菜成本核算!$A$3:$B$3),0),"")</f>
        <v/>
      </c>
      <c r="H45" s="37" t="str">
        <f>IFERROR(VLOOKUP($B45,热菜核算,COLUMNS(热菜成本核算!$A$3:$G$3),0),"")</f>
        <v/>
      </c>
      <c r="I45" s="37" t="str">
        <f>IFERROR(VLOOKUP($B45,热菜核算,COLUMNS(热菜成本核算!$A$3:H$3),0)*$C45/VLOOKUP($B45,热菜核算,COLUMNS(热菜成本核算!$A$3:$B$3),0),"")</f>
        <v/>
      </c>
      <c r="J45" s="37" t="str">
        <f>IFERROR(VLOOKUP($B45,热菜核算,COLUMNS(热菜成本核算!$A$3:$I$3),0),"")</f>
        <v/>
      </c>
      <c r="K45" s="69" t="str">
        <f>IFERROR(VLOOKUP($B45,热菜核算,COLUMNS(热菜成本核算!$A$3:J$3),0)*$C45/VLOOKUP($B45,热菜核算,COLUMNS(热菜成本核算!$A$3:$B$3),0),"")</f>
        <v/>
      </c>
    </row>
    <row r="46" spans="1:11">
      <c r="A46" s="70"/>
      <c r="B46" s="66"/>
      <c r="C46" s="66"/>
      <c r="D46" s="37" t="str">
        <f>IFERROR(VLOOKUP($B46,热菜核算,COLUMNS(热菜成本核算!$A$3:$C$3),0),"")</f>
        <v/>
      </c>
      <c r="E46" s="37" t="str">
        <f>IFERROR(VLOOKUP($B46,热菜核算,COLUMNS(热菜成本核算!$A$3:D$3),0)*$C46/VLOOKUP($B46,热菜核算,COLUMNS(热菜成本核算!$A$3:$B$3),0),"")</f>
        <v/>
      </c>
      <c r="F46" s="37" t="str">
        <f>IFERROR(VLOOKUP($B46,热菜核算,COLUMNS(热菜成本核算!$A$3:$E$3),0),"")</f>
        <v/>
      </c>
      <c r="G46" s="37" t="str">
        <f>IFERROR(VLOOKUP($B46,热菜核算,COLUMNS(热菜成本核算!$A$3:F$3),0)*$C46/VLOOKUP($B46,热菜核算,COLUMNS(热菜成本核算!$A$3:$B$3),0),"")</f>
        <v/>
      </c>
      <c r="H46" s="37" t="str">
        <f>IFERROR(VLOOKUP($B46,热菜核算,COLUMNS(热菜成本核算!$A$3:$G$3),0),"")</f>
        <v/>
      </c>
      <c r="I46" s="37" t="str">
        <f>IFERROR(VLOOKUP($B46,热菜核算,COLUMNS(热菜成本核算!$A$3:H$3),0)*$C46/VLOOKUP($B46,热菜核算,COLUMNS(热菜成本核算!$A$3:$B$3),0),"")</f>
        <v/>
      </c>
      <c r="J46" s="37" t="str">
        <f>IFERROR(VLOOKUP($B46,热菜核算,COLUMNS(热菜成本核算!$A$3:$I$3),0),"")</f>
        <v/>
      </c>
      <c r="K46" s="69" t="str">
        <f>IFERROR(VLOOKUP($B46,热菜核算,COLUMNS(热菜成本核算!$A$3:J$3),0)*$C46/VLOOKUP($B46,热菜核算,COLUMNS(热菜成本核算!$A$3:$B$3),0),"")</f>
        <v/>
      </c>
    </row>
    <row r="47" spans="1:11">
      <c r="A47" s="70"/>
      <c r="B47" s="66"/>
      <c r="C47" s="66"/>
      <c r="D47" s="37" t="str">
        <f>IFERROR(VLOOKUP($B47,热菜核算,COLUMNS(热菜成本核算!$A$3:$C$3),0),"")</f>
        <v/>
      </c>
      <c r="E47" s="37" t="str">
        <f>IFERROR(VLOOKUP($B47,热菜核算,COLUMNS(热菜成本核算!$A$3:D$3),0)*$C47/VLOOKUP($B47,热菜核算,COLUMNS(热菜成本核算!$A$3:$B$3),0),"")</f>
        <v/>
      </c>
      <c r="F47" s="37" t="str">
        <f>IFERROR(VLOOKUP($B47,热菜核算,COLUMNS(热菜成本核算!$A$3:$E$3),0),"")</f>
        <v/>
      </c>
      <c r="G47" s="37" t="str">
        <f>IFERROR(VLOOKUP($B47,热菜核算,COLUMNS(热菜成本核算!$A$3:F$3),0)*$C47/VLOOKUP($B47,热菜核算,COLUMNS(热菜成本核算!$A$3:$B$3),0),"")</f>
        <v/>
      </c>
      <c r="H47" s="37" t="str">
        <f>IFERROR(VLOOKUP($B47,热菜核算,COLUMNS(热菜成本核算!$A$3:$G$3),0),"")</f>
        <v/>
      </c>
      <c r="I47" s="37" t="str">
        <f>IFERROR(VLOOKUP($B47,热菜核算,COLUMNS(热菜成本核算!$A$3:H$3),0)*$C47/VLOOKUP($B47,热菜核算,COLUMNS(热菜成本核算!$A$3:$B$3),0),"")</f>
        <v/>
      </c>
      <c r="J47" s="37" t="str">
        <f>IFERROR(VLOOKUP($B47,热菜核算,COLUMNS(热菜成本核算!$A$3:$I$3),0),"")</f>
        <v/>
      </c>
      <c r="K47" s="69" t="str">
        <f>IFERROR(VLOOKUP($B47,热菜核算,COLUMNS(热菜成本核算!$A$3:J$3),0)*$C47/VLOOKUP($B47,热菜核算,COLUMNS(热菜成本核算!$A$3:$B$3),0),"")</f>
        <v/>
      </c>
    </row>
    <row r="48" spans="1:11">
      <c r="A48" s="70"/>
      <c r="B48" s="66"/>
      <c r="C48" s="66"/>
      <c r="D48" s="37" t="str">
        <f>IFERROR(VLOOKUP($B48,热菜核算,COLUMNS(热菜成本核算!$A$3:$C$3),0),"")</f>
        <v/>
      </c>
      <c r="E48" s="37" t="str">
        <f>IFERROR(VLOOKUP($B48,热菜核算,COLUMNS(热菜成本核算!$A$3:D$3),0)*$C48/VLOOKUP($B48,热菜核算,COLUMNS(热菜成本核算!$A$3:$B$3),0),"")</f>
        <v/>
      </c>
      <c r="F48" s="37" t="str">
        <f>IFERROR(VLOOKUP($B48,热菜核算,COLUMNS(热菜成本核算!$A$3:$E$3),0),"")</f>
        <v/>
      </c>
      <c r="G48" s="37" t="str">
        <f>IFERROR(VLOOKUP($B48,热菜核算,COLUMNS(热菜成本核算!$A$3:F$3),0)*$C48/VLOOKUP($B48,热菜核算,COLUMNS(热菜成本核算!$A$3:$B$3),0),"")</f>
        <v/>
      </c>
      <c r="H48" s="37" t="str">
        <f>IFERROR(VLOOKUP($B48,热菜核算,COLUMNS(热菜成本核算!$A$3:$G$3),0),"")</f>
        <v/>
      </c>
      <c r="I48" s="37" t="str">
        <f>IFERROR(VLOOKUP($B48,热菜核算,COLUMNS(热菜成本核算!$A$3:H$3),0)*$C48/VLOOKUP($B48,热菜核算,COLUMNS(热菜成本核算!$A$3:$B$3),0),"")</f>
        <v/>
      </c>
      <c r="J48" s="37" t="str">
        <f>IFERROR(VLOOKUP($B48,热菜核算,COLUMNS(热菜成本核算!$A$3:$I$3),0),"")</f>
        <v/>
      </c>
      <c r="K48" s="69" t="str">
        <f>IFERROR(VLOOKUP($B48,热菜核算,COLUMNS(热菜成本核算!$A$3:J$3),0)*$C48/VLOOKUP($B48,热菜核算,COLUMNS(热菜成本核算!$A$3:$B$3),0),"")</f>
        <v/>
      </c>
    </row>
    <row r="49" spans="1:11">
      <c r="A49" s="70"/>
      <c r="B49" s="66"/>
      <c r="C49" s="66"/>
      <c r="D49" s="37" t="str">
        <f>IFERROR(VLOOKUP($B49,热菜核算,COLUMNS(热菜成本核算!$A$3:$C$3),0),"")</f>
        <v/>
      </c>
      <c r="E49" s="37" t="str">
        <f>IFERROR(VLOOKUP($B49,热菜核算,COLUMNS(热菜成本核算!$A$3:D$3),0)*$C49/VLOOKUP($B49,热菜核算,COLUMNS(热菜成本核算!$A$3:$B$3),0),"")</f>
        <v/>
      </c>
      <c r="F49" s="37" t="str">
        <f>IFERROR(VLOOKUP($B49,热菜核算,COLUMNS(热菜成本核算!$A$3:$E$3),0),"")</f>
        <v/>
      </c>
      <c r="G49" s="37" t="str">
        <f>IFERROR(VLOOKUP($B49,热菜核算,COLUMNS(热菜成本核算!$A$3:F$3),0)*$C49/VLOOKUP($B49,热菜核算,COLUMNS(热菜成本核算!$A$3:$B$3),0),"")</f>
        <v/>
      </c>
      <c r="H49" s="37" t="str">
        <f>IFERROR(VLOOKUP($B49,热菜核算,COLUMNS(热菜成本核算!$A$3:$G$3),0),"")</f>
        <v/>
      </c>
      <c r="I49" s="37" t="str">
        <f>IFERROR(VLOOKUP($B49,热菜核算,COLUMNS(热菜成本核算!$A$3:H$3),0)*$C49/VLOOKUP($B49,热菜核算,COLUMNS(热菜成本核算!$A$3:$B$3),0),"")</f>
        <v/>
      </c>
      <c r="J49" s="37" t="str">
        <f>IFERROR(VLOOKUP($B49,热菜核算,COLUMNS(热菜成本核算!$A$3:$I$3),0),"")</f>
        <v/>
      </c>
      <c r="K49" s="69" t="str">
        <f>IFERROR(VLOOKUP($B49,热菜核算,COLUMNS(热菜成本核算!$A$3:J$3),0)*$C49/VLOOKUP($B49,热菜核算,COLUMNS(热菜成本核算!$A$3:$B$3),0),"")</f>
        <v/>
      </c>
    </row>
    <row r="50" spans="1:11">
      <c r="A50" s="70"/>
      <c r="B50" s="66"/>
      <c r="C50" s="66"/>
      <c r="D50" s="37" t="str">
        <f>IFERROR(VLOOKUP($B50,热菜核算,COLUMNS(热菜成本核算!$A$3:$C$3),0),"")</f>
        <v/>
      </c>
      <c r="E50" s="37" t="str">
        <f>IFERROR(VLOOKUP($B50,热菜核算,COLUMNS(热菜成本核算!$A$3:D$3),0)*$C50/VLOOKUP($B50,热菜核算,COLUMNS(热菜成本核算!$A$3:$B$3),0),"")</f>
        <v/>
      </c>
      <c r="F50" s="37" t="str">
        <f>IFERROR(VLOOKUP($B50,热菜核算,COLUMNS(热菜成本核算!$A$3:$E$3),0),"")</f>
        <v/>
      </c>
      <c r="G50" s="37" t="str">
        <f>IFERROR(VLOOKUP($B50,热菜核算,COLUMNS(热菜成本核算!$A$3:F$3),0)*$C50/VLOOKUP($B50,热菜核算,COLUMNS(热菜成本核算!$A$3:$B$3),0),"")</f>
        <v/>
      </c>
      <c r="H50" s="37" t="str">
        <f>IFERROR(VLOOKUP($B50,热菜核算,COLUMNS(热菜成本核算!$A$3:$G$3),0),"")</f>
        <v/>
      </c>
      <c r="I50" s="37" t="str">
        <f>IFERROR(VLOOKUP($B50,热菜核算,COLUMNS(热菜成本核算!$A$3:H$3),0)*$C50/VLOOKUP($B50,热菜核算,COLUMNS(热菜成本核算!$A$3:$B$3),0),"")</f>
        <v/>
      </c>
      <c r="J50" s="37" t="str">
        <f>IFERROR(VLOOKUP($B50,热菜核算,COLUMNS(热菜成本核算!$A$3:$I$3),0),"")</f>
        <v/>
      </c>
      <c r="K50" s="69" t="str">
        <f>IFERROR(VLOOKUP($B50,热菜核算,COLUMNS(热菜成本核算!$A$3:J$3),0)*$C50/VLOOKUP($B50,热菜核算,COLUMNS(热菜成本核算!$A$3:$B$3),0),"")</f>
        <v/>
      </c>
    </row>
    <row r="51" spans="1:11">
      <c r="A51" s="70"/>
      <c r="B51" s="66"/>
      <c r="C51" s="66"/>
      <c r="D51" s="37" t="str">
        <f>IFERROR(VLOOKUP($B51,热菜核算,COLUMNS(热菜成本核算!$A$3:$C$3),0),"")</f>
        <v/>
      </c>
      <c r="E51" s="37" t="str">
        <f>IFERROR(VLOOKUP($B51,热菜核算,COLUMNS(热菜成本核算!$A$3:D$3),0)*$C51/VLOOKUP($B51,热菜核算,COLUMNS(热菜成本核算!$A$3:$B$3),0),"")</f>
        <v/>
      </c>
      <c r="F51" s="37" t="str">
        <f>IFERROR(VLOOKUP($B51,热菜核算,COLUMNS(热菜成本核算!$A$3:$E$3),0),"")</f>
        <v/>
      </c>
      <c r="G51" s="37" t="str">
        <f>IFERROR(VLOOKUP($B51,热菜核算,COLUMNS(热菜成本核算!$A$3:F$3),0)*$C51/VLOOKUP($B51,热菜核算,COLUMNS(热菜成本核算!$A$3:$B$3),0),"")</f>
        <v/>
      </c>
      <c r="H51" s="37" t="str">
        <f>IFERROR(VLOOKUP($B51,热菜核算,COLUMNS(热菜成本核算!$A$3:$G$3),0),"")</f>
        <v/>
      </c>
      <c r="I51" s="37" t="str">
        <f>IFERROR(VLOOKUP($B51,热菜核算,COLUMNS(热菜成本核算!$A$3:H$3),0)*$C51/VLOOKUP($B51,热菜核算,COLUMNS(热菜成本核算!$A$3:$B$3),0),"")</f>
        <v/>
      </c>
      <c r="J51" s="37" t="str">
        <f>IFERROR(VLOOKUP($B51,热菜核算,COLUMNS(热菜成本核算!$A$3:$I$3),0),"")</f>
        <v/>
      </c>
      <c r="K51" s="69" t="str">
        <f>IFERROR(VLOOKUP($B51,热菜核算,COLUMNS(热菜成本核算!$A$3:J$3),0)*$C51/VLOOKUP($B51,热菜核算,COLUMNS(热菜成本核算!$A$3:$B$3),0),"")</f>
        <v/>
      </c>
    </row>
    <row r="52" spans="1:11">
      <c r="A52" s="70"/>
      <c r="B52" s="66"/>
      <c r="C52" s="66"/>
      <c r="D52" s="37" t="str">
        <f>IFERROR(VLOOKUP($B52,热菜核算,COLUMNS(热菜成本核算!$A$3:$C$3),0),"")</f>
        <v/>
      </c>
      <c r="E52" s="37" t="str">
        <f>IFERROR(VLOOKUP($B52,热菜核算,COLUMNS(热菜成本核算!$A$3:D$3),0)*$C52/VLOOKUP($B52,热菜核算,COLUMNS(热菜成本核算!$A$3:$B$3),0),"")</f>
        <v/>
      </c>
      <c r="F52" s="37" t="str">
        <f>IFERROR(VLOOKUP($B52,热菜核算,COLUMNS(热菜成本核算!$A$3:$E$3),0),"")</f>
        <v/>
      </c>
      <c r="G52" s="37" t="str">
        <f>IFERROR(VLOOKUP($B52,热菜核算,COLUMNS(热菜成本核算!$A$3:F$3),0)*$C52/VLOOKUP($B52,热菜核算,COLUMNS(热菜成本核算!$A$3:$B$3),0),"")</f>
        <v/>
      </c>
      <c r="H52" s="37" t="str">
        <f>IFERROR(VLOOKUP($B52,热菜核算,COLUMNS(热菜成本核算!$A$3:$G$3),0),"")</f>
        <v/>
      </c>
      <c r="I52" s="37" t="str">
        <f>IFERROR(VLOOKUP($B52,热菜核算,COLUMNS(热菜成本核算!$A$3:H$3),0)*$C52/VLOOKUP($B52,热菜核算,COLUMNS(热菜成本核算!$A$3:$B$3),0),"")</f>
        <v/>
      </c>
      <c r="J52" s="37" t="str">
        <f>IFERROR(VLOOKUP($B52,热菜核算,COLUMNS(热菜成本核算!$A$3:$I$3),0),"")</f>
        <v/>
      </c>
      <c r="K52" s="69" t="str">
        <f>IFERROR(VLOOKUP($B52,热菜核算,COLUMNS(热菜成本核算!$A$3:J$3),0)*$C52/VLOOKUP($B52,热菜核算,COLUMNS(热菜成本核算!$A$3:$B$3),0),"")</f>
        <v/>
      </c>
    </row>
    <row r="53" spans="1:11" ht="15" thickBot="1">
      <c r="A53" s="71"/>
      <c r="B53" s="72"/>
      <c r="C53" s="72"/>
      <c r="D53" s="37" t="str">
        <f>IFERROR(VLOOKUP($B53,热菜核算,COLUMNS(热菜成本核算!$A$3:$C$3),0),"")</f>
        <v/>
      </c>
      <c r="E53" s="37" t="str">
        <f>IFERROR(VLOOKUP($B53,热菜核算,COLUMNS(热菜成本核算!$A$3:D$3),0)*$C53/VLOOKUP($B53,热菜核算,COLUMNS(热菜成本核算!$A$3:$B$3),0),"")</f>
        <v/>
      </c>
      <c r="F53" s="37" t="str">
        <f>IFERROR(VLOOKUP($B53,热菜核算,COLUMNS(热菜成本核算!$A$3:$E$3),0),"")</f>
        <v/>
      </c>
      <c r="G53" s="37" t="str">
        <f>IFERROR(VLOOKUP($B53,热菜核算,COLUMNS(热菜成本核算!$A$3:F$3),0)*$C53/VLOOKUP($B53,热菜核算,COLUMNS(热菜成本核算!$A$3:$B$3),0),"")</f>
        <v/>
      </c>
      <c r="H53" s="37" t="str">
        <f>IFERROR(VLOOKUP($B53,热菜核算,COLUMNS(热菜成本核算!$A$3:$G$3),0),"")</f>
        <v/>
      </c>
      <c r="I53" s="37" t="str">
        <f>IFERROR(VLOOKUP($B53,热菜核算,COLUMNS(热菜成本核算!$A$3:H$3),0)*$C53/VLOOKUP($B53,热菜核算,COLUMNS(热菜成本核算!$A$3:$B$3),0),"")</f>
        <v/>
      </c>
      <c r="J53" s="37" t="str">
        <f>IFERROR(VLOOKUP($B53,热菜核算,COLUMNS(热菜成本核算!$A$3:$I$3),0),"")</f>
        <v/>
      </c>
      <c r="K53" s="69" t="str">
        <f>IFERROR(VLOOKUP($B53,热菜核算,COLUMNS(热菜成本核算!$A$3:J$3),0)*$C53/VLOOKUP($B53,热菜核算,COLUMNS(热菜成本核算!$A$3:$B$3),0),"")</f>
        <v/>
      </c>
    </row>
  </sheetData>
  <sheetProtection selectLockedCells="1"/>
  <mergeCells count="3">
    <mergeCell ref="A3:A4"/>
    <mergeCell ref="B3:B4"/>
    <mergeCell ref="C3:C4"/>
  </mergeCells>
  <phoneticPr fontId="1" type="noConversion"/>
  <conditionalFormatting sqref="B5">
    <cfRule type="expression" dxfId="43" priority="9" stopIfTrue="1">
      <formula>AND(COUNTIF($Z$55:$Z$56, B5)&gt;1,NOT(ISBLANK(B5)))</formula>
    </cfRule>
  </conditionalFormatting>
  <conditionalFormatting sqref="B5:B12">
    <cfRule type="expression" dxfId="42" priority="10" stopIfTrue="1">
      <formula>AND(COUNTIF($Z$6:$Z$56, B5)+COUNTIF($N$5:$N$71, B5)&gt;1,NOT(ISBLANK(B5)))</formula>
    </cfRule>
  </conditionalFormatting>
  <conditionalFormatting sqref="B8">
    <cfRule type="expression" dxfId="41" priority="8" stopIfTrue="1">
      <formula>AND(COUNTIF($N$60:$N$60, B8)&gt;1,NOT(ISBLANK(B8)))</formula>
    </cfRule>
  </conditionalFormatting>
  <conditionalFormatting sqref="B8 B10:B11">
    <cfRule type="expression" dxfId="40" priority="7" stopIfTrue="1">
      <formula>AND(COUNTIF($N$53:$N$53, B8)&gt;1,NOT(ISBLANK(B8)))</formula>
    </cfRule>
  </conditionalFormatting>
  <conditionalFormatting sqref="B6">
    <cfRule type="expression" dxfId="39" priority="6" stopIfTrue="1">
      <formula>AND(COUNTIF($N$57:$N$57, B6)&gt;1,NOT(ISBLANK(B6)))</formula>
    </cfRule>
  </conditionalFormatting>
  <conditionalFormatting sqref="B8">
    <cfRule type="expression" dxfId="38" priority="5" stopIfTrue="1">
      <formula>AND(COUNTIF($N$61:$N$61, B8)&gt;1,NOT(ISBLANK(B8)))</formula>
    </cfRule>
  </conditionalFormatting>
  <conditionalFormatting sqref="B6">
    <cfRule type="expression" dxfId="37" priority="4" stopIfTrue="1">
      <formula>AND(COUNTIF($N$58:$N$58, B6)&gt;1,NOT(ISBLANK(B6)))</formula>
    </cfRule>
  </conditionalFormatting>
  <conditionalFormatting sqref="B5:B12">
    <cfRule type="expression" dxfId="36" priority="11" stopIfTrue="1">
      <formula>AND(COUNTIF($Z$7:$Z$73, B5)+COUNTIF($N$6:$N$80, B5)&gt;1,NOT(ISBLANK(B5)))</formula>
    </cfRule>
  </conditionalFormatting>
  <conditionalFormatting sqref="B5:B12">
    <cfRule type="expression" dxfId="35" priority="12" stopIfTrue="1">
      <formula>AND(COUNTIF($Z$3:$Z$80, B5)+COUNTIF($N$3:$N$88, B5)&gt;1,NOT(ISBLANK(B5)))</formula>
    </cfRule>
  </conditionalFormatting>
  <conditionalFormatting sqref="B5:B12">
    <cfRule type="expression" dxfId="34" priority="13" stopIfTrue="1">
      <formula>AND(COUNTIF($Z$6:$Z$80, B5)+COUNTIF($N$5:$N$88, B5)&gt;1,NOT(ISBLANK(B5)))</formula>
    </cfRule>
  </conditionalFormatting>
  <conditionalFormatting sqref="B10:B11 B8">
    <cfRule type="duplicateValues" dxfId="33" priority="2" stopIfTrue="1"/>
  </conditionalFormatting>
  <conditionalFormatting sqref="B5:B12">
    <cfRule type="duplicateValues" dxfId="32" priority="3"/>
  </conditionalFormatting>
  <conditionalFormatting sqref="B5">
    <cfRule type="expression" dxfId="31" priority="1">
      <formula>COUNTIF(本周午菜,B5)+COUNTIF(本周晚菜,B5)&gt;0</formula>
    </cfRule>
  </conditionalFormatting>
  <printOptions horizontalCentered="1"/>
  <pageMargins left="0.35433070866141736" right="0.35433070866141736" top="0.59055118110236227" bottom="0.59055118110236227" header="0.51181102362204722" footer="0.51181102362204722"/>
  <pageSetup paperSize="12" orientation="portrait" horizontalDpi="4294967292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59"/>
  <sheetViews>
    <sheetView showZeros="0" workbookViewId="0">
      <pane xSplit="3" ySplit="4" topLeftCell="D44" activePane="bottomRight" state="frozen"/>
      <selection pane="topRight" activeCell="C1" sqref="C1"/>
      <selection pane="bottomLeft" activeCell="A3" sqref="A3"/>
      <selection pane="bottomRight" activeCell="G56" sqref="G56"/>
    </sheetView>
  </sheetViews>
  <sheetFormatPr defaultRowHeight="14.25"/>
  <cols>
    <col min="1" max="1" width="9" style="2"/>
    <col min="2" max="2" width="17.875" style="4" customWidth="1"/>
    <col min="3" max="3" width="9.75" style="2" customWidth="1"/>
    <col min="4" max="4" width="15.5" style="2" customWidth="1"/>
    <col min="5" max="5" width="5.5" style="2" bestFit="1" customWidth="1"/>
    <col min="6" max="6" width="13" style="2" bestFit="1" customWidth="1"/>
    <col min="7" max="7" width="6.5" style="2" bestFit="1" customWidth="1"/>
    <col min="8" max="8" width="9.625" style="2" bestFit="1" customWidth="1"/>
    <col min="9" max="9" width="6.5" style="2" bestFit="1" customWidth="1"/>
    <col min="10" max="10" width="37.75" style="2" customWidth="1"/>
    <col min="11" max="11" width="6.5" style="2" bestFit="1" customWidth="1"/>
    <col min="12" max="16384" width="9" style="2"/>
  </cols>
  <sheetData>
    <row r="1" spans="1:11" ht="20.25">
      <c r="A1" s="76" t="s">
        <v>760</v>
      </c>
      <c r="B1" s="77"/>
      <c r="C1" s="76"/>
      <c r="D1" s="76"/>
      <c r="E1" s="76"/>
      <c r="F1" s="76"/>
      <c r="G1" s="76"/>
      <c r="H1" s="76"/>
      <c r="I1" s="76"/>
      <c r="J1" s="76"/>
      <c r="K1" s="76"/>
    </row>
    <row r="2" spans="1:11" ht="15" thickBot="1"/>
    <row r="3" spans="1:11" ht="12" customHeight="1">
      <c r="A3" s="294" t="s">
        <v>759</v>
      </c>
      <c r="B3" s="296" t="s">
        <v>10</v>
      </c>
      <c r="C3" s="296" t="s">
        <v>53</v>
      </c>
      <c r="D3" s="99" t="s">
        <v>15</v>
      </c>
      <c r="E3" s="99" t="s">
        <v>15</v>
      </c>
      <c r="F3" s="99" t="s">
        <v>388</v>
      </c>
      <c r="G3" s="99" t="s">
        <v>388</v>
      </c>
      <c r="H3" s="99" t="s">
        <v>389</v>
      </c>
      <c r="I3" s="99" t="s">
        <v>389</v>
      </c>
      <c r="J3" s="99" t="s">
        <v>390</v>
      </c>
      <c r="K3" s="73" t="s">
        <v>390</v>
      </c>
    </row>
    <row r="4" spans="1:11" ht="38.25" customHeight="1">
      <c r="A4" s="295"/>
      <c r="B4" s="288"/>
      <c r="C4" s="288"/>
      <c r="D4" s="98" t="s">
        <v>10</v>
      </c>
      <c r="E4" s="74" t="s">
        <v>22</v>
      </c>
      <c r="F4" s="74" t="s">
        <v>10</v>
      </c>
      <c r="G4" s="74" t="s">
        <v>22</v>
      </c>
      <c r="H4" s="74" t="s">
        <v>10</v>
      </c>
      <c r="I4" s="74" t="s">
        <v>22</v>
      </c>
      <c r="J4" s="74" t="s">
        <v>10</v>
      </c>
      <c r="K4" s="75" t="s">
        <v>22</v>
      </c>
    </row>
    <row r="5" spans="1:11">
      <c r="A5" s="68" t="s">
        <v>1564</v>
      </c>
      <c r="B5" s="37" t="s">
        <v>761</v>
      </c>
      <c r="C5" s="65">
        <v>50</v>
      </c>
      <c r="D5" s="37" t="str">
        <f>IFERROR(VLOOKUP($B5,小吃定价,COLUMNS(小吃成本核算!$A$3:$C$3),0),"")</f>
        <v>牛后(冻)</v>
      </c>
      <c r="E5" s="37">
        <v>8</v>
      </c>
      <c r="F5" s="37" t="str">
        <f>IFERROR(VLOOKUP($B5,小吃定价,COLUMNS(小吃成本核算!$A$3:$E$3),0),"")</f>
        <v>牛棒骨</v>
      </c>
      <c r="G5" s="37">
        <f>IFERROR(VLOOKUP($B5,小吃定价,COLUMNS(小吃成本核算!$A$3:F$3),0)*$C5/VLOOKUP($B5,小吃定价,COLUMNS(小吃成本核算!$A$3:$B$3),0),"")</f>
        <v>1</v>
      </c>
      <c r="H5" s="37" t="str">
        <f>IFERROR(VLOOKUP($B5,小吃定价,COLUMNS(小吃成本核算!$A$3:$G$3),0),"")</f>
        <v>面粉</v>
      </c>
      <c r="I5" s="37">
        <f>IFERROR(VLOOKUP($B5,小吃定价,COLUMNS(小吃成本核算!$A$3:H$3),0)*$C5/VLOOKUP($B5,小吃定价,COLUMNS(小吃成本核算!$A$3:$B$3),0),"")</f>
        <v>20</v>
      </c>
      <c r="J5" s="37" t="str">
        <f>IFERROR(VLOOKUP($B5,小吃定价,COLUMNS(小吃成本核算!$A$3:$I$3),0),"")</f>
        <v>青蒜</v>
      </c>
      <c r="K5" s="69">
        <f>IFERROR(VLOOKUP($B5,小吃定价,COLUMNS(小吃成本核算!$A$3:J$3),0)*$C5/VLOOKUP($B5,小吃定价,COLUMNS(小吃成本核算!$A$3:$B$3),0),"")</f>
        <v>1</v>
      </c>
    </row>
    <row r="6" spans="1:11">
      <c r="A6" s="68"/>
      <c r="B6" s="18" t="s">
        <v>1039</v>
      </c>
      <c r="C6" s="65">
        <v>20</v>
      </c>
      <c r="D6" s="18" t="s">
        <v>1040</v>
      </c>
      <c r="E6" s="37">
        <v>8</v>
      </c>
      <c r="F6" s="18" t="s">
        <v>1041</v>
      </c>
      <c r="G6" s="37">
        <v>12</v>
      </c>
      <c r="H6" s="18" t="s">
        <v>1042</v>
      </c>
      <c r="I6" s="37">
        <v>3</v>
      </c>
      <c r="J6" s="18" t="s">
        <v>1043</v>
      </c>
      <c r="K6" s="69">
        <v>1</v>
      </c>
    </row>
    <row r="7" spans="1:11">
      <c r="A7" s="68"/>
      <c r="B7" s="18" t="s">
        <v>1044</v>
      </c>
      <c r="C7" s="65">
        <v>20</v>
      </c>
      <c r="D7" s="37" t="str">
        <f>IFERROR(VLOOKUP($B7,小吃定价,COLUMNS(小吃成本核算!$A$3:$C$3),0),"")</f>
        <v>一级五花</v>
      </c>
      <c r="E7" s="37">
        <v>5</v>
      </c>
      <c r="F7" s="18" t="s">
        <v>1045</v>
      </c>
      <c r="G7" s="37">
        <v>6</v>
      </c>
      <c r="H7" s="37" t="str">
        <f>IFERROR(VLOOKUP($B7,小吃定价,COLUMNS(小吃成本核算!$A$3:$G$3),0),"")</f>
        <v>面粉</v>
      </c>
      <c r="I7" s="37">
        <v>5</v>
      </c>
      <c r="J7" s="37">
        <f>IFERROR(VLOOKUP($B7,小吃定价,COLUMNS(小吃成本核算!$A$3:$I$3),0),"")</f>
        <v>0</v>
      </c>
      <c r="K7" s="69">
        <f>IFERROR(VLOOKUP($B7,小吃定价,COLUMNS(小吃成本核算!$A$3:J$3),0)*$C7/VLOOKUP($B7,小吃定价,COLUMNS(小吃成本核算!$A$3:$B$3),0),"")</f>
        <v>0</v>
      </c>
    </row>
    <row r="8" spans="1:11">
      <c r="A8" s="68"/>
      <c r="B8" s="18" t="s">
        <v>1046</v>
      </c>
      <c r="C8" s="65">
        <v>30</v>
      </c>
      <c r="D8" s="18" t="s">
        <v>1047</v>
      </c>
      <c r="E8" s="37">
        <v>10</v>
      </c>
      <c r="F8" s="18" t="s">
        <v>1048</v>
      </c>
      <c r="G8" s="37">
        <v>6</v>
      </c>
      <c r="H8" s="18" t="s">
        <v>1050</v>
      </c>
      <c r="I8" s="37">
        <v>3</v>
      </c>
      <c r="J8" s="18" t="s">
        <v>1051</v>
      </c>
      <c r="K8" s="69">
        <v>3</v>
      </c>
    </row>
    <row r="9" spans="1:11">
      <c r="A9" s="68"/>
      <c r="B9" s="61"/>
      <c r="C9" s="65"/>
      <c r="D9" s="37" t="str">
        <f>IFERROR(VLOOKUP($B9,小吃定价,COLUMNS(小吃成本核算!$A$3:$C$3),0),"")</f>
        <v/>
      </c>
      <c r="E9" s="37" t="str">
        <f>IFERROR(VLOOKUP($B9,小吃定价,COLUMNS(小吃成本核算!$A$3:D$3),0)*$C9/VLOOKUP($B9,小吃定价,COLUMNS(小吃成本核算!$A$3:$B$3),0),"")</f>
        <v/>
      </c>
      <c r="F9" s="37" t="str">
        <f>IFERROR(VLOOKUP($B9,小吃定价,COLUMNS(小吃成本核算!$A$3:$E$3),0),"")</f>
        <v/>
      </c>
      <c r="G9" s="37" t="str">
        <f>IFERROR(VLOOKUP($B9,小吃定价,COLUMNS(小吃成本核算!$A$3:F$3),0)*$C9/VLOOKUP($B9,小吃定价,COLUMNS(小吃成本核算!$A$3:$B$3),0),"")</f>
        <v/>
      </c>
      <c r="H9" s="37" t="str">
        <f>IFERROR(VLOOKUP($B9,小吃定价,COLUMNS(小吃成本核算!$A$3:$G$3),0),"")</f>
        <v/>
      </c>
      <c r="I9" s="37" t="str">
        <f>IFERROR(VLOOKUP($B9,小吃定价,COLUMNS(小吃成本核算!$A$3:H$3),0)*$C9/VLOOKUP($B9,小吃定价,COLUMNS(小吃成本核算!$A$3:$B$3),0),"")</f>
        <v/>
      </c>
      <c r="J9" s="37" t="str">
        <f>IFERROR(VLOOKUP($B9,小吃定价,COLUMNS(小吃成本核算!$A$3:$I$3),0),"")</f>
        <v/>
      </c>
      <c r="K9" s="69" t="str">
        <f>IFERROR(VLOOKUP($B9,小吃定价,COLUMNS(小吃成本核算!$A$3:J$3),0)*$C9/VLOOKUP($B9,小吃定价,COLUMNS(小吃成本核算!$A$3:$B$3),0),"")</f>
        <v/>
      </c>
    </row>
    <row r="10" spans="1:11">
      <c r="A10" s="68" t="s">
        <v>1565</v>
      </c>
      <c r="B10" s="61" t="s">
        <v>1052</v>
      </c>
      <c r="C10" s="65">
        <v>15</v>
      </c>
      <c r="D10" s="37" t="str">
        <f>IFERROR(VLOOKUP($B10,小吃定价,COLUMNS(小吃成本核算!$A$3:$C$3),0),"")</f>
        <v>西红柿</v>
      </c>
      <c r="E10" s="37">
        <f>IFERROR(VLOOKUP($B10,小吃定价,COLUMNS(小吃成本核算!$A$3:D$3),0)*$C10/VLOOKUP($B10,小吃定价,COLUMNS(小吃成本核算!$A$3:$B$3),0),"")</f>
        <v>6</v>
      </c>
      <c r="F10" s="37" t="str">
        <f>IFERROR(VLOOKUP($B10,小吃定价,COLUMNS(小吃成本核算!$A$3:$E$3),0),"")</f>
        <v>鸡蛋(筐)</v>
      </c>
      <c r="G10" s="37">
        <f>IFERROR(VLOOKUP($B10,小吃定价,COLUMNS(小吃成本核算!$A$3:F$3),0)*$C10/VLOOKUP($B10,小吃定价,COLUMNS(小吃成本核算!$A$3:$B$3),0),"")</f>
        <v>3.75</v>
      </c>
      <c r="H10" s="37" t="str">
        <f>IFERROR(VLOOKUP($B10,小吃定价,COLUMNS(小吃成本核算!$A$3:$G$3),0),"")</f>
        <v>面粉</v>
      </c>
      <c r="I10" s="37">
        <f>IFERROR(VLOOKUP($B10,小吃定价,COLUMNS(小吃成本核算!$A$3:H$3),0)*$C10/VLOOKUP($B10,小吃定价,COLUMNS(小吃成本核算!$A$3:$B$3),0),"")</f>
        <v>6</v>
      </c>
      <c r="J10" s="37">
        <f>IFERROR(VLOOKUP($B10,小吃定价,COLUMNS(小吃成本核算!$A$3:$I$3),0),"")</f>
        <v>0</v>
      </c>
      <c r="K10" s="69">
        <f>IFERROR(VLOOKUP($B10,小吃定价,COLUMNS(小吃成本核算!$A$3:J$3),0)*$C10/VLOOKUP($B10,小吃定价,COLUMNS(小吃成本核算!$A$3:$B$3),0),"")</f>
        <v>0</v>
      </c>
    </row>
    <row r="11" spans="1:11">
      <c r="A11" s="68"/>
      <c r="B11" s="61" t="s">
        <v>1053</v>
      </c>
      <c r="C11" s="65">
        <v>25</v>
      </c>
      <c r="D11" s="18" t="s">
        <v>1054</v>
      </c>
      <c r="E11" s="37">
        <v>4</v>
      </c>
      <c r="F11" s="18" t="s">
        <v>1055</v>
      </c>
      <c r="G11" s="37">
        <v>5</v>
      </c>
      <c r="H11" s="18" t="s">
        <v>1056</v>
      </c>
      <c r="I11" s="37">
        <v>4</v>
      </c>
      <c r="J11" s="18" t="s">
        <v>1057</v>
      </c>
      <c r="K11" s="69">
        <v>10</v>
      </c>
    </row>
    <row r="12" spans="1:11">
      <c r="A12" s="68"/>
      <c r="B12" s="61" t="s">
        <v>1058</v>
      </c>
      <c r="C12" s="65">
        <v>20</v>
      </c>
      <c r="D12" s="18" t="s">
        <v>1059</v>
      </c>
      <c r="E12" s="37">
        <v>5</v>
      </c>
      <c r="F12" s="18" t="s">
        <v>1060</v>
      </c>
      <c r="G12" s="37">
        <v>4</v>
      </c>
      <c r="H12" s="18" t="s">
        <v>1061</v>
      </c>
      <c r="I12" s="37">
        <v>3</v>
      </c>
      <c r="J12" s="18" t="s">
        <v>1062</v>
      </c>
      <c r="K12" s="69">
        <v>3</v>
      </c>
    </row>
    <row r="13" spans="1:11">
      <c r="A13" s="70"/>
      <c r="B13" s="65"/>
      <c r="C13" s="65"/>
      <c r="D13" s="37" t="str">
        <f>IFERROR(VLOOKUP($B13,小吃定价,COLUMNS(小吃成本核算!$A$3:$C$3),0),"")</f>
        <v/>
      </c>
      <c r="E13" s="37" t="str">
        <f>IFERROR(VLOOKUP($B13,小吃定价,COLUMNS(小吃成本核算!$A$3:D$3),0)*$C13/VLOOKUP($B13,小吃定价,COLUMNS(小吃成本核算!$A$3:$B$3),0),"")</f>
        <v/>
      </c>
      <c r="F13" s="37" t="str">
        <f>IFERROR(VLOOKUP($B13,小吃定价,COLUMNS(小吃成本核算!$A$3:$E$3),0),"")</f>
        <v/>
      </c>
      <c r="G13" s="37" t="str">
        <f>IFERROR(VLOOKUP($B13,小吃定价,COLUMNS(小吃成本核算!$A$3:F$3),0)*$C13/VLOOKUP($B13,小吃定价,COLUMNS(小吃成本核算!$A$3:$B$3),0),"")</f>
        <v/>
      </c>
      <c r="H13" s="37" t="str">
        <f>IFERROR(VLOOKUP($B13,小吃定价,COLUMNS(小吃成本核算!$A$3:$G$3),0),"")</f>
        <v/>
      </c>
      <c r="I13" s="37" t="str">
        <f>IFERROR(VLOOKUP($B13,小吃定价,COLUMNS(小吃成本核算!$A$3:H$3),0)*$C13/VLOOKUP($B13,小吃定价,COLUMNS(小吃成本核算!$A$3:$B$3),0),"")</f>
        <v/>
      </c>
      <c r="J13" s="37" t="str">
        <f>IFERROR(VLOOKUP($B13,小吃定价,COLUMNS(小吃成本核算!$A$3:$I$3),0),"")</f>
        <v/>
      </c>
      <c r="K13" s="69" t="str">
        <f>IFERROR(VLOOKUP($B13,小吃定价,COLUMNS(小吃成本核算!$A$3:J$3),0)*$C13/VLOOKUP($B13,小吃定价,COLUMNS(小吃成本核算!$A$3:$B$3),0),"")</f>
        <v/>
      </c>
    </row>
    <row r="14" spans="1:11" s="3" customFormat="1">
      <c r="A14" s="68" t="s">
        <v>1115</v>
      </c>
      <c r="B14" s="66" t="s">
        <v>1063</v>
      </c>
      <c r="C14" s="65">
        <v>30</v>
      </c>
      <c r="D14" s="18" t="s">
        <v>1064</v>
      </c>
      <c r="E14" s="37">
        <v>5</v>
      </c>
      <c r="F14" s="18" t="s">
        <v>1066</v>
      </c>
      <c r="G14" s="37">
        <v>2</v>
      </c>
      <c r="H14" s="18" t="s">
        <v>1067</v>
      </c>
      <c r="I14" s="37">
        <v>3</v>
      </c>
      <c r="J14" s="18" t="s">
        <v>1068</v>
      </c>
      <c r="K14" s="69">
        <v>15</v>
      </c>
    </row>
    <row r="15" spans="1:11">
      <c r="A15" s="70"/>
      <c r="B15" s="66" t="s">
        <v>1069</v>
      </c>
      <c r="C15" s="65">
        <v>20</v>
      </c>
      <c r="D15" s="18" t="s">
        <v>1054</v>
      </c>
      <c r="E15" s="37">
        <v>4</v>
      </c>
      <c r="F15" s="18" t="s">
        <v>1065</v>
      </c>
      <c r="G15" s="37">
        <v>1</v>
      </c>
      <c r="H15" s="18" t="s">
        <v>1057</v>
      </c>
      <c r="I15" s="37">
        <v>8</v>
      </c>
      <c r="J15" s="37">
        <f>IFERROR(VLOOKUP($B15,小吃定价,COLUMNS(小吃成本核算!$A$3:$I$3),0),"")</f>
        <v>0</v>
      </c>
      <c r="K15" s="69">
        <f>IFERROR(VLOOKUP($B15,小吃定价,COLUMNS(小吃成本核算!$A$3:J$3),0)*$C15/VLOOKUP($B15,小吃定价,COLUMNS(小吃成本核算!$A$3:$B$3),0),"")</f>
        <v>0</v>
      </c>
    </row>
    <row r="16" spans="1:11">
      <c r="A16" s="70"/>
      <c r="B16" s="66" t="s">
        <v>1070</v>
      </c>
      <c r="C16" s="65">
        <v>20</v>
      </c>
      <c r="D16" s="18" t="s">
        <v>1040</v>
      </c>
      <c r="E16" s="37">
        <v>14</v>
      </c>
      <c r="F16" s="18" t="s">
        <v>1048</v>
      </c>
      <c r="G16" s="37">
        <v>5</v>
      </c>
      <c r="H16" s="18" t="s">
        <v>1049</v>
      </c>
      <c r="I16" s="37">
        <v>4</v>
      </c>
      <c r="J16" s="18" t="s">
        <v>1071</v>
      </c>
      <c r="K16" s="69">
        <v>2</v>
      </c>
    </row>
    <row r="17" spans="1:11">
      <c r="A17" s="70"/>
      <c r="B17" s="66" t="s">
        <v>1072</v>
      </c>
      <c r="C17" s="65">
        <v>20</v>
      </c>
      <c r="D17" s="18" t="s">
        <v>1073</v>
      </c>
      <c r="E17" s="37">
        <v>10</v>
      </c>
      <c r="F17" s="18" t="s">
        <v>1049</v>
      </c>
      <c r="G17" s="37">
        <v>5</v>
      </c>
      <c r="H17" s="18" t="s">
        <v>1074</v>
      </c>
      <c r="I17" s="37">
        <v>8</v>
      </c>
      <c r="J17" s="37">
        <f>IFERROR(VLOOKUP($B17,小吃定价,COLUMNS(小吃成本核算!$A$3:$I$3),0),"")</f>
        <v>0</v>
      </c>
      <c r="K17" s="69">
        <f>IFERROR(VLOOKUP($B17,小吃定价,COLUMNS(小吃成本核算!$A$3:J$3),0)*$C17/VLOOKUP($B17,小吃定价,COLUMNS(小吃成本核算!$A$3:$B$3),0),"")</f>
        <v>0</v>
      </c>
    </row>
    <row r="18" spans="1:11">
      <c r="A18" s="70"/>
      <c r="B18" s="65"/>
      <c r="C18" s="65"/>
      <c r="D18" s="37" t="str">
        <f>IFERROR(VLOOKUP($B18,小吃定价,COLUMNS(小吃成本核算!$A$3:$C$3),0),"")</f>
        <v/>
      </c>
      <c r="E18" s="37" t="str">
        <f>IFERROR(VLOOKUP($B18,小吃定价,COLUMNS(小吃成本核算!$A$3:D$3),0)*$C18/VLOOKUP($B18,小吃定价,COLUMNS(小吃成本核算!$A$3:$B$3),0),"")</f>
        <v/>
      </c>
      <c r="F18" s="37" t="str">
        <f>IFERROR(VLOOKUP($B18,小吃定价,COLUMNS(小吃成本核算!$A$3:$E$3),0),"")</f>
        <v/>
      </c>
      <c r="G18" s="37" t="str">
        <f>IFERROR(VLOOKUP($B18,小吃定价,COLUMNS(小吃成本核算!$A$3:F$3),0)*$C18/VLOOKUP($B18,小吃定价,COLUMNS(小吃成本核算!$A$3:$B$3),0),"")</f>
        <v/>
      </c>
      <c r="H18" s="37" t="str">
        <f>IFERROR(VLOOKUP($B18,小吃定价,COLUMNS(小吃成本核算!$A$3:$G$3),0),"")</f>
        <v/>
      </c>
      <c r="I18" s="37" t="str">
        <f>IFERROR(VLOOKUP($B18,小吃定价,COLUMNS(小吃成本核算!$A$3:H$3),0)*$C18/VLOOKUP($B18,小吃定价,COLUMNS(小吃成本核算!$A$3:$B$3),0),"")</f>
        <v/>
      </c>
      <c r="J18" s="37" t="str">
        <f>IFERROR(VLOOKUP($B18,小吃定价,COLUMNS(小吃成本核算!$A$3:$I$3),0),"")</f>
        <v/>
      </c>
      <c r="K18" s="69" t="str">
        <f>IFERROR(VLOOKUP($B18,小吃定价,COLUMNS(小吃成本核算!$A$3:J$3),0)*$C18/VLOOKUP($B18,小吃定价,COLUMNS(小吃成本核算!$A$3:$B$3),0),"")</f>
        <v/>
      </c>
    </row>
    <row r="19" spans="1:11">
      <c r="A19" s="68" t="s">
        <v>1130</v>
      </c>
      <c r="B19" s="66" t="s">
        <v>1075</v>
      </c>
      <c r="C19" s="65">
        <v>20</v>
      </c>
      <c r="D19" s="18" t="s">
        <v>1047</v>
      </c>
      <c r="E19" s="37">
        <v>8</v>
      </c>
      <c r="F19" s="18" t="s">
        <v>1076</v>
      </c>
      <c r="G19" s="37">
        <v>2</v>
      </c>
      <c r="H19" s="18" t="s">
        <v>1077</v>
      </c>
      <c r="I19" s="37">
        <v>1</v>
      </c>
      <c r="J19" s="18" t="s">
        <v>1084</v>
      </c>
      <c r="K19" s="69">
        <v>12</v>
      </c>
    </row>
    <row r="20" spans="1:11">
      <c r="A20" s="70"/>
      <c r="B20" s="66" t="s">
        <v>1078</v>
      </c>
      <c r="C20" s="65">
        <v>20</v>
      </c>
      <c r="D20" s="18" t="s">
        <v>1056</v>
      </c>
      <c r="E20" s="37">
        <v>5</v>
      </c>
      <c r="F20" s="18" t="s">
        <v>1049</v>
      </c>
      <c r="G20" s="37">
        <v>5</v>
      </c>
      <c r="H20" s="18" t="s">
        <v>1057</v>
      </c>
      <c r="I20" s="37">
        <v>8</v>
      </c>
      <c r="J20" s="37">
        <f>IFERROR(VLOOKUP($B20,小吃定价,COLUMNS(小吃成本核算!$A$3:$I$3),0),"")</f>
        <v>0</v>
      </c>
      <c r="K20" s="69">
        <f>IFERROR(VLOOKUP($B20,小吃定价,COLUMNS(小吃成本核算!$A$3:J$3),0)*$C20/VLOOKUP($B20,小吃定价,COLUMNS(小吃成本核算!$A$3:$B$3),0),"")</f>
        <v>0</v>
      </c>
    </row>
    <row r="21" spans="1:11">
      <c r="A21" s="70"/>
      <c r="B21" s="66" t="s">
        <v>1079</v>
      </c>
      <c r="C21" s="65">
        <v>20</v>
      </c>
      <c r="D21" s="18" t="s">
        <v>1081</v>
      </c>
      <c r="E21" s="37">
        <v>10</v>
      </c>
      <c r="F21" s="18" t="s">
        <v>1082</v>
      </c>
      <c r="G21" s="37">
        <v>3</v>
      </c>
      <c r="H21" s="18" t="s">
        <v>1083</v>
      </c>
      <c r="I21" s="37">
        <v>3</v>
      </c>
      <c r="J21" s="18" t="s">
        <v>1085</v>
      </c>
      <c r="K21" s="69">
        <v>2</v>
      </c>
    </row>
    <row r="22" spans="1:11">
      <c r="A22" s="70"/>
      <c r="B22" s="65"/>
      <c r="C22" s="65"/>
      <c r="D22" s="37" t="str">
        <f>IFERROR(VLOOKUP($B22,小吃定价,COLUMNS(小吃成本核算!$A$3:$C$3),0),"")</f>
        <v/>
      </c>
      <c r="E22" s="37" t="str">
        <f>IFERROR(VLOOKUP($B22,小吃定价,COLUMNS(小吃成本核算!$A$3:D$3),0)*$C22/VLOOKUP($B22,小吃定价,COLUMNS(小吃成本核算!$A$3:$B$3),0),"")</f>
        <v/>
      </c>
      <c r="F22" s="37" t="str">
        <f>IFERROR(VLOOKUP($B22,小吃定价,COLUMNS(小吃成本核算!$A$3:$E$3),0),"")</f>
        <v/>
      </c>
      <c r="G22" s="37" t="str">
        <f>IFERROR(VLOOKUP($B22,小吃定价,COLUMNS(小吃成本核算!$A$3:F$3),0)*$C22/VLOOKUP($B22,小吃定价,COLUMNS(小吃成本核算!$A$3:$B$3),0),"")</f>
        <v/>
      </c>
      <c r="H22" s="37" t="str">
        <f>IFERROR(VLOOKUP($B22,小吃定价,COLUMNS(小吃成本核算!$A$3:$G$3),0),"")</f>
        <v/>
      </c>
      <c r="I22" s="37" t="str">
        <f>IFERROR(VLOOKUP($B22,小吃定价,COLUMNS(小吃成本核算!$A$3:H$3),0)*$C22/VLOOKUP($B22,小吃定价,COLUMNS(小吃成本核算!$A$3:$B$3),0),"")</f>
        <v/>
      </c>
      <c r="J22" s="37" t="str">
        <f>IFERROR(VLOOKUP($B22,小吃定价,COLUMNS(小吃成本核算!$A$3:$I$3),0),"")</f>
        <v/>
      </c>
      <c r="K22" s="69" t="str">
        <f>IFERROR(VLOOKUP($B22,小吃定价,COLUMNS(小吃成本核算!$A$3:J$3),0)*$C22/VLOOKUP($B22,小吃定价,COLUMNS(小吃成本核算!$A$3:$B$3),0),"")</f>
        <v/>
      </c>
    </row>
    <row r="23" spans="1:11">
      <c r="A23" s="68" t="s">
        <v>1137</v>
      </c>
      <c r="B23" s="66" t="s">
        <v>1086</v>
      </c>
      <c r="C23" s="65">
        <v>40</v>
      </c>
      <c r="D23" s="18" t="s">
        <v>1087</v>
      </c>
      <c r="E23" s="37">
        <v>5</v>
      </c>
      <c r="F23" s="18" t="s">
        <v>1088</v>
      </c>
      <c r="G23" s="37">
        <v>1</v>
      </c>
      <c r="H23" s="18" t="s">
        <v>1089</v>
      </c>
      <c r="I23" s="37">
        <v>2</v>
      </c>
      <c r="J23" s="18" t="s">
        <v>1090</v>
      </c>
      <c r="K23" s="69">
        <v>3</v>
      </c>
    </row>
    <row r="24" spans="1:11">
      <c r="A24" s="68"/>
      <c r="B24" s="66" t="s">
        <v>1091</v>
      </c>
      <c r="C24" s="65">
        <v>15</v>
      </c>
      <c r="D24" s="18" t="s">
        <v>1092</v>
      </c>
      <c r="E24" s="37">
        <v>0.5</v>
      </c>
      <c r="F24" s="18" t="s">
        <v>1049</v>
      </c>
      <c r="G24" s="37">
        <v>3</v>
      </c>
      <c r="H24" s="18" t="s">
        <v>1057</v>
      </c>
      <c r="I24" s="37">
        <v>6</v>
      </c>
      <c r="J24" s="37"/>
      <c r="K24" s="69">
        <f>IFERROR(VLOOKUP($B24,小吃定价,COLUMNS(小吃成本核算!$A$3:J$3),0)*$C24/VLOOKUP($B24,小吃定价,COLUMNS(小吃成本核算!$A$3:$B$3),0),"")</f>
        <v>0</v>
      </c>
    </row>
    <row r="25" spans="1:11">
      <c r="A25" s="68"/>
      <c r="B25" s="66" t="s">
        <v>1093</v>
      </c>
      <c r="C25" s="65">
        <v>20</v>
      </c>
      <c r="D25" s="18" t="s">
        <v>1094</v>
      </c>
      <c r="E25" s="37">
        <v>2</v>
      </c>
      <c r="F25" s="18" t="s">
        <v>1095</v>
      </c>
      <c r="G25" s="37">
        <v>4</v>
      </c>
      <c r="H25" s="18" t="s">
        <v>1096</v>
      </c>
      <c r="I25" s="37">
        <v>2</v>
      </c>
      <c r="J25" s="18" t="s">
        <v>1097</v>
      </c>
      <c r="K25" s="69">
        <v>0.5</v>
      </c>
    </row>
    <row r="26" spans="1:11">
      <c r="A26" s="68"/>
      <c r="B26" s="66" t="s">
        <v>1098</v>
      </c>
      <c r="C26" s="65">
        <v>15</v>
      </c>
      <c r="D26" s="18" t="s">
        <v>1099</v>
      </c>
      <c r="E26" s="37">
        <v>10</v>
      </c>
      <c r="F26" s="18" t="s">
        <v>1100</v>
      </c>
      <c r="G26" s="37">
        <v>4</v>
      </c>
      <c r="H26" s="18" t="s">
        <v>1101</v>
      </c>
      <c r="I26" s="37">
        <v>2</v>
      </c>
      <c r="J26" s="18" t="s">
        <v>1102</v>
      </c>
      <c r="K26" s="69">
        <v>1</v>
      </c>
    </row>
    <row r="27" spans="1:11">
      <c r="A27" s="68"/>
      <c r="B27" s="66" t="s">
        <v>1103</v>
      </c>
      <c r="C27" s="65">
        <v>15</v>
      </c>
      <c r="D27" s="18" t="s">
        <v>1092</v>
      </c>
      <c r="E27" s="37">
        <v>1</v>
      </c>
      <c r="F27" s="18" t="s">
        <v>1049</v>
      </c>
      <c r="G27" s="37">
        <v>3</v>
      </c>
      <c r="H27" s="18" t="s">
        <v>1057</v>
      </c>
      <c r="I27" s="37">
        <v>3</v>
      </c>
      <c r="J27" s="37" t="str">
        <f>IFERROR(VLOOKUP($B27,小吃定价,COLUMNS(小吃成本核算!$A$3:$I$3),0),"")</f>
        <v/>
      </c>
      <c r="K27" s="69" t="str">
        <f>IFERROR(VLOOKUP($B27,小吃定价,COLUMNS(小吃成本核算!$A$3:J$3),0)*$C27/VLOOKUP($B27,小吃定价,COLUMNS(小吃成本核算!$A$3:$B$3),0),"")</f>
        <v/>
      </c>
    </row>
    <row r="28" spans="1:11">
      <c r="A28" s="68"/>
      <c r="B28" s="66" t="s">
        <v>1104</v>
      </c>
      <c r="C28" s="65">
        <v>20</v>
      </c>
      <c r="D28" s="18" t="s">
        <v>1105</v>
      </c>
      <c r="E28" s="37">
        <v>8</v>
      </c>
      <c r="F28" s="18" t="s">
        <v>1048</v>
      </c>
      <c r="G28" s="37">
        <v>10</v>
      </c>
      <c r="H28" s="18" t="s">
        <v>1106</v>
      </c>
      <c r="I28" s="37">
        <v>2</v>
      </c>
      <c r="J28" s="18" t="s">
        <v>1107</v>
      </c>
      <c r="K28" s="69">
        <v>1</v>
      </c>
    </row>
    <row r="29" spans="1:11">
      <c r="A29" s="70"/>
      <c r="B29" s="65"/>
      <c r="C29" s="65"/>
      <c r="D29" s="37" t="str">
        <f>IFERROR(VLOOKUP($B29,小吃定价,COLUMNS(小吃成本核算!$A$3:$C$3),0),"")</f>
        <v/>
      </c>
      <c r="E29" s="37" t="str">
        <f>IFERROR(VLOOKUP($B29,小吃定价,COLUMNS(小吃成本核算!$A$3:D$3),0)*$C29/VLOOKUP($B29,小吃定价,COLUMNS(小吃成本核算!$A$3:$B$3),0),"")</f>
        <v/>
      </c>
      <c r="F29" s="37" t="str">
        <f>IFERROR(VLOOKUP($B29,小吃定价,COLUMNS(小吃成本核算!$A$3:$E$3),0),"")</f>
        <v/>
      </c>
      <c r="G29" s="37" t="str">
        <f>IFERROR(VLOOKUP($B29,小吃定价,COLUMNS(小吃成本核算!$A$3:F$3),0)*$C29/VLOOKUP($B29,小吃定价,COLUMNS(小吃成本核算!$A$3:$B$3),0),"")</f>
        <v/>
      </c>
      <c r="H29" s="37" t="str">
        <f>IFERROR(VLOOKUP($B29,小吃定价,COLUMNS(小吃成本核算!$A$3:$G$3),0),"")</f>
        <v/>
      </c>
      <c r="I29" s="37" t="str">
        <f>IFERROR(VLOOKUP($B29,小吃定价,COLUMNS(小吃成本核算!$A$3:H$3),0)*$C29/VLOOKUP($B29,小吃定价,COLUMNS(小吃成本核算!$A$3:$B$3),0),"")</f>
        <v/>
      </c>
      <c r="J29" s="37" t="str">
        <f>IFERROR(VLOOKUP($B29,小吃定价,COLUMNS(小吃成本核算!$A$3:$I$3),0),"")</f>
        <v/>
      </c>
      <c r="K29" s="69" t="str">
        <f>IFERROR(VLOOKUP($B29,小吃定价,COLUMNS(小吃成本核算!$A$3:J$3),0)*$C29/VLOOKUP($B29,小吃定价,COLUMNS(小吃成本核算!$A$3:$B$3),0),"")</f>
        <v/>
      </c>
    </row>
    <row r="30" spans="1:11">
      <c r="A30" s="68" t="s">
        <v>1146</v>
      </c>
      <c r="B30" s="66" t="s">
        <v>1108</v>
      </c>
      <c r="C30" s="65">
        <v>25</v>
      </c>
      <c r="D30" s="18" t="s">
        <v>1100</v>
      </c>
      <c r="E30" s="37">
        <v>3</v>
      </c>
      <c r="F30" s="18" t="s">
        <v>1109</v>
      </c>
      <c r="G30" s="37">
        <v>10</v>
      </c>
      <c r="H30" s="18" t="s">
        <v>1042</v>
      </c>
      <c r="I30" s="37">
        <v>3</v>
      </c>
      <c r="J30" s="18" t="s">
        <v>1110</v>
      </c>
      <c r="K30" s="69">
        <f>IFERROR(VLOOKUP($B30,小吃定价,COLUMNS(小吃成本核算!$A$3:J$3),0)*$C30/VLOOKUP($B30,小吃定价,COLUMNS(小吃成本核算!$A$3:$B$3),0),"")</f>
        <v>10</v>
      </c>
    </row>
    <row r="31" spans="1:11">
      <c r="A31" s="70"/>
      <c r="B31" s="66" t="s">
        <v>1111</v>
      </c>
      <c r="C31" s="65">
        <v>25</v>
      </c>
      <c r="D31" s="18" t="s">
        <v>1112</v>
      </c>
      <c r="E31" s="37">
        <v>0.5</v>
      </c>
      <c r="F31" s="18" t="s">
        <v>1113</v>
      </c>
      <c r="G31" s="37">
        <v>2</v>
      </c>
      <c r="H31" s="18" t="s">
        <v>1049</v>
      </c>
      <c r="I31" s="37">
        <v>3</v>
      </c>
      <c r="J31" s="18" t="s">
        <v>1057</v>
      </c>
      <c r="K31" s="69">
        <v>4</v>
      </c>
    </row>
    <row r="32" spans="1:11">
      <c r="A32" s="70"/>
      <c r="B32" s="66" t="s">
        <v>1072</v>
      </c>
      <c r="C32" s="65">
        <v>20</v>
      </c>
      <c r="D32" s="18" t="s">
        <v>1114</v>
      </c>
      <c r="E32" s="37">
        <v>5</v>
      </c>
      <c r="F32" s="18" t="s">
        <v>1073</v>
      </c>
      <c r="G32" s="37">
        <v>4</v>
      </c>
      <c r="H32" s="18" t="s">
        <v>1106</v>
      </c>
      <c r="I32" s="37">
        <v>2</v>
      </c>
      <c r="J32" s="37">
        <f>IFERROR(VLOOKUP($B32,小吃定价,COLUMNS(小吃成本核算!$A$3:$I$3),0),"")</f>
        <v>0</v>
      </c>
      <c r="K32" s="69">
        <f>IFERROR(VLOOKUP($B32,小吃定价,COLUMNS(小吃成本核算!$A$3:J$3),0)*$C32/VLOOKUP($B32,小吃定价,COLUMNS(小吃成本核算!$A$3:$B$3),0),"")</f>
        <v>0</v>
      </c>
    </row>
    <row r="33" spans="1:11">
      <c r="A33" s="70"/>
      <c r="B33" s="65"/>
      <c r="C33" s="65"/>
      <c r="D33" s="37" t="str">
        <f>IFERROR(VLOOKUP($B33,小吃定价,COLUMNS(小吃成本核算!$A$3:$C$3),0),"")</f>
        <v/>
      </c>
      <c r="E33" s="37" t="str">
        <f>IFERROR(VLOOKUP($B33,小吃定价,COLUMNS(小吃成本核算!$A$3:D$3),0)*$C33/VLOOKUP($B33,小吃定价,COLUMNS(小吃成本核算!$A$3:$B$3),0),"")</f>
        <v/>
      </c>
      <c r="F33" s="37" t="str">
        <f>IFERROR(VLOOKUP($B33,小吃定价,COLUMNS(小吃成本核算!$A$3:$E$3),0),"")</f>
        <v/>
      </c>
      <c r="G33" s="37" t="str">
        <f>IFERROR(VLOOKUP($B33,小吃定价,COLUMNS(小吃成本核算!$A$3:F$3),0)*$C33/VLOOKUP($B33,小吃定价,COLUMNS(小吃成本核算!$A$3:$B$3),0),"")</f>
        <v/>
      </c>
      <c r="H33" s="37" t="str">
        <f>IFERROR(VLOOKUP($B33,小吃定价,COLUMNS(小吃成本核算!$A$3:$G$3),0),"")</f>
        <v/>
      </c>
      <c r="I33" s="37" t="str">
        <f>IFERROR(VLOOKUP($B33,小吃定价,COLUMNS(小吃成本核算!$A$3:H$3),0)*$C33/VLOOKUP($B33,小吃定价,COLUMNS(小吃成本核算!$A$3:$B$3),0),"")</f>
        <v/>
      </c>
      <c r="J33" s="37" t="str">
        <f>IFERROR(VLOOKUP($B33,小吃定价,COLUMNS(小吃成本核算!$A$3:$I$3),0),"")</f>
        <v/>
      </c>
      <c r="K33" s="69" t="str">
        <f>IFERROR(VLOOKUP($B33,小吃定价,COLUMNS(小吃成本核算!$A$3:J$3),0)*$C33/VLOOKUP($B33,小吃定价,COLUMNS(小吃成本核算!$A$3:$B$3),0),"")</f>
        <v/>
      </c>
    </row>
    <row r="34" spans="1:11">
      <c r="A34" s="68" t="s">
        <v>1154</v>
      </c>
      <c r="B34" s="66" t="s">
        <v>1116</v>
      </c>
      <c r="C34" s="65">
        <v>30</v>
      </c>
      <c r="D34" s="18" t="s">
        <v>1040</v>
      </c>
      <c r="E34" s="37">
        <v>8</v>
      </c>
      <c r="F34" s="18" t="s">
        <v>1048</v>
      </c>
      <c r="G34" s="37">
        <v>8</v>
      </c>
      <c r="H34" s="18" t="s">
        <v>1101</v>
      </c>
      <c r="I34" s="37">
        <v>1</v>
      </c>
      <c r="J34" s="18" t="s">
        <v>1117</v>
      </c>
      <c r="K34" s="69">
        <v>8</v>
      </c>
    </row>
    <row r="35" spans="1:11">
      <c r="A35" s="70"/>
      <c r="B35" s="66" t="s">
        <v>1118</v>
      </c>
      <c r="C35" s="65">
        <v>25</v>
      </c>
      <c r="D35" s="18">
        <v>3</v>
      </c>
      <c r="E35" s="37">
        <v>3</v>
      </c>
      <c r="F35" s="18" t="s">
        <v>1119</v>
      </c>
      <c r="G35" s="37">
        <v>2</v>
      </c>
      <c r="H35" s="18" t="s">
        <v>1120</v>
      </c>
      <c r="I35" s="37">
        <v>1</v>
      </c>
      <c r="J35" s="18" t="s">
        <v>1121</v>
      </c>
      <c r="K35" s="69">
        <v>5</v>
      </c>
    </row>
    <row r="36" spans="1:11">
      <c r="A36" s="70"/>
      <c r="B36" s="66" t="s">
        <v>1122</v>
      </c>
      <c r="C36" s="65">
        <v>20</v>
      </c>
      <c r="D36" s="18" t="s">
        <v>1105</v>
      </c>
      <c r="E36" s="37">
        <v>4</v>
      </c>
      <c r="F36" s="18" t="s">
        <v>1080</v>
      </c>
      <c r="G36" s="37">
        <v>15</v>
      </c>
      <c r="H36" s="18" t="s">
        <v>1042</v>
      </c>
      <c r="I36" s="37">
        <v>3</v>
      </c>
      <c r="J36" s="37">
        <f>IFERROR(VLOOKUP($B36,小吃定价,COLUMNS(小吃成本核算!$A$3:$I$3),0),"")</f>
        <v>0</v>
      </c>
      <c r="K36" s="69">
        <f>IFERROR(VLOOKUP($B36,小吃定价,COLUMNS(小吃成本核算!$A$3:J$3),0)*$C36/VLOOKUP($B36,小吃定价,COLUMNS(小吃成本核算!$A$3:$B$3),0),"")</f>
        <v>0</v>
      </c>
    </row>
    <row r="37" spans="1:11" s="114" customFormat="1">
      <c r="A37" s="110"/>
      <c r="B37" s="111" t="s">
        <v>1123</v>
      </c>
      <c r="C37" s="112">
        <v>20</v>
      </c>
      <c r="D37" s="47" t="s">
        <v>1124</v>
      </c>
      <c r="E37" s="58">
        <v>1</v>
      </c>
      <c r="F37" s="47" t="s">
        <v>1106</v>
      </c>
      <c r="G37" s="58">
        <v>2</v>
      </c>
      <c r="H37" s="47" t="s">
        <v>1083</v>
      </c>
      <c r="I37" s="58">
        <v>2</v>
      </c>
      <c r="J37" s="47" t="s">
        <v>1125</v>
      </c>
      <c r="K37" s="113">
        <f>IFERROR(VLOOKUP($B37,小吃定价,COLUMNS(小吃成本核算!$A$3:J$3),0)*$C37/VLOOKUP($B37,小吃定价,COLUMNS(小吃成本核算!$A$3:$B$3),0),"")</f>
        <v>8</v>
      </c>
    </row>
    <row r="38" spans="1:11">
      <c r="A38" s="70"/>
      <c r="B38" s="66" t="s">
        <v>1126</v>
      </c>
      <c r="C38" s="65">
        <v>30</v>
      </c>
      <c r="D38" s="18" t="s">
        <v>1127</v>
      </c>
      <c r="E38" s="37">
        <v>8</v>
      </c>
      <c r="F38" s="18" t="s">
        <v>1128</v>
      </c>
      <c r="G38" s="37">
        <v>6</v>
      </c>
      <c r="H38" s="18" t="s">
        <v>1065</v>
      </c>
      <c r="I38" s="37">
        <v>1</v>
      </c>
      <c r="J38" s="18" t="s">
        <v>1129</v>
      </c>
      <c r="K38" s="69">
        <v>2</v>
      </c>
    </row>
    <row r="39" spans="1:11">
      <c r="A39" s="70"/>
      <c r="B39" s="65"/>
      <c r="C39" s="65"/>
      <c r="D39" s="37" t="str">
        <f>IFERROR(VLOOKUP($B39,小吃定价,COLUMNS(小吃成本核算!$A$3:$C$3),0),"")</f>
        <v/>
      </c>
      <c r="E39" s="37" t="str">
        <f>IFERROR(VLOOKUP($B39,小吃定价,COLUMNS(小吃成本核算!$A$3:D$3),0)*$C39/VLOOKUP($B39,小吃定价,COLUMNS(小吃成本核算!$A$3:$B$3),0),"")</f>
        <v/>
      </c>
      <c r="F39" s="37" t="str">
        <f>IFERROR(VLOOKUP($B39,小吃定价,COLUMNS(小吃成本核算!$A$3:$E$3),0),"")</f>
        <v/>
      </c>
      <c r="G39" s="37" t="str">
        <f>IFERROR(VLOOKUP($B39,小吃定价,COLUMNS(小吃成本核算!$A$3:F$3),0)*$C39/VLOOKUP($B39,小吃定价,COLUMNS(小吃成本核算!$A$3:$B$3),0),"")</f>
        <v/>
      </c>
      <c r="H39" s="37" t="str">
        <f>IFERROR(VLOOKUP($B39,小吃定价,COLUMNS(小吃成本核算!$A$3:$G$3),0),"")</f>
        <v/>
      </c>
      <c r="I39" s="37" t="str">
        <f>IFERROR(VLOOKUP($B39,小吃定价,COLUMNS(小吃成本核算!$A$3:H$3),0)*$C39/VLOOKUP($B39,小吃定价,COLUMNS(小吃成本核算!$A$3:$B$3),0),"")</f>
        <v/>
      </c>
      <c r="J39" s="37" t="str">
        <f>IFERROR(VLOOKUP($B39,小吃定价,COLUMNS(小吃成本核算!$A$3:$I$3),0),"")</f>
        <v/>
      </c>
      <c r="K39" s="69" t="str">
        <f>IFERROR(VLOOKUP($B39,小吃定价,COLUMNS(小吃成本核算!$A$3:J$3),0)*$C39/VLOOKUP($B39,小吃定价,COLUMNS(小吃成本核算!$A$3:$B$3),0),"")</f>
        <v/>
      </c>
    </row>
    <row r="40" spans="1:11">
      <c r="A40" s="68" t="s">
        <v>1163</v>
      </c>
      <c r="B40" s="66" t="s">
        <v>1132</v>
      </c>
      <c r="C40" s="65">
        <v>20</v>
      </c>
      <c r="D40" s="18" t="s">
        <v>1047</v>
      </c>
      <c r="E40" s="37">
        <v>2</v>
      </c>
      <c r="F40" s="18" t="s">
        <v>1048</v>
      </c>
      <c r="G40" s="37">
        <v>4</v>
      </c>
      <c r="H40" s="18" t="s">
        <v>1106</v>
      </c>
      <c r="I40" s="37">
        <v>2</v>
      </c>
      <c r="J40" s="18" t="s">
        <v>1131</v>
      </c>
      <c r="K40" s="69">
        <v>5</v>
      </c>
    </row>
    <row r="41" spans="1:11">
      <c r="A41" s="70"/>
      <c r="B41" s="66" t="s">
        <v>1133</v>
      </c>
      <c r="C41" s="65">
        <v>25</v>
      </c>
      <c r="D41" s="18" t="s">
        <v>1054</v>
      </c>
      <c r="E41" s="37">
        <v>3</v>
      </c>
      <c r="F41" s="18" t="s">
        <v>1134</v>
      </c>
      <c r="G41" s="37">
        <v>3</v>
      </c>
      <c r="H41" s="18" t="s">
        <v>1042</v>
      </c>
      <c r="I41" s="37">
        <v>3</v>
      </c>
      <c r="J41" s="18" t="s">
        <v>1057</v>
      </c>
      <c r="K41" s="69">
        <v>5</v>
      </c>
    </row>
    <row r="42" spans="1:11">
      <c r="A42" s="70"/>
      <c r="B42" s="66" t="s">
        <v>1135</v>
      </c>
      <c r="C42" s="65">
        <v>20</v>
      </c>
      <c r="D42" s="18" t="s">
        <v>1136</v>
      </c>
      <c r="E42" s="37">
        <v>5</v>
      </c>
      <c r="F42" s="18" t="s">
        <v>1083</v>
      </c>
      <c r="G42" s="37">
        <v>2</v>
      </c>
      <c r="H42" s="18" t="s">
        <v>1106</v>
      </c>
      <c r="I42" s="37">
        <v>2</v>
      </c>
      <c r="J42" s="18" t="s">
        <v>1101</v>
      </c>
      <c r="K42" s="69">
        <v>2</v>
      </c>
    </row>
    <row r="43" spans="1:11">
      <c r="A43" s="70"/>
      <c r="B43" s="65"/>
      <c r="C43" s="65"/>
      <c r="D43" s="37" t="str">
        <f>IFERROR(VLOOKUP($B43,小吃定价,COLUMNS(小吃成本核算!$A$3:$C$3),0),"")</f>
        <v/>
      </c>
      <c r="E43" s="37" t="str">
        <f>IFERROR(VLOOKUP($B43,小吃定价,COLUMNS(小吃成本核算!$A$3:D$3),0)*$C43/VLOOKUP($B43,小吃定价,COLUMNS(小吃成本核算!$A$3:$B$3),0),"")</f>
        <v/>
      </c>
      <c r="F43" s="37" t="str">
        <f>IFERROR(VLOOKUP($B43,小吃定价,COLUMNS(小吃成本核算!$A$3:$E$3),0),"")</f>
        <v/>
      </c>
      <c r="G43" s="37" t="str">
        <f>IFERROR(VLOOKUP($B43,小吃定价,COLUMNS(小吃成本核算!$A$3:F$3),0)*$C43/VLOOKUP($B43,小吃定价,COLUMNS(小吃成本核算!$A$3:$B$3),0),"")</f>
        <v/>
      </c>
      <c r="H43" s="37" t="str">
        <f>IFERROR(VLOOKUP($B43,小吃定价,COLUMNS(小吃成本核算!$A$3:$G$3),0),"")</f>
        <v/>
      </c>
      <c r="I43" s="37" t="str">
        <f>IFERROR(VLOOKUP($B43,小吃定价,COLUMNS(小吃成本核算!$A$3:H$3),0)*$C43/VLOOKUP($B43,小吃定价,COLUMNS(小吃成本核算!$A$3:$B$3),0),"")</f>
        <v/>
      </c>
      <c r="J43" s="37" t="str">
        <f>IFERROR(VLOOKUP($B43,小吃定价,COLUMNS(小吃成本核算!$A$3:$I$3),0),"")</f>
        <v/>
      </c>
      <c r="K43" s="69" t="str">
        <f>IFERROR(VLOOKUP($B43,小吃定价,COLUMNS(小吃成本核算!$A$3:J$3),0)*$C43/VLOOKUP($B43,小吃定价,COLUMNS(小吃成本核算!$A$3:$B$3),0),"")</f>
        <v/>
      </c>
    </row>
    <row r="44" spans="1:11">
      <c r="A44" s="70" t="s">
        <v>1164</v>
      </c>
      <c r="B44" s="66" t="s">
        <v>1138</v>
      </c>
      <c r="C44" s="65">
        <v>30</v>
      </c>
      <c r="D44" s="18" t="s">
        <v>1105</v>
      </c>
      <c r="E44" s="37">
        <v>5</v>
      </c>
      <c r="F44" s="18" t="s">
        <v>1119</v>
      </c>
      <c r="G44" s="37">
        <v>2</v>
      </c>
      <c r="H44" s="18" t="s">
        <v>1106</v>
      </c>
      <c r="I44" s="37">
        <v>2</v>
      </c>
      <c r="J44" s="18" t="s">
        <v>1139</v>
      </c>
      <c r="K44" s="69">
        <v>8</v>
      </c>
    </row>
    <row r="45" spans="1:11">
      <c r="A45" s="70"/>
      <c r="B45" s="66" t="s">
        <v>1140</v>
      </c>
      <c r="C45" s="65">
        <v>15</v>
      </c>
      <c r="D45" s="18" t="s">
        <v>1099</v>
      </c>
      <c r="E45" s="37">
        <v>6</v>
      </c>
      <c r="F45" s="18" t="s">
        <v>1056</v>
      </c>
      <c r="G45" s="37">
        <v>1</v>
      </c>
      <c r="H45" s="18" t="s">
        <v>1101</v>
      </c>
      <c r="I45" s="37">
        <v>1.5</v>
      </c>
      <c r="J45" s="37" t="str">
        <f>IFERROR(VLOOKUP($B45,小吃定价,COLUMNS(小吃成本核算!$A$3:$I$3),0),"")</f>
        <v>洋葱</v>
      </c>
      <c r="K45" s="69">
        <f>IFERROR(VLOOKUP($B45,小吃定价,COLUMNS(小吃成本核算!$A$3:J$3),0)*$C45/VLOOKUP($B45,小吃定价,COLUMNS(小吃成本核算!$A$3:$B$3),0),"")</f>
        <v>1.5</v>
      </c>
    </row>
    <row r="46" spans="1:11">
      <c r="A46" s="70"/>
      <c r="B46" s="66" t="s">
        <v>1141</v>
      </c>
      <c r="C46" s="66">
        <v>15</v>
      </c>
      <c r="D46" s="18" t="s">
        <v>1049</v>
      </c>
      <c r="E46" s="37">
        <v>1</v>
      </c>
      <c r="F46" s="18" t="s">
        <v>1142</v>
      </c>
      <c r="G46" s="37">
        <v>1</v>
      </c>
      <c r="H46" s="37" t="str">
        <f>IFERROR(VLOOKUP($B46,小吃定价,COLUMNS(小吃成本核算!$A$3:$G$3),0),"")</f>
        <v>黄瓜</v>
      </c>
      <c r="I46" s="37">
        <f>IFERROR(VLOOKUP($B46,小吃定价,COLUMNS(小吃成本核算!$A$3:H$3),0)*$C46/VLOOKUP($B46,小吃定价,COLUMNS(小吃成本核算!$A$3:$B$3),0),"")</f>
        <v>0.45</v>
      </c>
      <c r="J46" s="37" t="str">
        <f>IFERROR(VLOOKUP($B46,小吃定价,COLUMNS(小吃成本核算!$A$3:$I$3),0),"")</f>
        <v>胡萝卜</v>
      </c>
      <c r="K46" s="69">
        <f>IFERROR(VLOOKUP($B46,小吃定价,COLUMNS(小吃成本核算!$A$3:J$3),0)*$C46/VLOOKUP($B46,小吃定价,COLUMNS(小吃成本核算!$A$3:$B$3),0),"")</f>
        <v>0.3</v>
      </c>
    </row>
    <row r="47" spans="1:11">
      <c r="A47" s="70"/>
      <c r="B47" s="66" t="s">
        <v>1143</v>
      </c>
      <c r="C47" s="66">
        <v>20</v>
      </c>
      <c r="D47" s="18" t="s">
        <v>1144</v>
      </c>
      <c r="E47" s="37">
        <v>8</v>
      </c>
      <c r="F47" s="18" t="s">
        <v>1048</v>
      </c>
      <c r="G47" s="37">
        <v>5</v>
      </c>
      <c r="H47" s="18" t="s">
        <v>1045</v>
      </c>
      <c r="I47" s="37">
        <v>3</v>
      </c>
      <c r="J47" s="18" t="s">
        <v>1145</v>
      </c>
      <c r="K47" s="69">
        <v>2</v>
      </c>
    </row>
    <row r="48" spans="1:11">
      <c r="A48" s="70"/>
      <c r="B48" s="66"/>
      <c r="C48" s="66"/>
      <c r="D48" s="37" t="str">
        <f>IFERROR(VLOOKUP($B48,小吃定价,COLUMNS(小吃成本核算!$A$3:$C$3),0),"")</f>
        <v/>
      </c>
      <c r="E48" s="37" t="str">
        <f>IFERROR(VLOOKUP($B48,小吃定价,COLUMNS(小吃成本核算!$A$3:D$3),0)*$C48/VLOOKUP($B48,小吃定价,COLUMNS(小吃成本核算!$A$3:$B$3),0),"")</f>
        <v/>
      </c>
      <c r="F48" s="37" t="str">
        <f>IFERROR(VLOOKUP($B48,小吃定价,COLUMNS(小吃成本核算!$A$3:$E$3),0),"")</f>
        <v/>
      </c>
      <c r="G48" s="37" t="str">
        <f>IFERROR(VLOOKUP($B48,小吃定价,COLUMNS(小吃成本核算!$A$3:F$3),0)*$C48/VLOOKUP($B48,小吃定价,COLUMNS(小吃成本核算!$A$3:$B$3),0),"")</f>
        <v/>
      </c>
      <c r="H48" s="37" t="str">
        <f>IFERROR(VLOOKUP($B48,小吃定价,COLUMNS(小吃成本核算!$A$3:$G$3),0),"")</f>
        <v/>
      </c>
      <c r="I48" s="37" t="str">
        <f>IFERROR(VLOOKUP($B48,小吃定价,COLUMNS(小吃成本核算!$A$3:H$3),0)*$C48/VLOOKUP($B48,小吃定价,COLUMNS(小吃成本核算!$A$3:$B$3),0),"")</f>
        <v/>
      </c>
      <c r="J48" s="37" t="str">
        <f>IFERROR(VLOOKUP($B48,小吃定价,COLUMNS(小吃成本核算!$A$3:$I$3),0),"")</f>
        <v/>
      </c>
      <c r="K48" s="69" t="str">
        <f>IFERROR(VLOOKUP($B48,小吃定价,COLUMNS(小吃成本核算!$A$3:J$3),0)*$C48/VLOOKUP($B48,小吃定价,COLUMNS(小吃成本核算!$A$3:$B$3),0),"")</f>
        <v/>
      </c>
    </row>
    <row r="49" spans="1:11">
      <c r="A49" s="70" t="s">
        <v>1169</v>
      </c>
      <c r="B49" s="66" t="s">
        <v>1147</v>
      </c>
      <c r="C49" s="66">
        <v>20</v>
      </c>
      <c r="D49" s="18" t="s">
        <v>1064</v>
      </c>
      <c r="E49" s="37">
        <v>3</v>
      </c>
      <c r="F49" s="18" t="s">
        <v>1077</v>
      </c>
      <c r="G49" s="18">
        <v>1</v>
      </c>
      <c r="H49" s="18" t="s">
        <v>1113</v>
      </c>
      <c r="I49" s="37">
        <v>1</v>
      </c>
      <c r="J49" s="18" t="s">
        <v>1148</v>
      </c>
      <c r="K49" s="69">
        <v>10</v>
      </c>
    </row>
    <row r="50" spans="1:11">
      <c r="A50" s="70"/>
      <c r="B50" s="66" t="s">
        <v>1149</v>
      </c>
      <c r="C50" s="66">
        <v>20</v>
      </c>
      <c r="D50" s="18" t="s">
        <v>1150</v>
      </c>
      <c r="E50" s="37">
        <v>5</v>
      </c>
      <c r="F50" s="18" t="s">
        <v>1151</v>
      </c>
      <c r="G50" s="37">
        <v>1</v>
      </c>
      <c r="H50" s="18" t="s">
        <v>1152</v>
      </c>
      <c r="I50" s="37">
        <v>1</v>
      </c>
      <c r="J50" s="18" t="s">
        <v>1153</v>
      </c>
      <c r="K50" s="69">
        <v>3</v>
      </c>
    </row>
    <row r="51" spans="1:11">
      <c r="A51" s="70"/>
      <c r="B51" s="66">
        <v>0</v>
      </c>
      <c r="C51" s="66"/>
      <c r="D51" s="37" t="str">
        <f>IFERROR(VLOOKUP($B51,小吃定价,COLUMNS(小吃成本核算!$A$3:$C$3),0),"")</f>
        <v/>
      </c>
      <c r="E51" s="37" t="str">
        <f>IFERROR(VLOOKUP($B51,小吃定价,COLUMNS(小吃成本核算!$A$3:D$3),0)*$C51/VLOOKUP($B51,小吃定价,COLUMNS(小吃成本核算!$A$3:$B$3),0),"")</f>
        <v/>
      </c>
      <c r="F51" s="37" t="str">
        <f>IFERROR(VLOOKUP($B51,小吃定价,COLUMNS(小吃成本核算!$A$3:$E$3),0),"")</f>
        <v/>
      </c>
      <c r="G51" s="37" t="str">
        <f>IFERROR(VLOOKUP($B51,小吃定价,COLUMNS(小吃成本核算!$A$3:F$3),0)*$C51/VLOOKUP($B51,小吃定价,COLUMNS(小吃成本核算!$A$3:$B$3),0),"")</f>
        <v/>
      </c>
      <c r="H51" s="37" t="str">
        <f>IFERROR(VLOOKUP($B51,小吃定价,COLUMNS(小吃成本核算!$A$3:$G$3),0),"")</f>
        <v/>
      </c>
      <c r="I51" s="37" t="str">
        <f>IFERROR(VLOOKUP($B51,小吃定价,COLUMNS(小吃成本核算!$A$3:H$3),0)*$C51/VLOOKUP($B51,小吃定价,COLUMNS(小吃成本核算!$A$3:$B$3),0),"")</f>
        <v/>
      </c>
      <c r="J51" s="37" t="str">
        <f>IFERROR(VLOOKUP($B51,小吃定价,COLUMNS(小吃成本核算!$A$3:$I$3),0),"")</f>
        <v/>
      </c>
      <c r="K51" s="69" t="str">
        <f>IFERROR(VLOOKUP($B51,小吃定价,COLUMNS(小吃成本核算!$A$3:J$3),0)*$C51/VLOOKUP($B51,小吃定价,COLUMNS(小吃成本核算!$A$3:$B$3),0),"")</f>
        <v/>
      </c>
    </row>
    <row r="52" spans="1:11">
      <c r="A52" s="70" t="s">
        <v>1560</v>
      </c>
      <c r="B52" s="66" t="s">
        <v>1155</v>
      </c>
      <c r="C52" s="66">
        <v>20</v>
      </c>
      <c r="D52" s="18" t="s">
        <v>1112</v>
      </c>
      <c r="E52" s="37">
        <v>0.5</v>
      </c>
      <c r="F52" s="18" t="s">
        <v>1113</v>
      </c>
      <c r="G52" s="37">
        <v>2</v>
      </c>
      <c r="H52" s="18" t="s">
        <v>1047</v>
      </c>
      <c r="I52" s="37">
        <v>2</v>
      </c>
      <c r="J52" s="18" t="s">
        <v>1156</v>
      </c>
      <c r="K52" s="69">
        <v>10</v>
      </c>
    </row>
    <row r="53" spans="1:11">
      <c r="A53" s="115"/>
      <c r="B53" s="66" t="s">
        <v>1157</v>
      </c>
      <c r="C53" s="66">
        <v>20</v>
      </c>
      <c r="D53" s="18" t="s">
        <v>1134</v>
      </c>
      <c r="E53" s="37">
        <v>5</v>
      </c>
      <c r="F53" s="18" t="s">
        <v>1042</v>
      </c>
      <c r="G53" s="37">
        <v>2</v>
      </c>
      <c r="H53" s="18" t="s">
        <v>1049</v>
      </c>
      <c r="I53" s="37">
        <v>2</v>
      </c>
      <c r="J53" s="18" t="s">
        <v>1057</v>
      </c>
      <c r="K53" s="37">
        <v>5</v>
      </c>
    </row>
    <row r="54" spans="1:11">
      <c r="A54" s="116"/>
      <c r="B54" s="117" t="s">
        <v>1158</v>
      </c>
      <c r="C54" s="116">
        <v>20</v>
      </c>
      <c r="D54" s="116" t="s">
        <v>1080</v>
      </c>
      <c r="E54" s="116">
        <v>10</v>
      </c>
      <c r="F54" s="116" t="s">
        <v>1159</v>
      </c>
      <c r="G54" s="116">
        <v>2</v>
      </c>
      <c r="H54" s="116" t="s">
        <v>1089</v>
      </c>
      <c r="I54" s="116">
        <v>1</v>
      </c>
      <c r="J54" s="116" t="s">
        <v>1160</v>
      </c>
      <c r="K54" s="116">
        <v>2</v>
      </c>
    </row>
    <row r="55" spans="1:11">
      <c r="A55" s="116"/>
      <c r="B55" s="117"/>
      <c r="C55" s="116"/>
      <c r="D55" s="116"/>
      <c r="E55" s="116"/>
      <c r="F55" s="116"/>
      <c r="G55" s="116"/>
      <c r="H55" s="116"/>
      <c r="I55" s="116"/>
      <c r="J55" s="116"/>
      <c r="K55" s="116"/>
    </row>
    <row r="56" spans="1:11">
      <c r="A56" s="116" t="s">
        <v>1561</v>
      </c>
      <c r="B56" s="117" t="s">
        <v>1161</v>
      </c>
      <c r="C56" s="116">
        <v>30</v>
      </c>
      <c r="D56" s="116" t="s">
        <v>1057</v>
      </c>
      <c r="E56" s="116">
        <v>10</v>
      </c>
      <c r="F56" s="116" t="s">
        <v>1047</v>
      </c>
      <c r="G56" s="116">
        <v>3</v>
      </c>
      <c r="H56" s="116" t="s">
        <v>1045</v>
      </c>
      <c r="I56" s="116">
        <v>1</v>
      </c>
      <c r="J56" s="116" t="s">
        <v>1042</v>
      </c>
      <c r="K56" s="116">
        <v>2</v>
      </c>
    </row>
    <row r="57" spans="1:11">
      <c r="A57" s="116"/>
      <c r="B57" s="117" t="s">
        <v>1162</v>
      </c>
      <c r="C57" s="116">
        <v>15</v>
      </c>
      <c r="D57" s="116" t="s">
        <v>1152</v>
      </c>
      <c r="E57" s="116">
        <v>1</v>
      </c>
      <c r="F57" s="116" t="s">
        <v>1077</v>
      </c>
      <c r="G57" s="116">
        <v>1</v>
      </c>
      <c r="H57" s="116" t="s">
        <v>1106</v>
      </c>
      <c r="I57" s="116">
        <v>2</v>
      </c>
      <c r="J57" s="116" t="s">
        <v>1125</v>
      </c>
      <c r="K57" s="116"/>
    </row>
    <row r="58" spans="1:11">
      <c r="A58" s="116"/>
      <c r="B58" s="117"/>
      <c r="C58" s="116"/>
      <c r="D58" s="116"/>
      <c r="E58" s="116"/>
      <c r="F58" s="116"/>
      <c r="G58" s="116"/>
      <c r="H58" s="116"/>
      <c r="I58" s="116"/>
      <c r="J58" s="116"/>
      <c r="K58" s="116"/>
    </row>
    <row r="59" spans="1:11">
      <c r="A59" s="116" t="s">
        <v>1562</v>
      </c>
      <c r="B59" s="117" t="s">
        <v>1165</v>
      </c>
      <c r="C59" s="116">
        <v>45</v>
      </c>
      <c r="D59" s="116" t="s">
        <v>1082</v>
      </c>
      <c r="E59" s="116">
        <v>3</v>
      </c>
      <c r="F59" s="116" t="s">
        <v>1166</v>
      </c>
      <c r="G59" s="116">
        <v>1</v>
      </c>
      <c r="H59" s="116" t="s">
        <v>1167</v>
      </c>
      <c r="I59" s="116">
        <v>1</v>
      </c>
      <c r="J59" s="116" t="s">
        <v>1168</v>
      </c>
      <c r="K59" s="116"/>
    </row>
    <row r="60" spans="1:11">
      <c r="A60" s="116"/>
      <c r="B60" s="117" t="s">
        <v>1098</v>
      </c>
      <c r="C60" s="116">
        <v>20</v>
      </c>
      <c r="D60" s="116" t="s">
        <v>1099</v>
      </c>
      <c r="E60" s="116">
        <v>10</v>
      </c>
      <c r="F60" s="116" t="s">
        <v>1083</v>
      </c>
      <c r="G60" s="116">
        <v>2</v>
      </c>
      <c r="H60" s="116" t="s">
        <v>1106</v>
      </c>
      <c r="I60" s="116">
        <v>2</v>
      </c>
      <c r="J60" s="116"/>
      <c r="K60" s="116"/>
    </row>
    <row r="61" spans="1:11">
      <c r="A61" s="116"/>
      <c r="B61" s="117"/>
      <c r="C61" s="116"/>
      <c r="D61" s="116"/>
      <c r="E61" s="116"/>
      <c r="F61" s="116"/>
      <c r="G61" s="116"/>
      <c r="H61" s="116"/>
      <c r="I61" s="116"/>
      <c r="J61" s="116"/>
      <c r="K61" s="116"/>
    </row>
    <row r="62" spans="1:11">
      <c r="A62" s="116" t="s">
        <v>1563</v>
      </c>
      <c r="B62" s="117" t="s">
        <v>1170</v>
      </c>
      <c r="C62" s="116">
        <v>20</v>
      </c>
      <c r="D62" s="116" t="s">
        <v>1054</v>
      </c>
      <c r="E62" s="116">
        <v>4</v>
      </c>
      <c r="F62" s="116" t="s">
        <v>1056</v>
      </c>
      <c r="G62" s="116">
        <v>1</v>
      </c>
      <c r="H62" s="116" t="s">
        <v>1171</v>
      </c>
      <c r="I62" s="116">
        <v>10</v>
      </c>
      <c r="J62" s="116"/>
      <c r="K62" s="116"/>
    </row>
    <row r="63" spans="1:11" s="114" customFormat="1">
      <c r="A63" s="118"/>
      <c r="B63" s="118" t="s">
        <v>1172</v>
      </c>
      <c r="C63" s="118"/>
      <c r="D63" s="118" t="s">
        <v>1055</v>
      </c>
      <c r="E63" s="118">
        <v>3</v>
      </c>
      <c r="F63" s="118" t="s">
        <v>1173</v>
      </c>
      <c r="G63" s="118">
        <v>2</v>
      </c>
      <c r="H63" s="118" t="s">
        <v>1092</v>
      </c>
      <c r="I63" s="118">
        <v>1</v>
      </c>
      <c r="J63" s="118" t="s">
        <v>1057</v>
      </c>
      <c r="K63" s="118">
        <v>5</v>
      </c>
    </row>
    <row r="64" spans="1:11">
      <c r="A64" s="116"/>
      <c r="B64" s="117" t="s">
        <v>1174</v>
      </c>
      <c r="C64" s="116">
        <v>25</v>
      </c>
      <c r="D64" s="116" t="s">
        <v>1114</v>
      </c>
      <c r="E64" s="116">
        <v>10</v>
      </c>
      <c r="F64" s="116" t="s">
        <v>1073</v>
      </c>
      <c r="G64" s="116">
        <v>4</v>
      </c>
      <c r="H64" s="116"/>
      <c r="I64" s="116"/>
      <c r="J64" s="116"/>
      <c r="K64" s="116"/>
    </row>
    <row r="65" spans="1:11">
      <c r="A65" s="116"/>
      <c r="B65" s="117"/>
      <c r="C65" s="116"/>
      <c r="D65" s="116"/>
      <c r="E65" s="116"/>
      <c r="F65" s="116"/>
      <c r="G65" s="116"/>
      <c r="H65" s="116"/>
      <c r="I65" s="116"/>
      <c r="J65" s="116"/>
      <c r="K65" s="116"/>
    </row>
    <row r="66" spans="1:11">
      <c r="A66" s="116"/>
      <c r="B66" s="117"/>
      <c r="C66" s="116"/>
      <c r="D66" s="116"/>
      <c r="E66" s="116"/>
      <c r="F66" s="116"/>
      <c r="G66" s="116"/>
      <c r="H66" s="116"/>
      <c r="I66" s="116"/>
      <c r="J66" s="116"/>
      <c r="K66" s="116"/>
    </row>
    <row r="67" spans="1:11">
      <c r="A67" s="116"/>
      <c r="B67" s="117"/>
      <c r="C67" s="116"/>
      <c r="D67" s="116"/>
      <c r="E67" s="116"/>
      <c r="F67" s="116"/>
      <c r="G67" s="116"/>
      <c r="H67" s="116"/>
      <c r="I67" s="116"/>
      <c r="J67" s="116"/>
      <c r="K67" s="116"/>
    </row>
    <row r="68" spans="1:11">
      <c r="A68" s="116"/>
      <c r="B68" s="117"/>
      <c r="C68" s="116"/>
      <c r="D68" s="116"/>
      <c r="E68" s="116"/>
      <c r="F68" s="116"/>
      <c r="G68" s="116"/>
      <c r="H68" s="116"/>
      <c r="I68" s="116"/>
      <c r="J68" s="116"/>
      <c r="K68" s="116"/>
    </row>
    <row r="69" spans="1:11">
      <c r="A69" s="116"/>
      <c r="B69" s="117"/>
      <c r="C69" s="116"/>
      <c r="D69" s="116"/>
      <c r="E69" s="116"/>
      <c r="F69" s="116"/>
      <c r="G69" s="116"/>
      <c r="H69" s="116"/>
      <c r="I69" s="116"/>
      <c r="J69" s="116"/>
      <c r="K69" s="116"/>
    </row>
    <row r="70" spans="1:11">
      <c r="A70" s="116"/>
      <c r="B70" s="117"/>
      <c r="C70" s="116"/>
      <c r="D70" s="116"/>
      <c r="E70" s="116"/>
      <c r="F70" s="116"/>
      <c r="G70" s="116"/>
      <c r="H70" s="116"/>
      <c r="I70" s="116"/>
      <c r="J70" s="116"/>
      <c r="K70" s="116"/>
    </row>
    <row r="71" spans="1:11">
      <c r="A71" s="116"/>
      <c r="B71" s="117"/>
      <c r="C71" s="116"/>
      <c r="D71" s="116"/>
      <c r="E71" s="116"/>
      <c r="F71" s="116"/>
      <c r="G71" s="116"/>
      <c r="H71" s="116"/>
      <c r="I71" s="116"/>
      <c r="J71" s="116"/>
      <c r="K71" s="116"/>
    </row>
    <row r="72" spans="1:11">
      <c r="A72" s="116"/>
      <c r="B72" s="117"/>
      <c r="C72" s="116"/>
      <c r="D72" s="116"/>
      <c r="E72" s="116"/>
      <c r="F72" s="116"/>
      <c r="G72" s="116"/>
      <c r="H72" s="116"/>
      <c r="I72" s="116"/>
      <c r="J72" s="116"/>
      <c r="K72" s="116"/>
    </row>
    <row r="73" spans="1:11">
      <c r="A73" s="116"/>
      <c r="B73" s="117"/>
      <c r="C73" s="116"/>
      <c r="D73" s="116"/>
      <c r="E73" s="116"/>
      <c r="F73" s="116"/>
      <c r="G73" s="116"/>
      <c r="H73" s="116"/>
      <c r="I73" s="116"/>
      <c r="J73" s="116"/>
      <c r="K73" s="116"/>
    </row>
    <row r="74" spans="1:11">
      <c r="A74" s="116"/>
      <c r="B74" s="117"/>
      <c r="C74" s="116"/>
      <c r="D74" s="116"/>
      <c r="E74" s="116"/>
      <c r="F74" s="116"/>
      <c r="G74" s="116"/>
      <c r="H74" s="116"/>
      <c r="I74" s="116"/>
      <c r="J74" s="116"/>
      <c r="K74" s="116"/>
    </row>
    <row r="75" spans="1:11">
      <c r="A75" s="116"/>
      <c r="B75" s="117"/>
      <c r="C75" s="116"/>
      <c r="D75" s="116"/>
      <c r="E75" s="116"/>
      <c r="F75" s="116"/>
      <c r="G75" s="116"/>
      <c r="H75" s="116"/>
      <c r="I75" s="116"/>
      <c r="J75" s="116"/>
      <c r="K75" s="116"/>
    </row>
    <row r="76" spans="1:11">
      <c r="A76" s="116"/>
      <c r="B76" s="117"/>
      <c r="C76" s="116"/>
      <c r="D76" s="116"/>
      <c r="E76" s="116"/>
      <c r="F76" s="116"/>
      <c r="G76" s="116"/>
      <c r="H76" s="116"/>
      <c r="I76" s="116"/>
      <c r="J76" s="116"/>
      <c r="K76" s="116"/>
    </row>
    <row r="77" spans="1:11">
      <c r="A77" s="116"/>
      <c r="B77" s="117"/>
      <c r="C77" s="116"/>
      <c r="D77" s="116"/>
      <c r="E77" s="116"/>
      <c r="F77" s="116"/>
      <c r="G77" s="116"/>
      <c r="H77" s="116"/>
      <c r="I77" s="116"/>
      <c r="J77" s="116"/>
      <c r="K77" s="116"/>
    </row>
    <row r="78" spans="1:11">
      <c r="A78" s="116"/>
      <c r="B78" s="117"/>
      <c r="C78" s="116"/>
      <c r="D78" s="116"/>
      <c r="E78" s="116"/>
      <c r="F78" s="116"/>
      <c r="G78" s="116"/>
      <c r="H78" s="116"/>
      <c r="I78" s="116"/>
      <c r="J78" s="116"/>
      <c r="K78" s="116"/>
    </row>
    <row r="79" spans="1:11">
      <c r="A79" s="116"/>
      <c r="B79" s="117"/>
      <c r="C79" s="116"/>
      <c r="D79" s="116"/>
      <c r="E79" s="116"/>
      <c r="F79" s="116"/>
      <c r="G79" s="116"/>
      <c r="H79" s="116"/>
      <c r="I79" s="116"/>
      <c r="J79" s="116"/>
      <c r="K79" s="116"/>
    </row>
    <row r="80" spans="1:11">
      <c r="A80" s="116"/>
      <c r="B80" s="117"/>
      <c r="C80" s="116"/>
      <c r="D80" s="116"/>
      <c r="E80" s="116"/>
      <c r="F80" s="116"/>
      <c r="G80" s="116"/>
      <c r="H80" s="116"/>
      <c r="I80" s="116"/>
      <c r="J80" s="116"/>
      <c r="K80" s="116"/>
    </row>
    <row r="81" spans="1:11">
      <c r="A81" s="116"/>
      <c r="B81" s="117"/>
      <c r="C81" s="116"/>
      <c r="D81" s="116"/>
      <c r="E81" s="116"/>
      <c r="F81" s="116"/>
      <c r="G81" s="116"/>
      <c r="H81" s="116"/>
      <c r="I81" s="116"/>
      <c r="J81" s="116"/>
      <c r="K81" s="116"/>
    </row>
    <row r="82" spans="1:11">
      <c r="A82" s="116"/>
      <c r="B82" s="117"/>
      <c r="C82" s="116"/>
      <c r="D82" s="116"/>
      <c r="E82" s="116"/>
      <c r="F82" s="116"/>
      <c r="G82" s="116"/>
      <c r="H82" s="116"/>
      <c r="I82" s="116"/>
      <c r="J82" s="116"/>
      <c r="K82" s="116"/>
    </row>
    <row r="83" spans="1:11">
      <c r="A83" s="116"/>
      <c r="B83" s="117"/>
      <c r="C83" s="116"/>
      <c r="D83" s="116"/>
      <c r="E83" s="116"/>
      <c r="F83" s="116"/>
      <c r="G83" s="116"/>
      <c r="H83" s="116"/>
      <c r="I83" s="116"/>
      <c r="J83" s="116"/>
      <c r="K83" s="116"/>
    </row>
    <row r="84" spans="1:11">
      <c r="A84" s="116"/>
      <c r="B84" s="117"/>
      <c r="C84" s="116"/>
      <c r="D84" s="116"/>
      <c r="E84" s="116"/>
      <c r="F84" s="116"/>
      <c r="G84" s="116"/>
      <c r="H84" s="116"/>
      <c r="I84" s="116"/>
      <c r="J84" s="116"/>
      <c r="K84" s="116"/>
    </row>
    <row r="85" spans="1:11">
      <c r="A85" s="116"/>
      <c r="B85" s="117"/>
      <c r="C85" s="116"/>
      <c r="D85" s="116"/>
      <c r="E85" s="116"/>
      <c r="F85" s="116"/>
      <c r="G85" s="116"/>
      <c r="H85" s="116"/>
      <c r="I85" s="116"/>
      <c r="J85" s="116"/>
      <c r="K85" s="116"/>
    </row>
    <row r="86" spans="1:11">
      <c r="A86" s="116"/>
      <c r="B86" s="117"/>
      <c r="C86" s="116"/>
      <c r="D86" s="116"/>
      <c r="E86" s="116"/>
      <c r="F86" s="116"/>
      <c r="G86" s="116"/>
      <c r="H86" s="116"/>
      <c r="I86" s="116"/>
      <c r="J86" s="116"/>
      <c r="K86" s="116"/>
    </row>
    <row r="87" spans="1:11">
      <c r="A87" s="116"/>
      <c r="B87" s="117"/>
      <c r="C87" s="116"/>
      <c r="D87" s="116"/>
      <c r="E87" s="116"/>
      <c r="F87" s="116"/>
      <c r="G87" s="116"/>
      <c r="H87" s="116"/>
      <c r="I87" s="116"/>
      <c r="J87" s="116"/>
      <c r="K87" s="116"/>
    </row>
    <row r="88" spans="1:11">
      <c r="A88" s="116"/>
      <c r="B88" s="117"/>
      <c r="C88" s="116"/>
      <c r="D88" s="116"/>
      <c r="E88" s="116"/>
      <c r="F88" s="116"/>
      <c r="G88" s="116"/>
      <c r="H88" s="116"/>
      <c r="I88" s="116"/>
      <c r="J88" s="116"/>
      <c r="K88" s="116"/>
    </row>
    <row r="89" spans="1:11">
      <c r="A89" s="116"/>
      <c r="B89" s="117"/>
      <c r="C89" s="116"/>
      <c r="D89" s="116"/>
      <c r="E89" s="116"/>
      <c r="F89" s="116"/>
      <c r="G89" s="116"/>
      <c r="H89" s="116"/>
      <c r="I89" s="116"/>
      <c r="J89" s="116"/>
      <c r="K89" s="116"/>
    </row>
    <row r="90" spans="1:11">
      <c r="A90" s="116"/>
      <c r="B90" s="117"/>
      <c r="C90" s="116"/>
      <c r="D90" s="116"/>
      <c r="E90" s="116"/>
      <c r="F90" s="116"/>
      <c r="G90" s="116"/>
      <c r="H90" s="116"/>
      <c r="I90" s="116"/>
      <c r="J90" s="116"/>
      <c r="K90" s="116"/>
    </row>
    <row r="91" spans="1:11">
      <c r="A91" s="116"/>
      <c r="B91" s="117"/>
      <c r="C91" s="116"/>
      <c r="D91" s="116"/>
      <c r="E91" s="116"/>
      <c r="F91" s="116"/>
      <c r="G91" s="116"/>
      <c r="H91" s="116"/>
      <c r="I91" s="116"/>
      <c r="J91" s="116"/>
      <c r="K91" s="116"/>
    </row>
    <row r="92" spans="1:11">
      <c r="A92" s="116"/>
      <c r="B92" s="117"/>
      <c r="C92" s="116"/>
      <c r="D92" s="116"/>
      <c r="E92" s="116"/>
      <c r="F92" s="116"/>
      <c r="G92" s="116"/>
      <c r="H92" s="116"/>
      <c r="I92" s="116"/>
      <c r="J92" s="116"/>
      <c r="K92" s="116"/>
    </row>
    <row r="93" spans="1:11">
      <c r="A93" s="116"/>
      <c r="B93" s="117"/>
      <c r="C93" s="116"/>
      <c r="D93" s="116"/>
      <c r="E93" s="116"/>
      <c r="F93" s="116"/>
      <c r="G93" s="116"/>
      <c r="H93" s="116"/>
      <c r="I93" s="116"/>
      <c r="J93" s="116"/>
      <c r="K93" s="116"/>
    </row>
    <row r="94" spans="1:11">
      <c r="A94" s="116"/>
      <c r="B94" s="117"/>
      <c r="C94" s="116"/>
      <c r="D94" s="116"/>
      <c r="E94" s="116"/>
      <c r="F94" s="116"/>
      <c r="G94" s="116"/>
      <c r="H94" s="116"/>
      <c r="I94" s="116"/>
      <c r="J94" s="116"/>
      <c r="K94" s="116"/>
    </row>
    <row r="95" spans="1:11">
      <c r="A95" s="116"/>
      <c r="B95" s="117"/>
      <c r="C95" s="116"/>
      <c r="D95" s="116"/>
      <c r="E95" s="116"/>
      <c r="F95" s="116"/>
      <c r="G95" s="116"/>
      <c r="H95" s="116"/>
      <c r="I95" s="116"/>
      <c r="J95" s="116"/>
      <c r="K95" s="116"/>
    </row>
    <row r="96" spans="1:11">
      <c r="A96" s="116"/>
      <c r="B96" s="117"/>
      <c r="C96" s="116"/>
      <c r="D96" s="116"/>
      <c r="E96" s="116"/>
      <c r="F96" s="116"/>
      <c r="G96" s="116"/>
      <c r="H96" s="116"/>
      <c r="I96" s="116"/>
      <c r="J96" s="116"/>
      <c r="K96" s="116"/>
    </row>
    <row r="97" spans="1:11">
      <c r="A97" s="116"/>
      <c r="B97" s="117"/>
      <c r="C97" s="116"/>
      <c r="D97" s="116"/>
      <c r="E97" s="116"/>
      <c r="F97" s="116"/>
      <c r="G97" s="116"/>
      <c r="H97" s="116"/>
      <c r="I97" s="116"/>
      <c r="J97" s="116"/>
      <c r="K97" s="116"/>
    </row>
    <row r="98" spans="1:11">
      <c r="A98" s="116"/>
      <c r="B98" s="117"/>
      <c r="C98" s="116"/>
      <c r="D98" s="116"/>
      <c r="E98" s="116"/>
      <c r="F98" s="116"/>
      <c r="G98" s="116"/>
      <c r="H98" s="116"/>
      <c r="I98" s="116"/>
      <c r="J98" s="116"/>
      <c r="K98" s="116"/>
    </row>
    <row r="99" spans="1:11">
      <c r="A99" s="116"/>
      <c r="B99" s="117"/>
      <c r="C99" s="116"/>
      <c r="D99" s="116"/>
      <c r="E99" s="116"/>
      <c r="F99" s="116"/>
      <c r="G99" s="116"/>
      <c r="H99" s="116"/>
      <c r="I99" s="116"/>
      <c r="J99" s="116"/>
      <c r="K99" s="116"/>
    </row>
    <row r="100" spans="1:11">
      <c r="A100" s="116"/>
      <c r="B100" s="117"/>
      <c r="C100" s="116"/>
      <c r="D100" s="116"/>
      <c r="E100" s="116"/>
      <c r="F100" s="116"/>
      <c r="G100" s="116"/>
      <c r="H100" s="116"/>
      <c r="I100" s="116"/>
      <c r="J100" s="116"/>
      <c r="K100" s="116"/>
    </row>
    <row r="101" spans="1:11">
      <c r="A101" s="116"/>
      <c r="B101" s="117"/>
      <c r="C101" s="116"/>
      <c r="D101" s="116"/>
      <c r="E101" s="116"/>
      <c r="F101" s="116"/>
      <c r="G101" s="116"/>
      <c r="H101" s="116"/>
      <c r="I101" s="116"/>
      <c r="J101" s="116"/>
      <c r="K101" s="116"/>
    </row>
    <row r="102" spans="1:11">
      <c r="A102" s="116"/>
      <c r="B102" s="117"/>
      <c r="C102" s="116"/>
      <c r="D102" s="116"/>
      <c r="E102" s="116"/>
      <c r="F102" s="116"/>
      <c r="G102" s="116"/>
      <c r="H102" s="116"/>
      <c r="I102" s="116"/>
      <c r="J102" s="116"/>
      <c r="K102" s="116"/>
    </row>
    <row r="103" spans="1:11">
      <c r="A103" s="116"/>
      <c r="B103" s="117"/>
      <c r="C103" s="116"/>
      <c r="D103" s="116"/>
      <c r="E103" s="116"/>
      <c r="F103" s="116"/>
      <c r="G103" s="116"/>
      <c r="H103" s="116"/>
      <c r="I103" s="116"/>
      <c r="J103" s="116"/>
      <c r="K103" s="116"/>
    </row>
    <row r="104" spans="1:11">
      <c r="A104" s="116"/>
      <c r="B104" s="117"/>
      <c r="C104" s="116"/>
      <c r="D104" s="116"/>
      <c r="E104" s="116"/>
      <c r="F104" s="116"/>
      <c r="G104" s="116"/>
      <c r="H104" s="116"/>
      <c r="I104" s="116"/>
      <c r="J104" s="116"/>
      <c r="K104" s="116"/>
    </row>
    <row r="105" spans="1:11">
      <c r="A105" s="116"/>
      <c r="B105" s="117"/>
      <c r="C105" s="116"/>
      <c r="D105" s="116"/>
      <c r="E105" s="116"/>
      <c r="F105" s="116"/>
      <c r="G105" s="116"/>
      <c r="H105" s="116"/>
      <c r="I105" s="116"/>
      <c r="J105" s="116"/>
      <c r="K105" s="116"/>
    </row>
    <row r="106" spans="1:11">
      <c r="A106" s="116"/>
      <c r="B106" s="117"/>
      <c r="C106" s="116"/>
      <c r="D106" s="116"/>
      <c r="E106" s="116"/>
      <c r="F106" s="116"/>
      <c r="G106" s="116"/>
      <c r="H106" s="116"/>
      <c r="I106" s="116"/>
      <c r="J106" s="116"/>
      <c r="K106" s="116"/>
    </row>
    <row r="107" spans="1:11">
      <c r="A107" s="116"/>
      <c r="B107" s="117"/>
      <c r="C107" s="116"/>
      <c r="D107" s="116"/>
      <c r="E107" s="116"/>
      <c r="F107" s="116"/>
      <c r="G107" s="116"/>
      <c r="H107" s="116"/>
      <c r="I107" s="116"/>
      <c r="J107" s="116"/>
      <c r="K107" s="116"/>
    </row>
    <row r="108" spans="1:11">
      <c r="A108" s="116"/>
      <c r="B108" s="117"/>
      <c r="C108" s="116"/>
      <c r="D108" s="116"/>
      <c r="E108" s="116"/>
      <c r="F108" s="116"/>
      <c r="G108" s="116"/>
      <c r="H108" s="116"/>
      <c r="I108" s="116"/>
      <c r="J108" s="116"/>
      <c r="K108" s="116"/>
    </row>
    <row r="109" spans="1:11">
      <c r="A109" s="116"/>
      <c r="B109" s="117"/>
      <c r="C109" s="116"/>
      <c r="D109" s="116"/>
      <c r="E109" s="116"/>
      <c r="F109" s="116"/>
      <c r="G109" s="116"/>
      <c r="H109" s="116"/>
      <c r="I109" s="116"/>
      <c r="J109" s="116"/>
      <c r="K109" s="116"/>
    </row>
    <row r="110" spans="1:11">
      <c r="A110" s="116"/>
      <c r="B110" s="117"/>
      <c r="C110" s="116"/>
      <c r="D110" s="116"/>
      <c r="E110" s="116"/>
      <c r="F110" s="116"/>
      <c r="G110" s="116"/>
      <c r="H110" s="116"/>
      <c r="I110" s="116"/>
      <c r="J110" s="116"/>
      <c r="K110" s="116"/>
    </row>
    <row r="111" spans="1:11">
      <c r="A111" s="116"/>
      <c r="B111" s="117"/>
      <c r="C111" s="116"/>
      <c r="D111" s="116"/>
      <c r="E111" s="116"/>
      <c r="F111" s="116"/>
      <c r="G111" s="116"/>
      <c r="H111" s="116"/>
      <c r="I111" s="116"/>
      <c r="J111" s="116"/>
      <c r="K111" s="116"/>
    </row>
    <row r="112" spans="1:11">
      <c r="A112" s="116"/>
      <c r="B112" s="117"/>
      <c r="C112" s="116"/>
      <c r="D112" s="116"/>
      <c r="E112" s="116"/>
      <c r="F112" s="116"/>
      <c r="G112" s="116"/>
      <c r="H112" s="116"/>
      <c r="I112" s="116"/>
      <c r="J112" s="116"/>
      <c r="K112" s="116"/>
    </row>
    <row r="113" spans="1:11">
      <c r="A113" s="116"/>
      <c r="B113" s="117"/>
      <c r="C113" s="116"/>
      <c r="D113" s="116"/>
      <c r="E113" s="116"/>
      <c r="F113" s="116"/>
      <c r="G113" s="116"/>
      <c r="H113" s="116"/>
      <c r="I113" s="116"/>
      <c r="J113" s="116"/>
      <c r="K113" s="116"/>
    </row>
    <row r="114" spans="1:11">
      <c r="A114" s="116"/>
      <c r="B114" s="117"/>
      <c r="C114" s="116"/>
      <c r="D114" s="116"/>
      <c r="E114" s="116"/>
      <c r="F114" s="116"/>
      <c r="G114" s="116"/>
      <c r="H114" s="116"/>
      <c r="I114" s="116"/>
      <c r="J114" s="116"/>
      <c r="K114" s="116"/>
    </row>
    <row r="115" spans="1:11">
      <c r="A115" s="116"/>
      <c r="B115" s="117"/>
      <c r="C115" s="116"/>
      <c r="D115" s="116"/>
      <c r="E115" s="116"/>
      <c r="F115" s="116"/>
      <c r="G115" s="116"/>
      <c r="H115" s="116"/>
      <c r="I115" s="116"/>
      <c r="J115" s="116"/>
      <c r="K115" s="116"/>
    </row>
    <row r="116" spans="1:11">
      <c r="A116" s="116"/>
      <c r="B116" s="117"/>
      <c r="C116" s="116"/>
      <c r="D116" s="116"/>
      <c r="E116" s="116"/>
      <c r="F116" s="116"/>
      <c r="G116" s="116"/>
      <c r="H116" s="116"/>
      <c r="I116" s="116"/>
      <c r="J116" s="116"/>
      <c r="K116" s="116"/>
    </row>
    <row r="117" spans="1:11">
      <c r="A117" s="116"/>
      <c r="B117" s="117"/>
      <c r="C117" s="116"/>
      <c r="D117" s="116"/>
      <c r="E117" s="116"/>
      <c r="F117" s="116"/>
      <c r="G117" s="116"/>
      <c r="H117" s="116"/>
      <c r="I117" s="116"/>
      <c r="J117" s="116"/>
      <c r="K117" s="116"/>
    </row>
    <row r="118" spans="1:11">
      <c r="A118" s="116"/>
      <c r="B118" s="117"/>
      <c r="C118" s="116"/>
      <c r="D118" s="116"/>
      <c r="E118" s="116"/>
      <c r="F118" s="116"/>
      <c r="G118" s="116"/>
      <c r="H118" s="116"/>
      <c r="I118" s="116"/>
      <c r="J118" s="116"/>
      <c r="K118" s="116"/>
    </row>
    <row r="119" spans="1:11">
      <c r="A119" s="116"/>
      <c r="B119" s="117"/>
      <c r="C119" s="116"/>
      <c r="D119" s="116"/>
      <c r="E119" s="116"/>
      <c r="F119" s="116"/>
      <c r="G119" s="116"/>
      <c r="H119" s="116"/>
      <c r="I119" s="116"/>
      <c r="J119" s="116"/>
      <c r="K119" s="116"/>
    </row>
    <row r="120" spans="1:11">
      <c r="A120" s="116"/>
      <c r="B120" s="117"/>
      <c r="C120" s="116"/>
      <c r="D120" s="116"/>
      <c r="E120" s="116"/>
      <c r="F120" s="116"/>
      <c r="G120" s="116"/>
      <c r="H120" s="116"/>
      <c r="I120" s="116"/>
      <c r="J120" s="116"/>
      <c r="K120" s="116"/>
    </row>
    <row r="121" spans="1:11">
      <c r="A121" s="116"/>
      <c r="B121" s="117"/>
      <c r="C121" s="116"/>
      <c r="D121" s="116"/>
      <c r="E121" s="116"/>
      <c r="F121" s="116"/>
      <c r="G121" s="116"/>
      <c r="H121" s="116"/>
      <c r="I121" s="116"/>
      <c r="J121" s="116"/>
      <c r="K121" s="116"/>
    </row>
    <row r="122" spans="1:11">
      <c r="A122" s="116"/>
      <c r="B122" s="117"/>
      <c r="C122" s="116"/>
      <c r="D122" s="116"/>
      <c r="E122" s="116"/>
      <c r="F122" s="116"/>
      <c r="G122" s="116"/>
      <c r="H122" s="116"/>
      <c r="I122" s="116"/>
      <c r="J122" s="116"/>
      <c r="K122" s="116"/>
    </row>
    <row r="123" spans="1:11">
      <c r="A123" s="116"/>
      <c r="B123" s="117"/>
      <c r="C123" s="116"/>
      <c r="D123" s="116"/>
      <c r="E123" s="116"/>
      <c r="F123" s="116"/>
      <c r="G123" s="116"/>
      <c r="H123" s="116"/>
      <c r="I123" s="116"/>
      <c r="J123" s="116"/>
      <c r="K123" s="116"/>
    </row>
    <row r="124" spans="1:11">
      <c r="A124" s="116"/>
      <c r="B124" s="117"/>
      <c r="C124" s="116"/>
      <c r="D124" s="116"/>
      <c r="E124" s="116"/>
      <c r="F124" s="116"/>
      <c r="G124" s="116"/>
      <c r="H124" s="116"/>
      <c r="I124" s="116"/>
      <c r="J124" s="116"/>
      <c r="K124" s="116"/>
    </row>
    <row r="125" spans="1:11">
      <c r="A125" s="116"/>
      <c r="B125" s="117"/>
      <c r="C125" s="116"/>
      <c r="D125" s="116"/>
      <c r="E125" s="116"/>
      <c r="F125" s="116"/>
      <c r="G125" s="116"/>
      <c r="H125" s="116"/>
      <c r="I125" s="116"/>
      <c r="J125" s="116"/>
      <c r="K125" s="116"/>
    </row>
    <row r="126" spans="1:11">
      <c r="A126" s="116"/>
      <c r="B126" s="117"/>
      <c r="C126" s="116"/>
      <c r="D126" s="116"/>
      <c r="E126" s="116"/>
      <c r="F126" s="116"/>
      <c r="G126" s="116"/>
      <c r="H126" s="116"/>
      <c r="I126" s="116"/>
      <c r="J126" s="116"/>
      <c r="K126" s="116"/>
    </row>
    <row r="127" spans="1:11">
      <c r="A127" s="116"/>
      <c r="B127" s="117"/>
      <c r="C127" s="116"/>
      <c r="D127" s="116"/>
      <c r="E127" s="116"/>
      <c r="F127" s="116"/>
      <c r="G127" s="116"/>
      <c r="H127" s="116"/>
      <c r="I127" s="116"/>
      <c r="J127" s="116"/>
      <c r="K127" s="116"/>
    </row>
    <row r="128" spans="1:11">
      <c r="A128" s="116"/>
      <c r="B128" s="117"/>
      <c r="C128" s="116"/>
      <c r="D128" s="116"/>
      <c r="E128" s="116"/>
      <c r="F128" s="116"/>
      <c r="G128" s="116"/>
      <c r="H128" s="116"/>
      <c r="I128" s="116"/>
      <c r="J128" s="116"/>
      <c r="K128" s="116"/>
    </row>
    <row r="129" spans="1:11">
      <c r="A129" s="116"/>
      <c r="B129" s="117"/>
      <c r="C129" s="116"/>
      <c r="D129" s="116"/>
      <c r="E129" s="116"/>
      <c r="F129" s="116"/>
      <c r="G129" s="116"/>
      <c r="H129" s="116"/>
      <c r="I129" s="116"/>
      <c r="J129" s="116"/>
      <c r="K129" s="116"/>
    </row>
    <row r="130" spans="1:11">
      <c r="A130" s="116"/>
      <c r="B130" s="117"/>
      <c r="C130" s="116"/>
      <c r="D130" s="116"/>
      <c r="E130" s="116"/>
      <c r="F130" s="116"/>
      <c r="G130" s="116"/>
      <c r="H130" s="116"/>
      <c r="I130" s="116"/>
      <c r="J130" s="116"/>
      <c r="K130" s="116"/>
    </row>
    <row r="131" spans="1:11">
      <c r="A131" s="116"/>
      <c r="B131" s="117"/>
      <c r="C131" s="116"/>
      <c r="D131" s="116"/>
      <c r="E131" s="116"/>
      <c r="F131" s="116"/>
      <c r="G131" s="116"/>
      <c r="H131" s="116"/>
      <c r="I131" s="116"/>
      <c r="J131" s="116"/>
      <c r="K131" s="116"/>
    </row>
    <row r="132" spans="1:11">
      <c r="A132" s="116"/>
      <c r="B132" s="117"/>
      <c r="C132" s="116"/>
      <c r="D132" s="116"/>
      <c r="E132" s="116"/>
      <c r="F132" s="116"/>
      <c r="G132" s="116"/>
      <c r="H132" s="116"/>
      <c r="I132" s="116"/>
      <c r="J132" s="116"/>
      <c r="K132" s="116"/>
    </row>
    <row r="133" spans="1:11">
      <c r="A133" s="116"/>
      <c r="B133" s="117"/>
      <c r="C133" s="116"/>
      <c r="D133" s="116"/>
      <c r="E133" s="116"/>
      <c r="F133" s="116"/>
      <c r="G133" s="116"/>
      <c r="H133" s="116"/>
      <c r="I133" s="116"/>
      <c r="J133" s="116"/>
      <c r="K133" s="116"/>
    </row>
    <row r="134" spans="1:11">
      <c r="A134" s="116"/>
      <c r="B134" s="117"/>
      <c r="C134" s="116"/>
      <c r="D134" s="116"/>
      <c r="E134" s="116"/>
      <c r="F134" s="116"/>
      <c r="G134" s="116"/>
      <c r="H134" s="116"/>
      <c r="I134" s="116"/>
      <c r="J134" s="116"/>
      <c r="K134" s="116"/>
    </row>
    <row r="135" spans="1:11">
      <c r="A135" s="116"/>
      <c r="B135" s="117"/>
      <c r="C135" s="116"/>
      <c r="D135" s="116"/>
      <c r="E135" s="116"/>
      <c r="F135" s="116"/>
      <c r="G135" s="116"/>
      <c r="H135" s="116"/>
      <c r="I135" s="116"/>
      <c r="J135" s="116"/>
      <c r="K135" s="116"/>
    </row>
    <row r="136" spans="1:11">
      <c r="A136" s="116"/>
      <c r="B136" s="117"/>
      <c r="C136" s="116"/>
      <c r="D136" s="116"/>
      <c r="E136" s="116"/>
      <c r="F136" s="116"/>
      <c r="G136" s="116"/>
      <c r="H136" s="116"/>
      <c r="I136" s="116"/>
      <c r="J136" s="116"/>
      <c r="K136" s="116"/>
    </row>
    <row r="137" spans="1:11">
      <c r="A137" s="116"/>
      <c r="B137" s="117"/>
      <c r="C137" s="116"/>
      <c r="D137" s="116"/>
      <c r="E137" s="116"/>
      <c r="F137" s="116"/>
      <c r="G137" s="116"/>
      <c r="H137" s="116"/>
      <c r="I137" s="116"/>
      <c r="J137" s="116"/>
      <c r="K137" s="116"/>
    </row>
    <row r="138" spans="1:11">
      <c r="A138" s="116"/>
      <c r="B138" s="117"/>
      <c r="C138" s="116"/>
      <c r="D138" s="116"/>
      <c r="E138" s="116"/>
      <c r="F138" s="116"/>
      <c r="G138" s="116"/>
      <c r="H138" s="116"/>
      <c r="I138" s="116"/>
      <c r="J138" s="116"/>
      <c r="K138" s="116"/>
    </row>
    <row r="139" spans="1:11">
      <c r="A139" s="116"/>
      <c r="B139" s="117"/>
      <c r="C139" s="116"/>
      <c r="D139" s="116"/>
      <c r="E139" s="116"/>
      <c r="F139" s="116"/>
      <c r="G139" s="116"/>
      <c r="H139" s="116"/>
      <c r="I139" s="116"/>
      <c r="J139" s="116"/>
      <c r="K139" s="116"/>
    </row>
    <row r="140" spans="1:11">
      <c r="A140" s="116"/>
      <c r="B140" s="117"/>
      <c r="C140" s="116"/>
      <c r="D140" s="116"/>
      <c r="E140" s="116"/>
      <c r="F140" s="116"/>
      <c r="G140" s="116"/>
      <c r="H140" s="116"/>
      <c r="I140" s="116"/>
      <c r="J140" s="116"/>
      <c r="K140" s="116"/>
    </row>
    <row r="141" spans="1:11">
      <c r="A141" s="116"/>
      <c r="B141" s="117"/>
      <c r="C141" s="116"/>
      <c r="D141" s="116"/>
      <c r="E141" s="116"/>
      <c r="F141" s="116"/>
      <c r="G141" s="116"/>
      <c r="H141" s="116"/>
      <c r="I141" s="116"/>
      <c r="J141" s="116"/>
      <c r="K141" s="116"/>
    </row>
    <row r="142" spans="1:11">
      <c r="A142" s="116"/>
      <c r="B142" s="117"/>
      <c r="C142" s="116"/>
      <c r="D142" s="116"/>
      <c r="E142" s="116"/>
      <c r="F142" s="116"/>
      <c r="G142" s="116"/>
      <c r="H142" s="116"/>
      <c r="I142" s="116"/>
      <c r="J142" s="116"/>
      <c r="K142" s="116"/>
    </row>
    <row r="143" spans="1:11">
      <c r="A143" s="116"/>
      <c r="B143" s="117"/>
      <c r="C143" s="116"/>
      <c r="D143" s="116"/>
      <c r="E143" s="116"/>
      <c r="F143" s="116"/>
      <c r="G143" s="116"/>
      <c r="H143" s="116"/>
      <c r="I143" s="116"/>
      <c r="J143" s="116"/>
      <c r="K143" s="116"/>
    </row>
    <row r="144" spans="1:11">
      <c r="A144" s="116"/>
      <c r="B144" s="117"/>
      <c r="C144" s="116"/>
      <c r="D144" s="116"/>
      <c r="E144" s="116"/>
      <c r="F144" s="116"/>
      <c r="G144" s="116"/>
      <c r="H144" s="116"/>
      <c r="I144" s="116"/>
      <c r="J144" s="116"/>
      <c r="K144" s="116"/>
    </row>
    <row r="145" spans="1:11">
      <c r="A145" s="116"/>
      <c r="B145" s="117"/>
      <c r="C145" s="116"/>
      <c r="D145" s="116"/>
      <c r="E145" s="116"/>
      <c r="F145" s="116"/>
      <c r="G145" s="116"/>
      <c r="H145" s="116"/>
      <c r="I145" s="116"/>
      <c r="J145" s="116"/>
      <c r="K145" s="116"/>
    </row>
    <row r="146" spans="1:11">
      <c r="A146" s="116"/>
      <c r="B146" s="117"/>
      <c r="C146" s="116"/>
      <c r="D146" s="116"/>
      <c r="E146" s="116"/>
      <c r="F146" s="116"/>
      <c r="G146" s="116"/>
      <c r="H146" s="116"/>
      <c r="I146" s="116"/>
      <c r="J146" s="116"/>
      <c r="K146" s="116"/>
    </row>
    <row r="147" spans="1:11">
      <c r="A147" s="116"/>
      <c r="B147" s="117"/>
      <c r="C147" s="116"/>
      <c r="D147" s="116"/>
      <c r="E147" s="116"/>
      <c r="F147" s="116"/>
      <c r="G147" s="116"/>
      <c r="H147" s="116"/>
      <c r="I147" s="116"/>
      <c r="J147" s="116"/>
      <c r="K147" s="116"/>
    </row>
    <row r="148" spans="1:11">
      <c r="A148" s="116"/>
      <c r="B148" s="117"/>
      <c r="C148" s="116"/>
      <c r="D148" s="116"/>
      <c r="E148" s="116"/>
      <c r="F148" s="116"/>
      <c r="G148" s="116"/>
      <c r="H148" s="116"/>
      <c r="I148" s="116"/>
      <c r="J148" s="116"/>
      <c r="K148" s="116"/>
    </row>
    <row r="149" spans="1:11">
      <c r="A149" s="116"/>
      <c r="B149" s="117"/>
      <c r="C149" s="116"/>
      <c r="D149" s="116"/>
      <c r="E149" s="116"/>
      <c r="F149" s="116"/>
      <c r="G149" s="116"/>
      <c r="H149" s="116"/>
      <c r="I149" s="116"/>
      <c r="J149" s="116"/>
      <c r="K149" s="116"/>
    </row>
    <row r="150" spans="1:11">
      <c r="A150" s="116"/>
      <c r="B150" s="117"/>
      <c r="C150" s="116"/>
      <c r="D150" s="116"/>
      <c r="E150" s="116"/>
      <c r="F150" s="116"/>
      <c r="G150" s="116"/>
      <c r="H150" s="116"/>
      <c r="I150" s="116"/>
      <c r="J150" s="116"/>
      <c r="K150" s="116"/>
    </row>
    <row r="151" spans="1:11">
      <c r="A151" s="116"/>
      <c r="B151" s="117"/>
      <c r="C151" s="116"/>
      <c r="D151" s="116"/>
      <c r="E151" s="116"/>
      <c r="F151" s="116"/>
      <c r="G151" s="116"/>
      <c r="H151" s="116"/>
      <c r="I151" s="116"/>
      <c r="J151" s="116"/>
      <c r="K151" s="116"/>
    </row>
    <row r="152" spans="1:11">
      <c r="A152" s="116"/>
      <c r="B152" s="117"/>
      <c r="C152" s="116"/>
      <c r="D152" s="116"/>
      <c r="E152" s="116"/>
      <c r="F152" s="116"/>
      <c r="G152" s="116"/>
      <c r="H152" s="116"/>
      <c r="I152" s="116"/>
      <c r="J152" s="116"/>
      <c r="K152" s="116"/>
    </row>
    <row r="153" spans="1:11">
      <c r="A153" s="116"/>
      <c r="B153" s="117"/>
      <c r="C153" s="116"/>
      <c r="D153" s="116"/>
      <c r="E153" s="116"/>
      <c r="F153" s="116"/>
      <c r="G153" s="116"/>
      <c r="H153" s="116"/>
      <c r="I153" s="116"/>
      <c r="J153" s="116"/>
      <c r="K153" s="116"/>
    </row>
    <row r="154" spans="1:11">
      <c r="A154" s="116"/>
      <c r="B154" s="117"/>
      <c r="C154" s="116"/>
      <c r="D154" s="116"/>
      <c r="E154" s="116"/>
      <c r="F154" s="116"/>
      <c r="G154" s="116"/>
      <c r="H154" s="116"/>
      <c r="I154" s="116"/>
      <c r="J154" s="116"/>
      <c r="K154" s="116"/>
    </row>
    <row r="155" spans="1:11">
      <c r="A155" s="116"/>
      <c r="B155" s="117"/>
      <c r="C155" s="116"/>
      <c r="D155" s="116"/>
      <c r="E155" s="116"/>
      <c r="F155" s="116"/>
      <c r="G155" s="116"/>
      <c r="H155" s="116"/>
      <c r="I155" s="116"/>
      <c r="J155" s="116"/>
      <c r="K155" s="116"/>
    </row>
    <row r="156" spans="1:11">
      <c r="A156" s="116"/>
      <c r="B156" s="117"/>
      <c r="C156" s="116"/>
      <c r="D156" s="116"/>
      <c r="E156" s="116"/>
      <c r="F156" s="116"/>
      <c r="G156" s="116"/>
      <c r="H156" s="116"/>
      <c r="I156" s="116"/>
      <c r="J156" s="116"/>
      <c r="K156" s="116"/>
    </row>
    <row r="157" spans="1:11">
      <c r="A157" s="116"/>
      <c r="B157" s="117"/>
      <c r="C157" s="116"/>
      <c r="D157" s="116"/>
      <c r="E157" s="116"/>
      <c r="F157" s="116"/>
      <c r="G157" s="116"/>
      <c r="H157" s="116"/>
      <c r="I157" s="116"/>
      <c r="J157" s="116"/>
      <c r="K157" s="116"/>
    </row>
    <row r="158" spans="1:11">
      <c r="A158" s="116"/>
      <c r="B158" s="117"/>
      <c r="C158" s="116"/>
      <c r="D158" s="116"/>
      <c r="E158" s="116"/>
      <c r="F158" s="116"/>
      <c r="G158" s="116"/>
      <c r="H158" s="116"/>
      <c r="I158" s="116"/>
      <c r="J158" s="116"/>
      <c r="K158" s="116"/>
    </row>
    <row r="159" spans="1:11">
      <c r="A159" s="116"/>
      <c r="B159" s="117"/>
      <c r="C159" s="116"/>
      <c r="D159" s="116"/>
      <c r="E159" s="116"/>
      <c r="F159" s="116"/>
      <c r="G159" s="116"/>
      <c r="H159" s="116"/>
      <c r="I159" s="116"/>
      <c r="J159" s="116"/>
      <c r="K159" s="116"/>
    </row>
  </sheetData>
  <sheetProtection selectLockedCells="1"/>
  <mergeCells count="3">
    <mergeCell ref="A3:A4"/>
    <mergeCell ref="B3:B4"/>
    <mergeCell ref="C3:C4"/>
  </mergeCells>
  <phoneticPr fontId="30" type="noConversion"/>
  <conditionalFormatting sqref="B9:B12">
    <cfRule type="expression" dxfId="30" priority="11" stopIfTrue="1">
      <formula>AND(COUNTIF($Z$6:$Z$57, B9)+COUNTIF($N$5:$N$72, B9)&gt;1,NOT(ISBLANK(B9)))</formula>
    </cfRule>
  </conditionalFormatting>
  <conditionalFormatting sqref="B10:B11">
    <cfRule type="expression" dxfId="29" priority="9" stopIfTrue="1">
      <formula>AND(COUNTIF($N$53:$N$53, B10)&gt;1,NOT(ISBLANK(B10)))</formula>
    </cfRule>
  </conditionalFormatting>
  <conditionalFormatting sqref="B9:B12">
    <cfRule type="expression" dxfId="28" priority="5" stopIfTrue="1">
      <formula>AND(COUNTIF($Z$7:$Z$74, B9)+COUNTIF($N$6:$N$81, B9)&gt;1,NOT(ISBLANK(B9)))</formula>
    </cfRule>
  </conditionalFormatting>
  <conditionalFormatting sqref="B9:B12">
    <cfRule type="expression" dxfId="27" priority="4" stopIfTrue="1">
      <formula>AND(COUNTIF($Z$3:$Z$81, B9)+COUNTIF($N$3:$N$89, B9)&gt;1,NOT(ISBLANK(B9)))</formula>
    </cfRule>
  </conditionalFormatting>
  <conditionalFormatting sqref="B9:B12">
    <cfRule type="expression" dxfId="26" priority="3" stopIfTrue="1">
      <formula>AND(COUNTIF($Z$6:$Z$81, B9)+COUNTIF($N$5:$N$89, B9)&gt;1,NOT(ISBLANK(B9)))</formula>
    </cfRule>
  </conditionalFormatting>
  <conditionalFormatting sqref="B10:B11">
    <cfRule type="duplicateValues" dxfId="25" priority="2" stopIfTrue="1"/>
  </conditionalFormatting>
  <conditionalFormatting sqref="B9:B12">
    <cfRule type="duplicateValues" dxfId="24" priority="1"/>
  </conditionalFormatting>
  <printOptions horizontalCentered="1"/>
  <pageMargins left="0.35433070866141736" right="0.35433070866141736" top="0.59055118110236227" bottom="0.59055118110236227" header="0.51181102362204722" footer="0.51181102362204722"/>
  <pageSetup paperSize="12" orientation="portrait" horizontalDpi="4294967292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17"/>
  <sheetViews>
    <sheetView showZeros="0" workbookViewId="0">
      <pane xSplit="3" ySplit="4" topLeftCell="D32" activePane="bottomRight" state="frozen"/>
      <selection pane="topRight" activeCell="C1" sqref="C1"/>
      <selection pane="bottomLeft" activeCell="A3" sqref="A3"/>
      <selection pane="bottomRight" activeCell="O43" sqref="O43"/>
    </sheetView>
  </sheetViews>
  <sheetFormatPr defaultRowHeight="14.25"/>
  <cols>
    <col min="1" max="1" width="9" style="2"/>
    <col min="2" max="2" width="17.875" style="4" customWidth="1"/>
    <col min="3" max="3" width="9.75" style="2" customWidth="1"/>
    <col min="4" max="4" width="15.5" style="2" customWidth="1"/>
    <col min="5" max="5" width="5.5" style="2" bestFit="1" customWidth="1"/>
    <col min="6" max="6" width="13" style="2" bestFit="1" customWidth="1"/>
    <col min="7" max="7" width="6.5" style="2" bestFit="1" customWidth="1"/>
    <col min="8" max="8" width="9.625" style="2" bestFit="1" customWidth="1"/>
    <col min="9" max="9" width="6.5" style="2" bestFit="1" customWidth="1"/>
    <col min="10" max="10" width="7.5" style="2" bestFit="1" customWidth="1"/>
    <col min="11" max="11" width="6.5" style="2" bestFit="1" customWidth="1"/>
    <col min="12" max="16384" width="9" style="2"/>
  </cols>
  <sheetData>
    <row r="1" spans="1:11" ht="20.25">
      <c r="A1" s="76" t="s">
        <v>760</v>
      </c>
      <c r="B1" s="77"/>
      <c r="C1" s="76"/>
      <c r="D1" s="76"/>
      <c r="E1" s="76"/>
      <c r="F1" s="76"/>
      <c r="G1" s="76"/>
      <c r="H1" s="76"/>
      <c r="I1" s="76"/>
      <c r="J1" s="76"/>
      <c r="K1" s="76"/>
    </row>
    <row r="2" spans="1:11" ht="15" thickBot="1"/>
    <row r="3" spans="1:11" ht="12" customHeight="1">
      <c r="A3" s="294" t="s">
        <v>759</v>
      </c>
      <c r="B3" s="296" t="s">
        <v>10</v>
      </c>
      <c r="C3" s="296" t="s">
        <v>53</v>
      </c>
      <c r="D3" s="99" t="s">
        <v>15</v>
      </c>
      <c r="E3" s="99" t="s">
        <v>15</v>
      </c>
      <c r="F3" s="99" t="s">
        <v>388</v>
      </c>
      <c r="G3" s="99" t="s">
        <v>388</v>
      </c>
      <c r="H3" s="99" t="s">
        <v>389</v>
      </c>
      <c r="I3" s="99" t="s">
        <v>389</v>
      </c>
      <c r="J3" s="99" t="s">
        <v>390</v>
      </c>
      <c r="K3" s="73" t="s">
        <v>390</v>
      </c>
    </row>
    <row r="4" spans="1:11" ht="38.25" customHeight="1" thickBot="1">
      <c r="A4" s="295"/>
      <c r="B4" s="288"/>
      <c r="C4" s="288"/>
      <c r="D4" s="98" t="s">
        <v>10</v>
      </c>
      <c r="E4" s="74" t="s">
        <v>22</v>
      </c>
      <c r="F4" s="74" t="s">
        <v>10</v>
      </c>
      <c r="G4" s="74" t="s">
        <v>22</v>
      </c>
      <c r="H4" s="74" t="s">
        <v>10</v>
      </c>
      <c r="I4" s="74" t="s">
        <v>22</v>
      </c>
      <c r="J4" s="74" t="s">
        <v>10</v>
      </c>
      <c r="K4" s="75" t="s">
        <v>22</v>
      </c>
    </row>
    <row r="5" spans="1:11">
      <c r="A5" s="68"/>
      <c r="B5" s="60" t="s">
        <v>1010</v>
      </c>
      <c r="C5" s="65">
        <v>50</v>
      </c>
      <c r="D5" s="37" t="str">
        <f>IFERROR(VLOOKUP($B5,凉菜定价,COLUMNS(凉菜成本核算!$B$3:$D$3),0),"")</f>
        <v>东北黑木耳</v>
      </c>
      <c r="E5" s="37">
        <f>IFERROR(VLOOKUP($B5,凉菜定价,COLUMNS(凉菜成本核算!$B$3:E$3),0)*$C5/VLOOKUP($B5,凉菜定价,COLUMNS(凉菜成本核算!$B$3:$C$3),0),"")</f>
        <v>3.3333333333333335</v>
      </c>
      <c r="F5" s="37" t="str">
        <f>IFERROR(VLOOKUP($B5,凉菜定价,COLUMNS(凉菜成本核算!$B$3:$F$3),0),"")</f>
        <v>红椒</v>
      </c>
      <c r="G5" s="37">
        <f>IFERROR(VLOOKUP($B5,凉菜定价,COLUMNS(凉菜成本核算!$B$3:G$3),0)*$C5/VLOOKUP($B5,凉菜定价,COLUMNS(凉菜成本核算!$B$3:$C$3),0),"")</f>
        <v>3.3333333333333335</v>
      </c>
      <c r="H5" s="37" t="str">
        <f>IFERROR(VLOOKUP($B5,凉菜定价,COLUMNS(凉菜成本核算!$B$3:$H$3),0),"")</f>
        <v>香菜</v>
      </c>
      <c r="I5" s="37" t="str">
        <f>IFERROR(VLOOKUP($B5,凉菜定价,COLUMNS(凉菜成本核算!$B$3:I$3),0)*$C5/VLOOKUP($B5,凉菜定价,COLUMNS(凉菜成本核算!$B$3:$C$3),0),"")</f>
        <v/>
      </c>
      <c r="J5" s="37">
        <f>IFERROR(VLOOKUP($B5,凉菜定价,COLUMNS(凉菜成本核算!$B$3:$J$3),0),"")</f>
        <v>0</v>
      </c>
      <c r="K5" s="69">
        <f>IFERROR(VLOOKUP($B5,凉菜定价,COLUMNS(凉菜成本核算!$B$3:K$3),0)*$C5/VLOOKUP($B5,凉菜定价,COLUMNS(凉菜成本核算!$B$3:$C$3),0),"")</f>
        <v>0</v>
      </c>
    </row>
    <row r="6" spans="1:11">
      <c r="A6" s="68"/>
      <c r="B6" s="61" t="s">
        <v>1011</v>
      </c>
      <c r="C6" s="65">
        <v>60</v>
      </c>
      <c r="D6" s="37" t="str">
        <f>IFERROR(VLOOKUP($B6,凉菜定价,COLUMNS(凉菜成本核算!$B$3:$D$3),0),"")</f>
        <v>长茄</v>
      </c>
      <c r="E6" s="37">
        <f>IFERROR(VLOOKUP($B6,凉菜定价,COLUMNS(凉菜成本核算!$B$3:E$3),0)*$C6/VLOOKUP($B6,凉菜定价,COLUMNS(凉菜成本核算!$B$3:$C$3),0),"")</f>
        <v>36</v>
      </c>
      <c r="F6" s="37" t="str">
        <f>IFERROR(VLOOKUP($B6,凉菜定价,COLUMNS(凉菜成本核算!$B$3:$F$3),0),"")</f>
        <v>蒜子</v>
      </c>
      <c r="G6" s="37">
        <f>IFERROR(VLOOKUP($B6,凉菜定价,COLUMNS(凉菜成本核算!$B$3:G$3),0)*$C6/VLOOKUP($B6,凉菜定价,COLUMNS(凉菜成本核算!$B$3:$C$3),0),"")</f>
        <v>1.5</v>
      </c>
      <c r="H6" s="37" t="str">
        <f>IFERROR(VLOOKUP($B6,凉菜定价,COLUMNS(凉菜成本核算!$B$3:$H$3),0),"")</f>
        <v>红椒</v>
      </c>
      <c r="I6" s="37">
        <f>IFERROR(VLOOKUP($B6,凉菜定价,COLUMNS(凉菜成本核算!$B$3:I$3),0)*$C6/VLOOKUP($B6,凉菜定价,COLUMNS(凉菜成本核算!$B$3:$C$3),0),"")</f>
        <v>1.5</v>
      </c>
      <c r="J6" s="37" t="str">
        <f>IFERROR(VLOOKUP($B6,凉菜定价,COLUMNS(凉菜成本核算!$B$3:$J$3),0),"")</f>
        <v>香菜</v>
      </c>
      <c r="K6" s="69">
        <f>IFERROR(VLOOKUP($B6,凉菜定价,COLUMNS(凉菜成本核算!$B$3:K$3),0)*$C6/VLOOKUP($B6,凉菜定价,COLUMNS(凉菜成本核算!$B$3:$C$3),0),"")</f>
        <v>1.5</v>
      </c>
    </row>
    <row r="7" spans="1:11">
      <c r="A7" s="68"/>
      <c r="B7" s="61" t="s">
        <v>1012</v>
      </c>
      <c r="C7" s="65">
        <v>50</v>
      </c>
      <c r="D7" s="37" t="str">
        <f>IFERROR(VLOOKUP($B7,凉菜定价,COLUMNS(凉菜成本核算!$B$3:$D$3),0),"")</f>
        <v>豆腐丝</v>
      </c>
      <c r="E7" s="37">
        <f>IFERROR(VLOOKUP($B7,凉菜定价,COLUMNS(凉菜成本核算!$B$3:E$3),0)*$C7/VLOOKUP($B7,凉菜定价,COLUMNS(凉菜成本核算!$B$3:$C$3),0),"")</f>
        <v>30</v>
      </c>
      <c r="F7" s="37" t="str">
        <f>IFERROR(VLOOKUP($B7,凉菜定价,COLUMNS(凉菜成本核算!$B$3:$F$3),0),"")</f>
        <v>香菜</v>
      </c>
      <c r="G7" s="37">
        <f>IFERROR(VLOOKUP($B7,凉菜定价,COLUMNS(凉菜成本核算!$B$3:G$3),0)*$C7/VLOOKUP($B7,凉菜定价,COLUMNS(凉菜成本核算!$B$3:$C$3),0),"")</f>
        <v>1.6666666666666667</v>
      </c>
      <c r="H7" s="37" t="str">
        <f>IFERROR(VLOOKUP($B7,凉菜定价,COLUMNS(凉菜成本核算!$B$3:$H$3),0),"")</f>
        <v>大葱</v>
      </c>
      <c r="I7" s="37">
        <f>IFERROR(VLOOKUP($B7,凉菜定价,COLUMNS(凉菜成本核算!$B$3:I$3),0)*$C7/VLOOKUP($B7,凉菜定价,COLUMNS(凉菜成本核算!$B$3:$C$3),0),"")</f>
        <v>3.3333333333333335</v>
      </c>
      <c r="J7" s="37">
        <f>IFERROR(VLOOKUP($B7,凉菜定价,COLUMNS(凉菜成本核算!$B$3:$J$3),0),"")</f>
        <v>0</v>
      </c>
      <c r="K7" s="69">
        <f>IFERROR(VLOOKUP($B7,凉菜定价,COLUMNS(凉菜成本核算!$B$3:K$3),0)*$C7/VLOOKUP($B7,凉菜定价,COLUMNS(凉菜成本核算!$B$3:$C$3),0),"")</f>
        <v>0</v>
      </c>
    </row>
    <row r="8" spans="1:11">
      <c r="A8" s="68"/>
      <c r="B8" s="61" t="s">
        <v>1013</v>
      </c>
      <c r="C8" s="65">
        <v>40</v>
      </c>
      <c r="D8" s="37" t="str">
        <f>IFERROR(VLOOKUP($B8,凉菜定价,COLUMNS(凉菜成本核算!$B$3:$D$3),0),"")</f>
        <v>花生米</v>
      </c>
      <c r="E8" s="37">
        <f>IFERROR(VLOOKUP($B8,凉菜定价,COLUMNS(凉菜成本核算!$B$3:E$3),0)*$C8/VLOOKUP($B8,凉菜定价,COLUMNS(凉菜成本核算!$B$3:$C$3),0),"")</f>
        <v>16</v>
      </c>
      <c r="F8" s="37" t="str">
        <f>IFERROR(VLOOKUP($B8,凉菜定价,COLUMNS(凉菜成本核算!$B$3:$F$3),0),"")</f>
        <v>胡萝卜</v>
      </c>
      <c r="G8" s="37">
        <f>IFERROR(VLOOKUP($B8,凉菜定价,COLUMNS(凉菜成本核算!$B$3:G$3),0)*$C8/VLOOKUP($B8,凉菜定价,COLUMNS(凉菜成本核算!$B$3:$C$3),0),"")</f>
        <v>4</v>
      </c>
      <c r="H8" s="37" t="str">
        <f>IFERROR(VLOOKUP($B8,凉菜定价,COLUMNS(凉菜成本核算!$B$3:$H$3),0),"")</f>
        <v>芹菜</v>
      </c>
      <c r="I8" s="37">
        <f>IFERROR(VLOOKUP($B8,凉菜定价,COLUMNS(凉菜成本核算!$B$3:I$3),0)*$C8/VLOOKUP($B8,凉菜定价,COLUMNS(凉菜成本核算!$B$3:$C$3),0),"")</f>
        <v>4</v>
      </c>
      <c r="J8" s="37">
        <f>IFERROR(VLOOKUP($B8,凉菜定价,COLUMNS(凉菜成本核算!$B$3:$J$3),0),"")</f>
        <v>0</v>
      </c>
      <c r="K8" s="69">
        <f>IFERROR(VLOOKUP($B8,凉菜定价,COLUMNS(凉菜成本核算!$B$3:K$3),0)*$C8/VLOOKUP($B8,凉菜定价,COLUMNS(凉菜成本核算!$B$3:$C$3),0),"")</f>
        <v>0</v>
      </c>
    </row>
    <row r="9" spans="1:11">
      <c r="A9" s="68"/>
      <c r="B9" s="61" t="s">
        <v>1014</v>
      </c>
      <c r="C9" s="65">
        <v>60</v>
      </c>
      <c r="D9" s="37" t="str">
        <f>IFERROR(VLOOKUP($B9,凉菜定价,COLUMNS(凉菜成本核算!$B$3:$D$3),0),"")</f>
        <v>黄瓜</v>
      </c>
      <c r="E9" s="37">
        <f>IFERROR(VLOOKUP($B9,凉菜定价,COLUMNS(凉菜成本核算!$B$3:E$3),0)*$C9/VLOOKUP($B9,凉菜定价,COLUMNS(凉菜成本核算!$B$3:$C$3),0),"")</f>
        <v>36</v>
      </c>
      <c r="F9" s="37" t="str">
        <f>IFERROR(VLOOKUP($B9,凉菜定价,COLUMNS(凉菜成本核算!$B$3:$F$3),0),"")</f>
        <v>蒜子</v>
      </c>
      <c r="G9" s="37">
        <f>IFERROR(VLOOKUP($B9,凉菜定价,COLUMNS(凉菜成本核算!$B$3:G$3),0)*$C9/VLOOKUP($B9,凉菜定价,COLUMNS(凉菜成本核算!$B$3:$C$3),0),"")</f>
        <v>0.9</v>
      </c>
      <c r="H9" s="37">
        <f>IFERROR(VLOOKUP($B9,凉菜定价,COLUMNS(凉菜成本核算!$B$3:$H$3),0),"")</f>
        <v>0</v>
      </c>
      <c r="I9" s="37">
        <f>IFERROR(VLOOKUP($B9,凉菜定价,COLUMNS(凉菜成本核算!$B$3:I$3),0)*$C9/VLOOKUP($B9,凉菜定价,COLUMNS(凉菜成本核算!$B$3:$C$3),0),"")</f>
        <v>0</v>
      </c>
      <c r="J9" s="37">
        <f>IFERROR(VLOOKUP($B9,凉菜定价,COLUMNS(凉菜成本核算!$B$3:$J$3),0),"")</f>
        <v>0</v>
      </c>
      <c r="K9" s="69">
        <f>IFERROR(VLOOKUP($B9,凉菜定价,COLUMNS(凉菜成本核算!$B$3:K$3),0)*$C9/VLOOKUP($B9,凉菜定价,COLUMNS(凉菜成本核算!$B$3:$C$3),0),"")</f>
        <v>0</v>
      </c>
    </row>
    <row r="10" spans="1:11" ht="71.25">
      <c r="A10" s="68"/>
      <c r="B10" s="61" t="s">
        <v>1015</v>
      </c>
      <c r="C10" s="65">
        <v>20</v>
      </c>
      <c r="D10" s="37" t="str">
        <f>IFERROR(VLOOKUP($B10,凉菜定价,COLUMNS(凉菜成本核算!$B$3:$D$3),0),"")</f>
        <v>凉粉</v>
      </c>
      <c r="E10" s="37">
        <f>IFERROR(VLOOKUP($B10,凉菜定价,COLUMNS(凉菜成本核算!$B$3:E$3),0)*$C10/VLOOKUP($B10,凉菜定价,COLUMNS(凉菜成本核算!$B$3:$C$3),0),"")</f>
        <v>12</v>
      </c>
      <c r="F10" s="37" t="str">
        <f>IFERROR(VLOOKUP($B10,凉菜定价,COLUMNS(凉菜成本核算!$B$3:$F$3),0),"")</f>
        <v>小米椒</v>
      </c>
      <c r="G10" s="37">
        <f>IFERROR(VLOOKUP($B10,凉菜定价,COLUMNS(凉菜成本核算!$B$3:G$3),0)*$C10/VLOOKUP($B10,凉菜定价,COLUMNS(凉菜成本核算!$B$3:$C$3),0),"")</f>
        <v>0.53333333333333333</v>
      </c>
      <c r="H10" s="37" t="str">
        <f>IFERROR(VLOOKUP($B10,凉菜定价,COLUMNS(凉菜成本核算!$B$3:$H$3),0),"")</f>
        <v>陶华碧老干妈风味豆豉油质辣椒1*24*280g</v>
      </c>
      <c r="I10" s="37" t="str">
        <f>IFERROR(VLOOKUP($B10,凉菜定价,COLUMNS(凉菜成本核算!$B$3:I$3),0)*$C10/VLOOKUP($B10,凉菜定价,COLUMNS(凉菜成本核算!$B$3:$C$3),0),"")</f>
        <v/>
      </c>
      <c r="J10" s="37" t="str">
        <f>IFERROR(VLOOKUP($B10,凉菜定价,COLUMNS(凉菜成本核算!$B$3:$J$3),0),"")</f>
        <v>辣椒酱(湘辣王)1*24*248g</v>
      </c>
      <c r="K10" s="69">
        <f>IFERROR(VLOOKUP($B10,凉菜定价,COLUMNS(凉菜成本核算!$B$3:K$3),0)*$C10/VLOOKUP($B10,凉菜定价,COLUMNS(凉菜成本核算!$B$3:$C$3),0),"")</f>
        <v>1.3333333333333333</v>
      </c>
    </row>
    <row r="11" spans="1:11">
      <c r="A11" s="68" t="s">
        <v>1176</v>
      </c>
      <c r="B11" s="61" t="s">
        <v>1177</v>
      </c>
      <c r="C11" s="65">
        <v>50</v>
      </c>
      <c r="D11" s="37" t="str">
        <f>IFERROR(VLOOKUP($B11,凉菜定价,COLUMNS(凉菜成本核算!$B$3:$D$3),0),"")</f>
        <v>咸菜头</v>
      </c>
      <c r="E11" s="37">
        <v>15</v>
      </c>
      <c r="F11" s="37">
        <f>IFERROR(VLOOKUP($B11,凉菜定价,COLUMNS(凉菜成本核算!$B$3:$F$3),0),"")</f>
        <v>0</v>
      </c>
      <c r="G11" s="37">
        <f>IFERROR(VLOOKUP($B11,凉菜定价,COLUMNS(凉菜成本核算!$B$3:G$3),0)*$C11/VLOOKUP($B11,凉菜定价,COLUMNS(凉菜成本核算!$B$3:$C$3),0),"")</f>
        <v>0</v>
      </c>
      <c r="H11" s="37">
        <f>IFERROR(VLOOKUP($B11,凉菜定价,COLUMNS(凉菜成本核算!$B$3:$H$3),0),"")</f>
        <v>0</v>
      </c>
      <c r="I11" s="37">
        <f>IFERROR(VLOOKUP($B11,凉菜定价,COLUMNS(凉菜成本核算!$B$3:I$3),0)*$C11/VLOOKUP($B11,凉菜定价,COLUMNS(凉菜成本核算!$B$3:$C$3),0),"")</f>
        <v>0</v>
      </c>
      <c r="J11" s="37">
        <f>IFERROR(VLOOKUP($B11,凉菜定价,COLUMNS(凉菜成本核算!$B$3:$J$3),0),"")</f>
        <v>0</v>
      </c>
      <c r="K11" s="69">
        <f>IFERROR(VLOOKUP($B11,凉菜定价,COLUMNS(凉菜成本核算!$B$3:K$3),0)*$C11/VLOOKUP($B11,凉菜定价,COLUMNS(凉菜成本核算!$B$3:$C$3),0),"")</f>
        <v>0</v>
      </c>
    </row>
    <row r="12" spans="1:11">
      <c r="A12" s="68"/>
      <c r="B12" s="61" t="s">
        <v>1178</v>
      </c>
      <c r="C12" s="65"/>
      <c r="D12" s="37" t="str">
        <f>IFERROR(VLOOKUP($B12,凉菜定价,COLUMNS(凉菜成本核算!$B$3:$D$3),0),"")</f>
        <v>酱豆腐</v>
      </c>
      <c r="E12" s="37">
        <f>IFERROR(VLOOKUP($B12,凉菜定价,COLUMNS(凉菜成本核算!$B$3:E$3),0)*$C12/VLOOKUP($B12,凉菜定价,COLUMNS(凉菜成本核算!$B$3:$C$3),0),"")</f>
        <v>0</v>
      </c>
      <c r="F12" s="37">
        <f>IFERROR(VLOOKUP($B12,凉菜定价,COLUMNS(凉菜成本核算!$B$3:$F$3),0),"")</f>
        <v>0</v>
      </c>
      <c r="G12" s="37">
        <f>IFERROR(VLOOKUP($B12,凉菜定价,COLUMNS(凉菜成本核算!$B$3:G$3),0)*$C12/VLOOKUP($B12,凉菜定价,COLUMNS(凉菜成本核算!$B$3:$C$3),0),"")</f>
        <v>0</v>
      </c>
      <c r="H12" s="37">
        <f>IFERROR(VLOOKUP($B12,凉菜定价,COLUMNS(凉菜成本核算!$B$3:$H$3),0),"")</f>
        <v>0</v>
      </c>
      <c r="I12" s="37">
        <f>IFERROR(VLOOKUP($B12,凉菜定价,COLUMNS(凉菜成本核算!$B$3:I$3),0)*$C12/VLOOKUP($B12,凉菜定价,COLUMNS(凉菜成本核算!$B$3:$C$3),0),"")</f>
        <v>0</v>
      </c>
      <c r="J12" s="37">
        <f>IFERROR(VLOOKUP($B12,凉菜定价,COLUMNS(凉菜成本核算!$B$3:$J$3),0),"")</f>
        <v>0</v>
      </c>
      <c r="K12" s="69">
        <f>IFERROR(VLOOKUP($B12,凉菜定价,COLUMNS(凉菜成本核算!$B$3:K$3),0)*$C12/VLOOKUP($B12,凉菜定价,COLUMNS(凉菜成本核算!$B$3:$C$3),0),"")</f>
        <v>0</v>
      </c>
    </row>
    <row r="13" spans="1:11">
      <c r="A13" s="70"/>
      <c r="B13" s="66" t="s">
        <v>1179</v>
      </c>
      <c r="C13" s="65">
        <v>60</v>
      </c>
      <c r="D13" s="18" t="s">
        <v>1180</v>
      </c>
      <c r="E13" s="37">
        <v>25</v>
      </c>
      <c r="F13" s="18" t="s">
        <v>1181</v>
      </c>
      <c r="G13" s="37">
        <v>0.5</v>
      </c>
      <c r="H13" s="18" t="s">
        <v>1182</v>
      </c>
      <c r="I13" s="37">
        <v>0.5</v>
      </c>
      <c r="J13" s="37">
        <f>IFERROR(VLOOKUP($B13,凉菜定价,COLUMNS(凉菜成本核算!$B$3:$J$3),0),"")</f>
        <v>0</v>
      </c>
      <c r="K13" s="69">
        <f>IFERROR(VLOOKUP($B13,凉菜定价,COLUMNS(凉菜成本核算!$B$3:K$3),0)*$C13/VLOOKUP($B13,凉菜定价,COLUMNS(凉菜成本核算!$B$3:$C$3),0),"")</f>
        <v>0</v>
      </c>
    </row>
    <row r="14" spans="1:11" s="3" customFormat="1">
      <c r="A14" s="70"/>
      <c r="B14" s="66" t="s">
        <v>1183</v>
      </c>
      <c r="C14" s="65">
        <v>80</v>
      </c>
      <c r="D14" s="37" t="str">
        <f>IFERROR(VLOOKUP($B14,凉菜定价,COLUMNS(凉菜成本核算!$B$3:$D$3),0),"")</f>
        <v>黄瓜</v>
      </c>
      <c r="E14" s="37">
        <v>30</v>
      </c>
      <c r="F14" s="37"/>
      <c r="G14" s="37"/>
      <c r="H14" s="37">
        <f>IFERROR(VLOOKUP($B14,凉菜定价,COLUMNS(凉菜成本核算!$B$3:$H$3),0),"")</f>
        <v>0</v>
      </c>
      <c r="I14" s="37">
        <f>IFERROR(VLOOKUP($B14,凉菜定价,COLUMNS(凉菜成本核算!$B$3:I$3),0)*$C14/VLOOKUP($B14,凉菜定价,COLUMNS(凉菜成本核算!$B$3:$C$3),0),"")</f>
        <v>0</v>
      </c>
      <c r="J14" s="37">
        <f>IFERROR(VLOOKUP($B14,凉菜定价,COLUMNS(凉菜成本核算!$B$3:$J$3),0),"")</f>
        <v>0</v>
      </c>
      <c r="K14" s="69">
        <f>IFERROR(VLOOKUP($B14,凉菜定价,COLUMNS(凉菜成本核算!$B$3:K$3),0)*$C14/VLOOKUP($B14,凉菜定价,COLUMNS(凉菜成本核算!$B$3:$C$3),0),"")</f>
        <v>0</v>
      </c>
    </row>
    <row r="15" spans="1:11">
      <c r="A15" s="70"/>
      <c r="B15" s="66" t="s">
        <v>1184</v>
      </c>
      <c r="C15" s="65">
        <v>70</v>
      </c>
      <c r="D15" s="37" t="str">
        <f>IFERROR(VLOOKUP($B15,凉菜定价,COLUMNS(凉菜成本核算!$B$3:$D$3),0),"")</f>
        <v>花生米</v>
      </c>
      <c r="E15" s="37">
        <v>5</v>
      </c>
      <c r="F15" s="37" t="str">
        <f>IFERROR(VLOOKUP($B15,凉菜定价,COLUMNS(凉菜成本核算!$B$3:$F$3),0),"")</f>
        <v>胡萝卜</v>
      </c>
      <c r="G15" s="37">
        <v>3</v>
      </c>
      <c r="H15" s="18" t="s">
        <v>1185</v>
      </c>
      <c r="I15" s="37">
        <v>3</v>
      </c>
      <c r="J15" s="37">
        <f>IFERROR(VLOOKUP($B15,凉菜定价,COLUMNS(凉菜成本核算!$B$3:$J$3),0),"")</f>
        <v>0</v>
      </c>
      <c r="K15" s="69">
        <f>IFERROR(VLOOKUP($B15,凉菜定价,COLUMNS(凉菜成本核算!$B$3:K$3),0)*$C15/VLOOKUP($B15,凉菜定价,COLUMNS(凉菜成本核算!$B$3:$C$3),0),"")</f>
        <v>0</v>
      </c>
    </row>
    <row r="16" spans="1:11">
      <c r="A16" s="70"/>
      <c r="B16" s="65"/>
      <c r="C16" s="65"/>
      <c r="D16" s="37" t="str">
        <f>IFERROR(VLOOKUP($B16,凉菜定价,COLUMNS(凉菜成本核算!$B$3:$D$3),0),"")</f>
        <v/>
      </c>
      <c r="E16" s="37" t="str">
        <f>IFERROR(VLOOKUP($B16,凉菜定价,COLUMNS(凉菜成本核算!$B$3:E$3),0)*$C16/VLOOKUP($B16,凉菜定价,COLUMNS(凉菜成本核算!$B$3:$C$3),0),"")</f>
        <v/>
      </c>
      <c r="F16" s="37" t="str">
        <f>IFERROR(VLOOKUP($B16,凉菜定价,COLUMNS(凉菜成本核算!$B$3:$F$3),0),"")</f>
        <v/>
      </c>
      <c r="G16" s="37" t="str">
        <f>IFERROR(VLOOKUP($B16,凉菜定价,COLUMNS(凉菜成本核算!$B$3:G$3),0)*$C16/VLOOKUP($B16,凉菜定价,COLUMNS(凉菜成本核算!$B$3:$C$3),0),"")</f>
        <v/>
      </c>
      <c r="H16" s="37" t="str">
        <f>IFERROR(VLOOKUP($B16,凉菜定价,COLUMNS(凉菜成本核算!$B$3:$H$3),0),"")</f>
        <v/>
      </c>
      <c r="I16" s="37" t="str">
        <f>IFERROR(VLOOKUP($B16,凉菜定价,COLUMNS(凉菜成本核算!$B$3:I$3),0)*$C16/VLOOKUP($B16,凉菜定价,COLUMNS(凉菜成本核算!$B$3:$C$3),0),"")</f>
        <v/>
      </c>
      <c r="J16" s="37" t="str">
        <f>IFERROR(VLOOKUP($B16,凉菜定价,COLUMNS(凉菜成本核算!$B$3:$J$3),0),"")</f>
        <v/>
      </c>
      <c r="K16" s="69" t="str">
        <f>IFERROR(VLOOKUP($B16,凉菜定价,COLUMNS(凉菜成本核算!$B$3:K$3),0)*$C16/VLOOKUP($B16,凉菜定价,COLUMNS(凉菜成本核算!$B$3:$C$3),0),"")</f>
        <v/>
      </c>
    </row>
    <row r="17" spans="1:11">
      <c r="A17" s="70" t="s">
        <v>1187</v>
      </c>
      <c r="B17" s="66" t="s">
        <v>1188</v>
      </c>
      <c r="C17" s="65">
        <v>15</v>
      </c>
      <c r="D17" s="18" t="s">
        <v>1189</v>
      </c>
      <c r="E17" s="37">
        <v>15</v>
      </c>
      <c r="F17" s="18" t="s">
        <v>1190</v>
      </c>
      <c r="G17" s="37">
        <v>3</v>
      </c>
      <c r="H17" s="18" t="s">
        <v>1191</v>
      </c>
      <c r="I17" s="37">
        <v>1</v>
      </c>
      <c r="J17" s="37" t="str">
        <f>IFERROR(VLOOKUP($B17,凉菜定价,COLUMNS(凉菜成本核算!$B$3:$J$3),0),"")</f>
        <v/>
      </c>
      <c r="K17" s="69" t="str">
        <f>IFERROR(VLOOKUP($B17,凉菜定价,COLUMNS(凉菜成本核算!$B$3:K$3),0)*$C17/VLOOKUP($B17,凉菜定价,COLUMNS(凉菜成本核算!$B$3:$C$3),0),"")</f>
        <v/>
      </c>
    </row>
    <row r="18" spans="1:11">
      <c r="A18" s="70"/>
      <c r="B18" s="66" t="s">
        <v>1192</v>
      </c>
      <c r="C18" s="65">
        <v>15</v>
      </c>
      <c r="D18" s="18" t="s">
        <v>1193</v>
      </c>
      <c r="E18" s="37">
        <v>0.5</v>
      </c>
      <c r="F18" s="18" t="s">
        <v>1194</v>
      </c>
      <c r="G18" s="37">
        <v>2</v>
      </c>
      <c r="H18" s="18" t="s">
        <v>1181</v>
      </c>
      <c r="I18" s="37">
        <v>0.3</v>
      </c>
      <c r="J18" s="37" t="str">
        <f>IFERROR(VLOOKUP($B18,凉菜定价,COLUMNS(凉菜成本核算!$B$3:$J$3),0),"")</f>
        <v/>
      </c>
      <c r="K18" s="69" t="str">
        <f>IFERROR(VLOOKUP($B18,凉菜定价,COLUMNS(凉菜成本核算!$B$3:K$3),0)*$C18/VLOOKUP($B18,凉菜定价,COLUMNS(凉菜成本核算!$B$3:$C$3),0),"")</f>
        <v/>
      </c>
    </row>
    <row r="19" spans="1:11">
      <c r="A19" s="70"/>
      <c r="B19" s="66" t="s">
        <v>1195</v>
      </c>
      <c r="C19" s="65">
        <v>10</v>
      </c>
      <c r="D19" s="37" t="str">
        <f>IFERROR(VLOOKUP($B19,凉菜定价,COLUMNS(凉菜成本核算!$B$3:$D$3),0),"")</f>
        <v>蕨根粉</v>
      </c>
      <c r="E19" s="37">
        <v>3</v>
      </c>
      <c r="F19" s="37" t="str">
        <f>IFERROR(VLOOKUP($B19,凉菜定价,COLUMNS(凉菜成本核算!$B$3:$F$3),0),"")</f>
        <v>小米椒</v>
      </c>
      <c r="G19" s="37">
        <v>0.3</v>
      </c>
      <c r="H19" s="37" t="str">
        <f>IFERROR(VLOOKUP($B19,凉菜定价,COLUMNS(凉菜成本核算!$B$3:$H$3),0),"")</f>
        <v>香菜</v>
      </c>
      <c r="I19" s="37">
        <f>IFERROR(VLOOKUP($B19,凉菜定价,COLUMNS(凉菜成本核算!$B$3:I$3),0)*$C19/VLOOKUP($B19,凉菜定价,COLUMNS(凉菜成本核算!$B$3:$C$3),0),"")</f>
        <v>0.15</v>
      </c>
      <c r="J19" s="37">
        <f>IFERROR(VLOOKUP($B19,凉菜定价,COLUMNS(凉菜成本核算!$B$3:$J$3),0),"")</f>
        <v>0</v>
      </c>
      <c r="K19" s="69">
        <f>IFERROR(VLOOKUP($B19,凉菜定价,COLUMNS(凉菜成本核算!$B$3:K$3),0)*$C19/VLOOKUP($B19,凉菜定价,COLUMNS(凉菜成本核算!$B$3:$C$3),0),"")</f>
        <v>0</v>
      </c>
    </row>
    <row r="20" spans="1:11">
      <c r="A20" s="70"/>
      <c r="B20" s="66" t="s">
        <v>1196</v>
      </c>
      <c r="C20" s="65">
        <v>10</v>
      </c>
      <c r="D20" s="37" t="str">
        <f>IFERROR(VLOOKUP($B20,凉菜定价,COLUMNS(凉菜成本核算!$B$3:$D$3),0),"")</f>
        <v>西芹</v>
      </c>
      <c r="E20" s="37">
        <v>3</v>
      </c>
      <c r="F20" s="37" t="str">
        <f>IFERROR(VLOOKUP($B20,凉菜定价,COLUMNS(凉菜成本核算!$B$3:$F$3),0),"")</f>
        <v>百合</v>
      </c>
      <c r="G20" s="37">
        <v>3</v>
      </c>
      <c r="H20" s="18" t="s">
        <v>1190</v>
      </c>
      <c r="I20" s="37">
        <v>2</v>
      </c>
      <c r="J20" s="37">
        <f>IFERROR(VLOOKUP($B20,凉菜定价,COLUMNS(凉菜成本核算!$B$3:$J$3),0),"")</f>
        <v>0</v>
      </c>
      <c r="K20" s="69">
        <f>IFERROR(VLOOKUP($B20,凉菜定价,COLUMNS(凉菜成本核算!$B$3:K$3),0)*$C20/VLOOKUP($B20,凉菜定价,COLUMNS(凉菜成本核算!$B$3:$C$3),0),"")</f>
        <v>0</v>
      </c>
    </row>
    <row r="21" spans="1:11">
      <c r="A21" s="70"/>
      <c r="B21" s="66" t="s">
        <v>1197</v>
      </c>
      <c r="C21" s="65">
        <v>10</v>
      </c>
      <c r="D21" s="18" t="s">
        <v>1198</v>
      </c>
      <c r="E21" s="37">
        <v>10</v>
      </c>
      <c r="F21" s="18" t="s">
        <v>1199</v>
      </c>
      <c r="G21" s="37">
        <v>2</v>
      </c>
      <c r="H21" s="37">
        <f>IFERROR(VLOOKUP($B21,凉菜定价,COLUMNS(凉菜成本核算!$B$3:$H$3),0),"")</f>
        <v>0</v>
      </c>
      <c r="I21" s="37">
        <f>IFERROR(VLOOKUP($B21,凉菜定价,COLUMNS(凉菜成本核算!$B$3:I$3),0)*$C21/VLOOKUP($B21,凉菜定价,COLUMNS(凉菜成本核算!$B$3:$C$3),0),"")</f>
        <v>0</v>
      </c>
      <c r="J21" s="37">
        <f>IFERROR(VLOOKUP($B21,凉菜定价,COLUMNS(凉菜成本核算!$B$3:$J$3),0),"")</f>
        <v>0</v>
      </c>
      <c r="K21" s="69">
        <f>IFERROR(VLOOKUP($B21,凉菜定价,COLUMNS(凉菜成本核算!$B$3:K$3),0)*$C21/VLOOKUP($B21,凉菜定价,COLUMNS(凉菜成本核算!$B$3:$C$3),0),"")</f>
        <v>0</v>
      </c>
    </row>
    <row r="22" spans="1:11">
      <c r="A22" s="70"/>
      <c r="B22" s="65"/>
      <c r="C22" s="65"/>
      <c r="D22" s="37" t="str">
        <f>IFERROR(VLOOKUP($B22,凉菜定价,COLUMNS(凉菜成本核算!$B$3:$D$3),0),"")</f>
        <v/>
      </c>
      <c r="E22" s="37" t="str">
        <f>IFERROR(VLOOKUP($B22,凉菜定价,COLUMNS(凉菜成本核算!$B$3:E$3),0)*$C22/VLOOKUP($B22,凉菜定价,COLUMNS(凉菜成本核算!$B$3:$C$3),0),"")</f>
        <v/>
      </c>
      <c r="F22" s="37" t="str">
        <f>IFERROR(VLOOKUP($B22,凉菜定价,COLUMNS(凉菜成本核算!$B$3:$F$3),0),"")</f>
        <v/>
      </c>
      <c r="G22" s="37" t="str">
        <f>IFERROR(VLOOKUP($B22,凉菜定价,COLUMNS(凉菜成本核算!$B$3:G$3),0)*$C22/VLOOKUP($B22,凉菜定价,COLUMNS(凉菜成本核算!$B$3:$C$3),0),"")</f>
        <v/>
      </c>
      <c r="H22" s="37" t="str">
        <f>IFERROR(VLOOKUP($B22,凉菜定价,COLUMNS(凉菜成本核算!$B$3:$H$3),0),"")</f>
        <v/>
      </c>
      <c r="I22" s="37" t="str">
        <f>IFERROR(VLOOKUP($B22,凉菜定价,COLUMNS(凉菜成本核算!$B$3:I$3),0)*$C22/VLOOKUP($B22,凉菜定价,COLUMNS(凉菜成本核算!$B$3:$C$3),0),"")</f>
        <v/>
      </c>
      <c r="J22" s="37" t="str">
        <f>IFERROR(VLOOKUP($B22,凉菜定价,COLUMNS(凉菜成本核算!$B$3:$J$3),0),"")</f>
        <v/>
      </c>
      <c r="K22" s="69" t="str">
        <f>IFERROR(VLOOKUP($B22,凉菜定价,COLUMNS(凉菜成本核算!$B$3:K$3),0)*$C22/VLOOKUP($B22,凉菜定价,COLUMNS(凉菜成本核算!$B$3:$C$3),0),"")</f>
        <v/>
      </c>
    </row>
    <row r="23" spans="1:11">
      <c r="A23" s="70" t="s">
        <v>1186</v>
      </c>
      <c r="B23" s="66" t="s">
        <v>1200</v>
      </c>
      <c r="C23" s="65">
        <v>10</v>
      </c>
      <c r="D23" s="18" t="s">
        <v>1201</v>
      </c>
      <c r="E23" s="37">
        <v>6</v>
      </c>
      <c r="F23" s="18" t="s">
        <v>1181</v>
      </c>
      <c r="G23" s="37">
        <v>0.5</v>
      </c>
      <c r="H23" s="18" t="s">
        <v>1182</v>
      </c>
      <c r="I23" s="37">
        <v>0.3</v>
      </c>
      <c r="J23" s="37">
        <f>IFERROR(VLOOKUP($B23,凉菜定价,COLUMNS(凉菜成本核算!$B$3:$J$3),0),"")</f>
        <v>0</v>
      </c>
      <c r="K23" s="69">
        <f>IFERROR(VLOOKUP($B23,凉菜定价,COLUMNS(凉菜成本核算!$B$3:K$3),0)*$C23/VLOOKUP($B23,凉菜定价,COLUMNS(凉菜成本核算!$B$3:$C$3),0),"")</f>
        <v>0</v>
      </c>
    </row>
    <row r="24" spans="1:11">
      <c r="A24" s="70"/>
      <c r="B24" s="66" t="s">
        <v>1202</v>
      </c>
      <c r="C24" s="65">
        <v>10</v>
      </c>
      <c r="D24" s="18" t="s">
        <v>1203</v>
      </c>
      <c r="E24" s="37">
        <v>6</v>
      </c>
      <c r="F24" s="37">
        <f>IFERROR(VLOOKUP($B24,凉菜定价,COLUMNS(凉菜成本核算!$B$3:$F$3),0),"")</f>
        <v>0</v>
      </c>
      <c r="G24" s="37">
        <f>IFERROR(VLOOKUP($B24,凉菜定价,COLUMNS(凉菜成本核算!$B$3:G$3),0)*$C24/VLOOKUP($B24,凉菜定价,COLUMNS(凉菜成本核算!$B$3:$C$3),0),"")</f>
        <v>0</v>
      </c>
      <c r="H24" s="37">
        <f>IFERROR(VLOOKUP($B24,凉菜定价,COLUMNS(凉菜成本核算!$B$3:$H$3),0),"")</f>
        <v>0</v>
      </c>
      <c r="I24" s="37">
        <f>IFERROR(VLOOKUP($B24,凉菜定价,COLUMNS(凉菜成本核算!$B$3:I$3),0)*$C24/VLOOKUP($B24,凉菜定价,COLUMNS(凉菜成本核算!$B$3:$C$3),0),"")</f>
        <v>0</v>
      </c>
      <c r="J24" s="37">
        <f>IFERROR(VLOOKUP($B24,凉菜定价,COLUMNS(凉菜成本核算!$B$3:$J$3),0),"")</f>
        <v>0</v>
      </c>
      <c r="K24" s="69">
        <f>IFERROR(VLOOKUP($B24,凉菜定价,COLUMNS(凉菜成本核算!$B$3:K$3),0)*$C24/VLOOKUP($B24,凉菜定价,COLUMNS(凉菜成本核算!$B$3:$C$3),0),"")</f>
        <v>0</v>
      </c>
    </row>
    <row r="25" spans="1:11">
      <c r="A25" s="70"/>
      <c r="B25" s="66" t="s">
        <v>1204</v>
      </c>
      <c r="C25" s="65">
        <v>8</v>
      </c>
      <c r="D25" s="18" t="s">
        <v>1205</v>
      </c>
      <c r="E25" s="37">
        <v>4</v>
      </c>
      <c r="F25" s="18" t="s">
        <v>1206</v>
      </c>
      <c r="G25" s="37">
        <v>1</v>
      </c>
      <c r="H25" s="37">
        <f>IFERROR(VLOOKUP($B25,凉菜定价,COLUMNS(凉菜成本核算!$B$3:$H$3),0),"")</f>
        <v>0</v>
      </c>
      <c r="I25" s="37">
        <f>IFERROR(VLOOKUP($B25,凉菜定价,COLUMNS(凉菜成本核算!$B$3:I$3),0)*$C25/VLOOKUP($B25,凉菜定价,COLUMNS(凉菜成本核算!$B$3:$C$3),0),"")</f>
        <v>0</v>
      </c>
      <c r="J25" s="37">
        <f>IFERROR(VLOOKUP($B25,凉菜定价,COLUMNS(凉菜成本核算!$B$3:$J$3),0),"")</f>
        <v>0</v>
      </c>
      <c r="K25" s="69">
        <f>IFERROR(VLOOKUP($B25,凉菜定价,COLUMNS(凉菜成本核算!$B$3:K$3),0)*$C25/VLOOKUP($B25,凉菜定价,COLUMNS(凉菜成本核算!$B$3:$C$3),0),"")</f>
        <v>0</v>
      </c>
    </row>
    <row r="26" spans="1:11">
      <c r="A26" s="70"/>
      <c r="B26" s="66" t="s">
        <v>1207</v>
      </c>
      <c r="C26" s="65">
        <v>13</v>
      </c>
      <c r="D26" s="37" t="str">
        <f>IFERROR(VLOOKUP($B26,凉菜定价,COLUMNS(凉菜成本核算!$B$3:$D$3),0),"")</f>
        <v>黑豆苗</v>
      </c>
      <c r="E26" s="37">
        <v>8</v>
      </c>
      <c r="F26" s="37" t="str">
        <f>IFERROR(VLOOKUP($B26,凉菜定价,COLUMNS(凉菜成本核算!$B$3:$F$3),0),"")</f>
        <v>红椒</v>
      </c>
      <c r="G26" s="37">
        <v>0.2</v>
      </c>
      <c r="H26" s="37">
        <f>IFERROR(VLOOKUP($B26,凉菜定价,COLUMNS(凉菜成本核算!$B$3:$H$3),0),"")</f>
        <v>0</v>
      </c>
      <c r="I26" s="37">
        <f>IFERROR(VLOOKUP($B26,凉菜定价,COLUMNS(凉菜成本核算!$B$3:I$3),0)*$C26/VLOOKUP($B26,凉菜定价,COLUMNS(凉菜成本核算!$B$3:$C$3),0),"")</f>
        <v>0</v>
      </c>
      <c r="J26" s="37">
        <f>IFERROR(VLOOKUP($B26,凉菜定价,COLUMNS(凉菜成本核算!$B$3:$J$3),0),"")</f>
        <v>0</v>
      </c>
      <c r="K26" s="69">
        <f>IFERROR(VLOOKUP($B26,凉菜定价,COLUMNS(凉菜成本核算!$B$3:K$3),0)*$C26/VLOOKUP($B26,凉菜定价,COLUMNS(凉菜成本核算!$B$3:$C$3),0),"")</f>
        <v>0</v>
      </c>
    </row>
    <row r="27" spans="1:11">
      <c r="A27" s="70"/>
      <c r="B27" s="66" t="s">
        <v>1208</v>
      </c>
      <c r="C27" s="65">
        <v>7</v>
      </c>
      <c r="D27" s="18" t="s">
        <v>1209</v>
      </c>
      <c r="E27" s="37">
        <v>5</v>
      </c>
      <c r="F27" s="18" t="s">
        <v>1185</v>
      </c>
      <c r="G27" s="37">
        <v>2</v>
      </c>
      <c r="H27" s="18" t="s">
        <v>1181</v>
      </c>
      <c r="I27" s="37">
        <v>0.2</v>
      </c>
      <c r="J27" s="37">
        <f>IFERROR(VLOOKUP($B27,凉菜定价,COLUMNS(凉菜成本核算!$B$3:$J$3),0),"")</f>
        <v>0</v>
      </c>
      <c r="K27" s="69">
        <f>IFERROR(VLOOKUP($B27,凉菜定价,COLUMNS(凉菜成本核算!$B$3:K$3),0)*$C27/VLOOKUP($B27,凉菜定价,COLUMNS(凉菜成本核算!$B$3:$C$3),0),"")</f>
        <v>0</v>
      </c>
    </row>
    <row r="28" spans="1:11">
      <c r="A28" s="70"/>
      <c r="B28" s="65"/>
      <c r="C28" s="65"/>
      <c r="D28" s="37" t="str">
        <f>IFERROR(VLOOKUP($B28,凉菜定价,COLUMNS(凉菜成本核算!$B$3:$D$3),0),"")</f>
        <v/>
      </c>
      <c r="E28" s="37" t="str">
        <f>IFERROR(VLOOKUP($B28,凉菜定价,COLUMNS(凉菜成本核算!$B$3:E$3),0)*$C28/VLOOKUP($B28,凉菜定价,COLUMNS(凉菜成本核算!$B$3:$C$3),0),"")</f>
        <v/>
      </c>
      <c r="F28" s="37" t="str">
        <f>IFERROR(VLOOKUP($B28,凉菜定价,COLUMNS(凉菜成本核算!$B$3:$F$3),0),"")</f>
        <v/>
      </c>
      <c r="G28" s="37" t="str">
        <f>IFERROR(VLOOKUP($B28,凉菜定价,COLUMNS(凉菜成本核算!$B$3:G$3),0)*$C28/VLOOKUP($B28,凉菜定价,COLUMNS(凉菜成本核算!$B$3:$C$3),0),"")</f>
        <v/>
      </c>
      <c r="H28" s="37" t="str">
        <f>IFERROR(VLOOKUP($B28,凉菜定价,COLUMNS(凉菜成本核算!$B$3:$H$3),0),"")</f>
        <v/>
      </c>
      <c r="I28" s="37" t="str">
        <f>IFERROR(VLOOKUP($B28,凉菜定价,COLUMNS(凉菜成本核算!$B$3:I$3),0)*$C28/VLOOKUP($B28,凉菜定价,COLUMNS(凉菜成本核算!$B$3:$C$3),0),"")</f>
        <v/>
      </c>
      <c r="J28" s="37" t="str">
        <f>IFERROR(VLOOKUP($B28,凉菜定价,COLUMNS(凉菜成本核算!$B$3:$J$3),0),"")</f>
        <v/>
      </c>
      <c r="K28" s="69" t="str">
        <f>IFERROR(VLOOKUP($B28,凉菜定价,COLUMNS(凉菜成本核算!$B$3:K$3),0)*$C28/VLOOKUP($B28,凉菜定价,COLUMNS(凉菜成本核算!$B$3:$C$3),0),"")</f>
        <v/>
      </c>
    </row>
    <row r="29" spans="1:11">
      <c r="A29" s="70" t="s">
        <v>1210</v>
      </c>
      <c r="B29" s="66" t="s">
        <v>1211</v>
      </c>
      <c r="C29" s="65">
        <v>50</v>
      </c>
      <c r="D29" s="18" t="s">
        <v>1212</v>
      </c>
      <c r="E29" s="37">
        <v>15</v>
      </c>
      <c r="F29" s="37">
        <f>IFERROR(VLOOKUP($B29,凉菜定价,COLUMNS(凉菜成本核算!$B$3:$F$3),0),"")</f>
        <v>0</v>
      </c>
      <c r="G29" s="37">
        <f>IFERROR(VLOOKUP($B29,凉菜定价,COLUMNS(凉菜成本核算!$B$3:G$3),0)*$C29/VLOOKUP($B29,凉菜定价,COLUMNS(凉菜成本核算!$B$3:$C$3),0),"")</f>
        <v>0</v>
      </c>
      <c r="H29" s="37">
        <f>IFERROR(VLOOKUP($B29,凉菜定价,COLUMNS(凉菜成本核算!$B$3:$H$3),0),"")</f>
        <v>0</v>
      </c>
      <c r="I29" s="37">
        <f>IFERROR(VLOOKUP($B29,凉菜定价,COLUMNS(凉菜成本核算!$B$3:I$3),0)*$C29/VLOOKUP($B29,凉菜定价,COLUMNS(凉菜成本核算!$B$3:$C$3),0),"")</f>
        <v>0</v>
      </c>
      <c r="J29" s="37">
        <f>IFERROR(VLOOKUP($B29,凉菜定价,COLUMNS(凉菜成本核算!$B$3:$J$3),0),"")</f>
        <v>0</v>
      </c>
      <c r="K29" s="69">
        <f>IFERROR(VLOOKUP($B29,凉菜定价,COLUMNS(凉菜成本核算!$B$3:K$3),0)*$C29/VLOOKUP($B29,凉菜定价,COLUMNS(凉菜成本核算!$B$3:$C$3),0),"")</f>
        <v>0</v>
      </c>
    </row>
    <row r="30" spans="1:11">
      <c r="A30" s="70"/>
      <c r="B30" s="66" t="s">
        <v>1213</v>
      </c>
      <c r="C30" s="65">
        <v>60</v>
      </c>
      <c r="D30" s="18" t="s">
        <v>1214</v>
      </c>
      <c r="E30" s="37">
        <v>8</v>
      </c>
      <c r="F30" s="18" t="s">
        <v>1215</v>
      </c>
      <c r="G30" s="37">
        <v>4</v>
      </c>
      <c r="H30" s="37">
        <f>IFERROR(VLOOKUP($B30,凉菜定价,COLUMNS(凉菜成本核算!$B$3:$H$3),0),"")</f>
        <v>0</v>
      </c>
      <c r="I30" s="37">
        <f>IFERROR(VLOOKUP($B30,凉菜定价,COLUMNS(凉菜成本核算!$B$3:I$3),0)*$C30/VLOOKUP($B30,凉菜定价,COLUMNS(凉菜成本核算!$B$3:$C$3),0),"")</f>
        <v>0</v>
      </c>
      <c r="J30" s="37">
        <f>IFERROR(VLOOKUP($B30,凉菜定价,COLUMNS(凉菜成本核算!$B$3:$J$3),0),"")</f>
        <v>0</v>
      </c>
      <c r="K30" s="69">
        <f>IFERROR(VLOOKUP($B30,凉菜定价,COLUMNS(凉菜成本核算!$B$3:K$3),0)*$C30/VLOOKUP($B30,凉菜定价,COLUMNS(凉菜成本核算!$B$3:$C$3),0),"")</f>
        <v>0</v>
      </c>
    </row>
    <row r="31" spans="1:11">
      <c r="A31" s="70"/>
      <c r="B31" s="66" t="s">
        <v>1178</v>
      </c>
      <c r="C31" s="65"/>
      <c r="D31" s="37" t="str">
        <f>IFERROR(VLOOKUP($B31,凉菜定价,COLUMNS(凉菜成本核算!$B$3:$D$3),0),"")</f>
        <v>酱豆腐</v>
      </c>
      <c r="E31" s="37">
        <f>IFERROR(VLOOKUP($B31,凉菜定价,COLUMNS(凉菜成本核算!$B$3:E$3),0)*$C31/VLOOKUP($B31,凉菜定价,COLUMNS(凉菜成本核算!$B$3:$C$3),0),"")</f>
        <v>0</v>
      </c>
      <c r="F31" s="37">
        <f>IFERROR(VLOOKUP($B31,凉菜定价,COLUMNS(凉菜成本核算!$B$3:$F$3),0),"")</f>
        <v>0</v>
      </c>
      <c r="G31" s="37">
        <f>IFERROR(VLOOKUP($B31,凉菜定价,COLUMNS(凉菜成本核算!$B$3:G$3),0)*$C31/VLOOKUP($B31,凉菜定价,COLUMNS(凉菜成本核算!$B$3:$C$3),0),"")</f>
        <v>0</v>
      </c>
      <c r="H31" s="37">
        <f>IFERROR(VLOOKUP($B31,凉菜定价,COLUMNS(凉菜成本核算!$B$3:$H$3),0),"")</f>
        <v>0</v>
      </c>
      <c r="I31" s="37">
        <f>IFERROR(VLOOKUP($B31,凉菜定价,COLUMNS(凉菜成本核算!$B$3:I$3),0)*$C31/VLOOKUP($B31,凉菜定价,COLUMNS(凉菜成本核算!$B$3:$C$3),0),"")</f>
        <v>0</v>
      </c>
      <c r="J31" s="37">
        <f>IFERROR(VLOOKUP($B31,凉菜定价,COLUMNS(凉菜成本核算!$B$3:$J$3),0),"")</f>
        <v>0</v>
      </c>
      <c r="K31" s="69">
        <f>IFERROR(VLOOKUP($B31,凉菜定价,COLUMNS(凉菜成本核算!$B$3:K$3),0)*$C31/VLOOKUP($B31,凉菜定价,COLUMNS(凉菜成本核算!$B$3:$C$3),0),"")</f>
        <v>0</v>
      </c>
    </row>
    <row r="32" spans="1:11">
      <c r="A32" s="70"/>
      <c r="B32" s="66" t="s">
        <v>1216</v>
      </c>
      <c r="C32" s="65">
        <v>80</v>
      </c>
      <c r="D32" s="18" t="s">
        <v>1217</v>
      </c>
      <c r="E32" s="37">
        <v>20</v>
      </c>
      <c r="F32" s="18" t="s">
        <v>1181</v>
      </c>
      <c r="G32" s="37">
        <v>0.5</v>
      </c>
      <c r="H32" s="37" t="str">
        <f>IFERROR(VLOOKUP($B32,凉菜定价,COLUMNS(凉菜成本核算!$B$3:$H$3),0),"")</f>
        <v/>
      </c>
      <c r="I32" s="37" t="str">
        <f>IFERROR(VLOOKUP($B32,凉菜定价,COLUMNS(凉菜成本核算!$B$3:I$3),0)*$C32/VLOOKUP($B32,凉菜定价,COLUMNS(凉菜成本核算!$B$3:$C$3),0),"")</f>
        <v/>
      </c>
      <c r="J32" s="37" t="str">
        <f>IFERROR(VLOOKUP($B32,凉菜定价,COLUMNS(凉菜成本核算!$B$3:$J$3),0),"")</f>
        <v/>
      </c>
      <c r="K32" s="69" t="str">
        <f>IFERROR(VLOOKUP($B32,凉菜定价,COLUMNS(凉菜成本核算!$B$3:K$3),0)*$C32/VLOOKUP($B32,凉菜定价,COLUMNS(凉菜成本核算!$B$3:$C$3),0),"")</f>
        <v/>
      </c>
    </row>
    <row r="33" spans="1:11">
      <c r="A33" s="70"/>
      <c r="B33" s="65"/>
      <c r="C33" s="65"/>
      <c r="D33" s="37" t="str">
        <f>IFERROR(VLOOKUP($B33,凉菜定价,COLUMNS(凉菜成本核算!$B$3:$D$3),0),"")</f>
        <v/>
      </c>
      <c r="E33" s="37" t="str">
        <f>IFERROR(VLOOKUP($B33,凉菜定价,COLUMNS(凉菜成本核算!$B$3:E$3),0)*$C33/VLOOKUP($B33,凉菜定价,COLUMNS(凉菜成本核算!$B$3:$C$3),0),"")</f>
        <v/>
      </c>
      <c r="F33" s="37" t="str">
        <f>IFERROR(VLOOKUP($B33,凉菜定价,COLUMNS(凉菜成本核算!$B$3:$F$3),0),"")</f>
        <v/>
      </c>
      <c r="G33" s="37" t="str">
        <f>IFERROR(VLOOKUP($B33,凉菜定价,COLUMNS(凉菜成本核算!$B$3:G$3),0)*$C33/VLOOKUP($B33,凉菜定价,COLUMNS(凉菜成本核算!$B$3:$C$3),0),"")</f>
        <v/>
      </c>
      <c r="H33" s="37" t="str">
        <f>IFERROR(VLOOKUP($B33,凉菜定价,COLUMNS(凉菜成本核算!$B$3:$H$3),0),"")</f>
        <v/>
      </c>
      <c r="I33" s="37" t="str">
        <f>IFERROR(VLOOKUP($B33,凉菜定价,COLUMNS(凉菜成本核算!$B$3:I$3),0)*$C33/VLOOKUP($B33,凉菜定价,COLUMNS(凉菜成本核算!$B$3:$C$3),0),"")</f>
        <v/>
      </c>
      <c r="J33" s="37" t="str">
        <f>IFERROR(VLOOKUP($B33,凉菜定价,COLUMNS(凉菜成本核算!$B$3:$J$3),0),"")</f>
        <v/>
      </c>
      <c r="K33" s="69" t="str">
        <f>IFERROR(VLOOKUP($B33,凉菜定价,COLUMNS(凉菜成本核算!$B$3:K$3),0)*$C33/VLOOKUP($B33,凉菜定价,COLUMNS(凉菜成本核算!$B$3:$C$3),0),"")</f>
        <v/>
      </c>
    </row>
    <row r="34" spans="1:11">
      <c r="A34" s="70" t="s">
        <v>1218</v>
      </c>
      <c r="B34" s="66" t="s">
        <v>1219</v>
      </c>
      <c r="C34" s="65">
        <v>15</v>
      </c>
      <c r="D34" s="18" t="s">
        <v>1220</v>
      </c>
      <c r="E34" s="37">
        <v>10</v>
      </c>
      <c r="F34" s="18" t="s">
        <v>1221</v>
      </c>
      <c r="G34" s="37">
        <v>1</v>
      </c>
      <c r="H34" s="18" t="s">
        <v>1222</v>
      </c>
      <c r="I34" s="37">
        <v>0.5</v>
      </c>
      <c r="J34" s="37"/>
      <c r="K34" s="69"/>
    </row>
    <row r="35" spans="1:11">
      <c r="A35" s="70"/>
      <c r="B35" s="66" t="s">
        <v>1223</v>
      </c>
      <c r="C35" s="65">
        <v>15</v>
      </c>
      <c r="D35" s="37" t="str">
        <f>IFERROR(VLOOKUP($B35,凉菜定价,COLUMNS(凉菜成本核算!$B$3:$D$3),0),"")</f>
        <v>黄瓜</v>
      </c>
      <c r="E35" s="37">
        <v>10</v>
      </c>
      <c r="F35" s="18" t="s">
        <v>1224</v>
      </c>
      <c r="G35" s="37">
        <v>0.2</v>
      </c>
      <c r="H35" s="37">
        <f>IFERROR(VLOOKUP($B35,凉菜定价,COLUMNS(凉菜成本核算!$B$3:$H$3),0),"")</f>
        <v>0</v>
      </c>
      <c r="I35" s="37">
        <f>IFERROR(VLOOKUP($B35,凉菜定价,COLUMNS(凉菜成本核算!$B$3:I$3),0)*$C35/VLOOKUP($B35,凉菜定价,COLUMNS(凉菜成本核算!$B$3:$C$3),0),"")</f>
        <v>0</v>
      </c>
      <c r="J35" s="37">
        <f>IFERROR(VLOOKUP($B35,凉菜定价,COLUMNS(凉菜成本核算!$B$3:$J$3),0),"")</f>
        <v>0</v>
      </c>
      <c r="K35" s="69">
        <f>IFERROR(VLOOKUP($B35,凉菜定价,COLUMNS(凉菜成本核算!$B$3:K$3),0)*$C35/VLOOKUP($B35,凉菜定价,COLUMNS(凉菜成本核算!$B$3:$C$3),0),"")</f>
        <v>0</v>
      </c>
    </row>
    <row r="36" spans="1:11">
      <c r="A36" s="70"/>
      <c r="B36" s="66" t="s">
        <v>1225</v>
      </c>
      <c r="C36" s="65">
        <v>20</v>
      </c>
      <c r="D36" s="18" t="s">
        <v>1226</v>
      </c>
      <c r="E36" s="37">
        <v>2</v>
      </c>
      <c r="F36" s="18" t="s">
        <v>1227</v>
      </c>
      <c r="G36" s="37">
        <v>10</v>
      </c>
      <c r="H36" s="37" t="str">
        <f>IFERROR(VLOOKUP($B36,凉菜定价,COLUMNS(凉菜成本核算!$B$3:$H$3),0),"")</f>
        <v>香菜</v>
      </c>
      <c r="I36" s="37">
        <f>IFERROR(VLOOKUP($B36,凉菜定价,COLUMNS(凉菜成本核算!$B$3:I$3),0)*$C36/VLOOKUP($B36,凉菜定价,COLUMNS(凉菜成本核算!$B$3:$C$3),0),"")</f>
        <v>0.6</v>
      </c>
      <c r="J36" s="37">
        <f>IFERROR(VLOOKUP($B36,凉菜定价,COLUMNS(凉菜成本核算!$B$3:$J$3),0),"")</f>
        <v>0</v>
      </c>
      <c r="K36" s="69">
        <f>IFERROR(VLOOKUP($B36,凉菜定价,COLUMNS(凉菜成本核算!$B$3:K$3),0)*$C36/VLOOKUP($B36,凉菜定价,COLUMNS(凉菜成本核算!$B$3:$C$3),0),"")</f>
        <v>0</v>
      </c>
    </row>
    <row r="37" spans="1:11">
      <c r="A37" s="70"/>
      <c r="B37" s="66" t="s">
        <v>1228</v>
      </c>
      <c r="C37" s="65">
        <v>10</v>
      </c>
      <c r="D37" s="18" t="s">
        <v>1229</v>
      </c>
      <c r="E37" s="37">
        <v>4</v>
      </c>
      <c r="F37" s="18" t="s">
        <v>1181</v>
      </c>
      <c r="G37" s="37">
        <v>0.2</v>
      </c>
      <c r="H37" s="37" t="str">
        <f>IFERROR(VLOOKUP($B37,凉菜定价,COLUMNS(凉菜成本核算!$B$3:$H$3),0),"")</f>
        <v/>
      </c>
      <c r="I37" s="37" t="str">
        <f>IFERROR(VLOOKUP($B37,凉菜定价,COLUMNS(凉菜成本核算!$B$3:I$3),0)*$C37/VLOOKUP($B37,凉菜定价,COLUMNS(凉菜成本核算!$B$3:$C$3),0),"")</f>
        <v/>
      </c>
      <c r="J37" s="37" t="str">
        <f>IFERROR(VLOOKUP($B37,凉菜定价,COLUMNS(凉菜成本核算!$B$3:$J$3),0),"")</f>
        <v/>
      </c>
      <c r="K37" s="69" t="str">
        <f>IFERROR(VLOOKUP($B37,凉菜定价,COLUMNS(凉菜成本核算!$B$3:K$3),0)*$C37/VLOOKUP($B37,凉菜定价,COLUMNS(凉菜成本核算!$B$3:$C$3),0),"")</f>
        <v/>
      </c>
    </row>
    <row r="38" spans="1:11">
      <c r="A38" s="70"/>
      <c r="B38" s="66" t="s">
        <v>1230</v>
      </c>
      <c r="C38" s="65">
        <v>10</v>
      </c>
      <c r="D38" s="18" t="s">
        <v>1231</v>
      </c>
      <c r="E38" s="37">
        <v>6</v>
      </c>
      <c r="F38" s="37">
        <f>IFERROR(VLOOKUP($B38,凉菜定价,COLUMNS(凉菜成本核算!$B$3:$F$3),0),"")</f>
        <v>0</v>
      </c>
      <c r="G38" s="37">
        <f>IFERROR(VLOOKUP($B38,凉菜定价,COLUMNS(凉菜成本核算!$B$3:G$3),0)*$C38/VLOOKUP($B38,凉菜定价,COLUMNS(凉菜成本核算!$B$3:$C$3),0),"")</f>
        <v>0</v>
      </c>
      <c r="H38" s="37">
        <f>IFERROR(VLOOKUP($B38,凉菜定价,COLUMNS(凉菜成本核算!$B$3:$H$3),0),"")</f>
        <v>0</v>
      </c>
      <c r="I38" s="37">
        <f>IFERROR(VLOOKUP($B38,凉菜定价,COLUMNS(凉菜成本核算!$B$3:I$3),0)*$C38/VLOOKUP($B38,凉菜定价,COLUMNS(凉菜成本核算!$B$3:$C$3),0),"")</f>
        <v>0</v>
      </c>
      <c r="J38" s="37">
        <f>IFERROR(VLOOKUP($B38,凉菜定价,COLUMNS(凉菜成本核算!$B$3:$J$3),0),"")</f>
        <v>0</v>
      </c>
      <c r="K38" s="69">
        <f>IFERROR(VLOOKUP($B38,凉菜定价,COLUMNS(凉菜成本核算!$B$3:K$3),0)*$C38/VLOOKUP($B38,凉菜定价,COLUMNS(凉菜成本核算!$B$3:$C$3),0),"")</f>
        <v>0</v>
      </c>
    </row>
    <row r="39" spans="1:11">
      <c r="A39" s="70"/>
      <c r="B39" s="65"/>
      <c r="C39" s="65"/>
      <c r="D39" s="37" t="str">
        <f>IFERROR(VLOOKUP($B39,凉菜定价,COLUMNS(凉菜成本核算!$B$3:$D$3),0),"")</f>
        <v/>
      </c>
      <c r="E39" s="37" t="str">
        <f>IFERROR(VLOOKUP($B39,凉菜定价,COLUMNS(凉菜成本核算!$B$3:E$3),0)*$C39/VLOOKUP($B39,凉菜定价,COLUMNS(凉菜成本核算!$B$3:$C$3),0),"")</f>
        <v/>
      </c>
      <c r="F39" s="37" t="str">
        <f>IFERROR(VLOOKUP($B39,凉菜定价,COLUMNS(凉菜成本核算!$B$3:$F$3),0),"")</f>
        <v/>
      </c>
      <c r="G39" s="37" t="str">
        <f>IFERROR(VLOOKUP($B39,凉菜定价,COLUMNS(凉菜成本核算!$B$3:G$3),0)*$C39/VLOOKUP($B39,凉菜定价,COLUMNS(凉菜成本核算!$B$3:$C$3),0),"")</f>
        <v/>
      </c>
      <c r="H39" s="37" t="str">
        <f>IFERROR(VLOOKUP($B39,凉菜定价,COLUMNS(凉菜成本核算!$B$3:$H$3),0),"")</f>
        <v/>
      </c>
      <c r="I39" s="37" t="str">
        <f>IFERROR(VLOOKUP($B39,凉菜定价,COLUMNS(凉菜成本核算!$B$3:I$3),0)*$C39/VLOOKUP($B39,凉菜定价,COLUMNS(凉菜成本核算!$B$3:$C$3),0),"")</f>
        <v/>
      </c>
      <c r="J39" s="37" t="str">
        <f>IFERROR(VLOOKUP($B39,凉菜定价,COLUMNS(凉菜成本核算!$B$3:$J$3),0),"")</f>
        <v/>
      </c>
      <c r="K39" s="69" t="str">
        <f>IFERROR(VLOOKUP($B39,凉菜定价,COLUMNS(凉菜成本核算!$B$3:K$3),0)*$C39/VLOOKUP($B39,凉菜定价,COLUMNS(凉菜成本核算!$B$3:$C$3),0),"")</f>
        <v/>
      </c>
    </row>
    <row r="40" spans="1:11">
      <c r="A40" s="70" t="s">
        <v>1232</v>
      </c>
      <c r="B40" s="66" t="s">
        <v>1233</v>
      </c>
      <c r="C40" s="65">
        <v>5</v>
      </c>
      <c r="D40" s="18" t="s">
        <v>1234</v>
      </c>
      <c r="E40" s="37">
        <v>2</v>
      </c>
      <c r="F40" s="18" t="s">
        <v>1181</v>
      </c>
      <c r="G40" s="37">
        <v>0.4</v>
      </c>
      <c r="H40" s="18" t="s">
        <v>1182</v>
      </c>
      <c r="I40" s="37">
        <v>0.5</v>
      </c>
      <c r="J40" s="37" t="str">
        <f>IFERROR(VLOOKUP($B40,凉菜定价,COLUMNS(凉菜成本核算!$B$3:$J$3),0),"")</f>
        <v>黄瓜</v>
      </c>
      <c r="K40" s="69">
        <f>IFERROR(VLOOKUP($B40,凉菜定价,COLUMNS(凉菜成本核算!$B$3:K$3),0)*$C40/VLOOKUP($B40,凉菜定价,COLUMNS(凉菜成本核算!$B$3:$C$3),0),"")</f>
        <v>0.5</v>
      </c>
    </row>
    <row r="41" spans="1:11">
      <c r="A41" s="70"/>
      <c r="B41" s="66" t="s">
        <v>1235</v>
      </c>
      <c r="C41" s="65">
        <v>10</v>
      </c>
      <c r="D41" s="37" t="str">
        <f>IFERROR(VLOOKUP($B41,凉菜定价,COLUMNS(凉菜成本核算!$B$3:$D$3),0),"")</f>
        <v>盒豆腐</v>
      </c>
      <c r="E41" s="37">
        <f>IFERROR(VLOOKUP($B41,凉菜定价,COLUMNS(凉菜成本核算!$B$3:E$3),0)*$C41/VLOOKUP($B41,凉菜定价,COLUMNS(凉菜成本核算!$B$3:$C$3),0),"")</f>
        <v>10</v>
      </c>
      <c r="F41" s="37" t="str">
        <f>IFERROR(VLOOKUP($B41,凉菜定价,COLUMNS(凉菜成本核算!$B$3:$F$3),0),"")</f>
        <v>香葱</v>
      </c>
      <c r="G41" s="37">
        <v>0.3</v>
      </c>
      <c r="H41" s="37">
        <f>IFERROR(VLOOKUP($B41,凉菜定价,COLUMNS(凉菜成本核算!$B$3:$H$3),0),"")</f>
        <v>0</v>
      </c>
      <c r="I41" s="37">
        <f>IFERROR(VLOOKUP($B41,凉菜定价,COLUMNS(凉菜成本核算!$B$3:I$3),0)*$C41/VLOOKUP($B41,凉菜定价,COLUMNS(凉菜成本核算!$B$3:$C$3),0),"")</f>
        <v>0</v>
      </c>
      <c r="J41" s="37">
        <f>IFERROR(VLOOKUP($B41,凉菜定价,COLUMNS(凉菜成本核算!$B$3:$J$3),0),"")</f>
        <v>0</v>
      </c>
      <c r="K41" s="69">
        <f>IFERROR(VLOOKUP($B41,凉菜定价,COLUMNS(凉菜成本核算!$B$3:K$3),0)*$C41/VLOOKUP($B41,凉菜定价,COLUMNS(凉菜成本核算!$B$3:$C$3),0),"")</f>
        <v>0</v>
      </c>
    </row>
    <row r="42" spans="1:11">
      <c r="A42" s="70"/>
      <c r="B42" s="66" t="s">
        <v>1236</v>
      </c>
      <c r="C42" s="66">
        <v>10</v>
      </c>
      <c r="D42" s="18" t="s">
        <v>1237</v>
      </c>
      <c r="E42" s="37">
        <v>5</v>
      </c>
      <c r="F42" s="18" t="s">
        <v>1238</v>
      </c>
      <c r="G42" s="37">
        <v>0.5</v>
      </c>
      <c r="H42" s="37" t="str">
        <f>IFERROR(VLOOKUP($B42,凉菜定价,COLUMNS(凉菜成本核算!$B$3:$H$3),0),"")</f>
        <v/>
      </c>
      <c r="I42" s="37" t="str">
        <f>IFERROR(VLOOKUP($B42,凉菜定价,COLUMNS(凉菜成本核算!$B$3:I$3),0)*$C42/VLOOKUP($B42,凉菜定价,COLUMNS(凉菜成本核算!$B$3:$C$3),0),"")</f>
        <v/>
      </c>
      <c r="J42" s="37" t="str">
        <f>IFERROR(VLOOKUP($B42,凉菜定价,COLUMNS(凉菜成本核算!$B$3:$J$3),0),"")</f>
        <v/>
      </c>
      <c r="K42" s="69" t="str">
        <f>IFERROR(VLOOKUP($B42,凉菜定价,COLUMNS(凉菜成本核算!$B$3:K$3),0)*$C42/VLOOKUP($B42,凉菜定价,COLUMNS(凉菜成本核算!$B$3:$C$3),0),"")</f>
        <v/>
      </c>
    </row>
    <row r="43" spans="1:11">
      <c r="A43" s="70"/>
      <c r="B43" s="66" t="s">
        <v>1239</v>
      </c>
      <c r="C43" s="65">
        <v>7</v>
      </c>
      <c r="D43" s="18" t="s">
        <v>1240</v>
      </c>
      <c r="E43" s="37">
        <v>7</v>
      </c>
      <c r="F43" s="37" t="str">
        <f>IFERROR(VLOOKUP($B43,凉菜定价,COLUMNS(凉菜成本核算!$B$3:$F$3),0),"")</f>
        <v/>
      </c>
      <c r="G43" s="37" t="str">
        <f>IFERROR(VLOOKUP($B43,凉菜定价,COLUMNS(凉菜成本核算!$B$3:G$3),0)*$C43/VLOOKUP($B43,凉菜定价,COLUMNS(凉菜成本核算!$B$3:$C$3),0),"")</f>
        <v/>
      </c>
      <c r="H43" s="37" t="str">
        <f>IFERROR(VLOOKUP($B43,凉菜定价,COLUMNS(凉菜成本核算!$B$3:$H$3),0),"")</f>
        <v/>
      </c>
      <c r="I43" s="37" t="str">
        <f>IFERROR(VLOOKUP($B43,凉菜定价,COLUMNS(凉菜成本核算!$B$3:I$3),0)*$C43/VLOOKUP($B43,凉菜定价,COLUMNS(凉菜成本核算!$B$3:$C$3),0),"")</f>
        <v/>
      </c>
      <c r="J43" s="37" t="str">
        <f>IFERROR(VLOOKUP($B43,凉菜定价,COLUMNS(凉菜成本核算!$B$3:$J$3),0),"")</f>
        <v/>
      </c>
      <c r="K43" s="69" t="str">
        <f>IFERROR(VLOOKUP($B43,凉菜定价,COLUMNS(凉菜成本核算!$B$3:K$3),0)*$C43/VLOOKUP($B43,凉菜定价,COLUMNS(凉菜成本核算!$B$3:$C$3),0),"")</f>
        <v/>
      </c>
    </row>
    <row r="44" spans="1:11">
      <c r="A44" s="70"/>
      <c r="B44" s="65"/>
      <c r="C44" s="65"/>
      <c r="D44" s="37" t="str">
        <f>IFERROR(VLOOKUP($B44,凉菜定价,COLUMNS(凉菜成本核算!$B$3:$D$3),0),"")</f>
        <v/>
      </c>
      <c r="E44" s="37" t="str">
        <f>IFERROR(VLOOKUP($B44,凉菜定价,COLUMNS(凉菜成本核算!$B$3:E$3),0)*$C44/VLOOKUP($B44,凉菜定价,COLUMNS(凉菜成本核算!$B$3:$C$3),0),"")</f>
        <v/>
      </c>
      <c r="F44" s="37" t="str">
        <f>IFERROR(VLOOKUP($B44,凉菜定价,COLUMNS(凉菜成本核算!$B$3:$F$3),0),"")</f>
        <v/>
      </c>
      <c r="G44" s="37" t="str">
        <f>IFERROR(VLOOKUP($B44,凉菜定价,COLUMNS(凉菜成本核算!$B$3:G$3),0)*$C44/VLOOKUP($B44,凉菜定价,COLUMNS(凉菜成本核算!$B$3:$C$3),0),"")</f>
        <v/>
      </c>
      <c r="H44" s="37" t="str">
        <f>IFERROR(VLOOKUP($B44,凉菜定价,COLUMNS(凉菜成本核算!$B$3:$H$3),0),"")</f>
        <v/>
      </c>
      <c r="I44" s="37" t="str">
        <f>IFERROR(VLOOKUP($B44,凉菜定价,COLUMNS(凉菜成本核算!$B$3:I$3),0)*$C44/VLOOKUP($B44,凉菜定价,COLUMNS(凉菜成本核算!$B$3:$C$3),0),"")</f>
        <v/>
      </c>
      <c r="J44" s="37" t="str">
        <f>IFERROR(VLOOKUP($B44,凉菜定价,COLUMNS(凉菜成本核算!$B$3:$J$3),0),"")</f>
        <v/>
      </c>
      <c r="K44" s="69" t="str">
        <f>IFERROR(VLOOKUP($B44,凉菜定价,COLUMNS(凉菜成本核算!$B$3:K$3),0)*$C44/VLOOKUP($B44,凉菜定价,COLUMNS(凉菜成本核算!$B$3:$C$3),0),"")</f>
        <v/>
      </c>
    </row>
    <row r="45" spans="1:11">
      <c r="A45" s="70" t="s">
        <v>1241</v>
      </c>
      <c r="B45" s="61" t="s">
        <v>1177</v>
      </c>
      <c r="C45" s="65">
        <v>50</v>
      </c>
      <c r="D45" s="37" t="str">
        <f>IFERROR(VLOOKUP($B45,凉菜定价,COLUMNS(凉菜成本核算!$B$3:$D$3),0),"")</f>
        <v>咸菜头</v>
      </c>
      <c r="E45" s="37">
        <v>15</v>
      </c>
      <c r="F45" s="37">
        <f>IFERROR(VLOOKUP($B45,凉菜定价,COLUMNS(凉菜成本核算!$B$3:$F$3),0),"")</f>
        <v>0</v>
      </c>
      <c r="G45" s="37">
        <f>IFERROR(VLOOKUP($B45,凉菜定价,COLUMNS(凉菜成本核算!$B$3:G$3),0)*$C45/VLOOKUP($B45,凉菜定价,COLUMNS(凉菜成本核算!$B$3:$C$3),0),"")</f>
        <v>0</v>
      </c>
      <c r="H45" s="37">
        <f>IFERROR(VLOOKUP($B45,凉菜定价,COLUMNS(凉菜成本核算!$B$3:$H$3),0),"")</f>
        <v>0</v>
      </c>
      <c r="I45" s="37">
        <f>IFERROR(VLOOKUP($B45,凉菜定价,COLUMNS(凉菜成本核算!$B$3:I$3),0)*$C45/VLOOKUP($B45,凉菜定价,COLUMNS(凉菜成本核算!$B$3:$C$3),0),"")</f>
        <v>0</v>
      </c>
      <c r="J45" s="37">
        <f>IFERROR(VLOOKUP($B45,凉菜定价,COLUMNS(凉菜成本核算!$B$3:$J$3),0),"")</f>
        <v>0</v>
      </c>
      <c r="K45" s="69">
        <f>IFERROR(VLOOKUP($B45,凉菜定价,COLUMNS(凉菜成本核算!$B$3:K$3),0)*$C45/VLOOKUP($B45,凉菜定价,COLUMNS(凉菜成本核算!$B$3:$C$3),0),"")</f>
        <v>0</v>
      </c>
    </row>
    <row r="46" spans="1:11">
      <c r="A46" s="70"/>
      <c r="B46" s="61" t="s">
        <v>1178</v>
      </c>
      <c r="C46" s="66"/>
      <c r="D46" s="37" t="str">
        <f>IFERROR(VLOOKUP($B46,凉菜定价,COLUMNS(凉菜成本核算!$B$3:$D$3),0),"")</f>
        <v>酱豆腐</v>
      </c>
      <c r="E46" s="37">
        <f>IFERROR(VLOOKUP($B46,凉菜定价,COLUMNS(凉菜成本核算!$B$3:E$3),0)*$C46/VLOOKUP($B46,凉菜定价,COLUMNS(凉菜成本核算!$B$3:$C$3),0),"")</f>
        <v>0</v>
      </c>
      <c r="F46" s="37">
        <f>IFERROR(VLOOKUP($B46,凉菜定价,COLUMNS(凉菜成本核算!$B$3:$F$3),0),"")</f>
        <v>0</v>
      </c>
      <c r="G46" s="37">
        <f>IFERROR(VLOOKUP($B46,凉菜定价,COLUMNS(凉菜成本核算!$B$3:G$3),0)*$C46/VLOOKUP($B46,凉菜定价,COLUMNS(凉菜成本核算!$B$3:$C$3),0),"")</f>
        <v>0</v>
      </c>
      <c r="H46" s="37">
        <f>IFERROR(VLOOKUP($B46,凉菜定价,COLUMNS(凉菜成本核算!$B$3:$H$3),0),"")</f>
        <v>0</v>
      </c>
      <c r="I46" s="37">
        <f>IFERROR(VLOOKUP($B46,凉菜定价,COLUMNS(凉菜成本核算!$B$3:I$3),0)*$C46/VLOOKUP($B46,凉菜定价,COLUMNS(凉菜成本核算!$B$3:$C$3),0),"")</f>
        <v>0</v>
      </c>
      <c r="J46" s="37">
        <f>IFERROR(VLOOKUP($B46,凉菜定价,COLUMNS(凉菜成本核算!$B$3:$J$3),0),"")</f>
        <v>0</v>
      </c>
      <c r="K46" s="69">
        <f>IFERROR(VLOOKUP($B46,凉菜定价,COLUMNS(凉菜成本核算!$B$3:K$3),0)*$C46/VLOOKUP($B46,凉菜定价,COLUMNS(凉菜成本核算!$B$3:$C$3),0),"")</f>
        <v>0</v>
      </c>
    </row>
    <row r="47" spans="1:11">
      <c r="A47" s="115"/>
      <c r="B47" s="66" t="s">
        <v>1243</v>
      </c>
      <c r="C47" s="66">
        <v>70</v>
      </c>
      <c r="D47" s="18" t="s">
        <v>1242</v>
      </c>
      <c r="E47" s="37">
        <v>20</v>
      </c>
      <c r="F47" s="18" t="s">
        <v>1181</v>
      </c>
      <c r="G47" s="37">
        <v>0.3</v>
      </c>
      <c r="H47" s="18" t="s">
        <v>1182</v>
      </c>
      <c r="I47" s="37">
        <v>0.4</v>
      </c>
      <c r="J47" s="37">
        <f>IFERROR(VLOOKUP($B47,凉菜定价,COLUMNS(凉菜成本核算!$B$3:$J$3),0),"")</f>
        <v>0</v>
      </c>
      <c r="K47" s="37">
        <f>IFERROR(VLOOKUP($B47,凉菜定价,COLUMNS(凉菜成本核算!$B$3:K$3),0)*$C47/VLOOKUP($B47,凉菜定价,COLUMNS(凉菜成本核算!$B$3:$C$3),0),"")</f>
        <v>0</v>
      </c>
    </row>
    <row r="48" spans="1:11">
      <c r="A48" s="115"/>
      <c r="B48" s="66" t="s">
        <v>1244</v>
      </c>
      <c r="C48" s="66">
        <v>80</v>
      </c>
      <c r="D48" s="18" t="s">
        <v>1245</v>
      </c>
      <c r="E48" s="37">
        <v>15</v>
      </c>
      <c r="F48" s="18" t="s">
        <v>1190</v>
      </c>
      <c r="G48" s="37">
        <v>3</v>
      </c>
      <c r="H48" s="37" t="str">
        <f>IFERROR(VLOOKUP($B48,凉菜定价,COLUMNS(凉菜成本核算!$B$3:$H$3),0),"")</f>
        <v/>
      </c>
      <c r="I48" s="37" t="str">
        <f>IFERROR(VLOOKUP($B48,凉菜定价,COLUMNS(凉菜成本核算!$B$3:I$3),0)*$C48/VLOOKUP($B48,凉菜定价,COLUMNS(凉菜成本核算!$B$3:$C$3),0),"")</f>
        <v/>
      </c>
      <c r="J48" s="37" t="str">
        <f>IFERROR(VLOOKUP($B48,凉菜定价,COLUMNS(凉菜成本核算!$B$3:$J$3),0),"")</f>
        <v/>
      </c>
      <c r="K48" s="37" t="str">
        <f>IFERROR(VLOOKUP($B48,凉菜定价,COLUMNS(凉菜成本核算!$B$3:K$3),0)*$C48/VLOOKUP($B48,凉菜定价,COLUMNS(凉菜成本核算!$B$3:$C$3),0),"")</f>
        <v/>
      </c>
    </row>
    <row r="49" spans="1:11">
      <c r="A49" s="115"/>
      <c r="B49" s="66" t="s">
        <v>1246</v>
      </c>
      <c r="C49" s="66">
        <v>70</v>
      </c>
      <c r="D49" s="18" t="s">
        <v>1247</v>
      </c>
      <c r="E49" s="37">
        <v>10</v>
      </c>
      <c r="F49" s="18" t="s">
        <v>1181</v>
      </c>
      <c r="G49" s="37">
        <v>0.5</v>
      </c>
      <c r="H49" s="18" t="s">
        <v>1190</v>
      </c>
      <c r="I49" s="37">
        <v>2</v>
      </c>
      <c r="J49" s="37">
        <f>IFERROR(VLOOKUP($B49,凉菜定价,COLUMNS(凉菜成本核算!$B$3:$J$3),0),"")</f>
        <v>0</v>
      </c>
      <c r="K49" s="37">
        <f>IFERROR(VLOOKUP($B49,凉菜定价,COLUMNS(凉菜成本核算!$B$3:K$3),0)*$C49/VLOOKUP($B49,凉菜定价,COLUMNS(凉菜成本核算!$B$3:$C$3),0),"")</f>
        <v>0</v>
      </c>
    </row>
    <row r="50" spans="1:11">
      <c r="A50" s="115"/>
      <c r="B50" s="66"/>
      <c r="C50" s="66"/>
      <c r="D50" s="37" t="str">
        <f>IFERROR(VLOOKUP($B50,凉菜定价,COLUMNS(凉菜成本核算!$B$3:$D$3),0),"")</f>
        <v/>
      </c>
      <c r="E50" s="37" t="str">
        <f>IFERROR(VLOOKUP($B50,凉菜定价,COLUMNS(凉菜成本核算!$B$3:E$3),0)*$C50/VLOOKUP($B50,凉菜定价,COLUMNS(凉菜成本核算!$B$3:$C$3),0),"")</f>
        <v/>
      </c>
      <c r="F50" s="37" t="str">
        <f>IFERROR(VLOOKUP($B50,凉菜定价,COLUMNS(凉菜成本核算!$B$3:$F$3),0),"")</f>
        <v/>
      </c>
      <c r="G50" s="37" t="str">
        <f>IFERROR(VLOOKUP($B50,凉菜定价,COLUMNS(凉菜成本核算!$B$3:G$3),0)*$C50/VLOOKUP($B50,凉菜定价,COLUMNS(凉菜成本核算!$B$3:$C$3),0),"")</f>
        <v/>
      </c>
      <c r="H50" s="37" t="str">
        <f>IFERROR(VLOOKUP($B50,凉菜定价,COLUMNS(凉菜成本核算!$B$3:$H$3),0),"")</f>
        <v/>
      </c>
      <c r="I50" s="37" t="str">
        <f>IFERROR(VLOOKUP($B50,凉菜定价,COLUMNS(凉菜成本核算!$B$3:I$3),0)*$C50/VLOOKUP($B50,凉菜定价,COLUMNS(凉菜成本核算!$B$3:$C$3),0),"")</f>
        <v/>
      </c>
      <c r="J50" s="37" t="str">
        <f>IFERROR(VLOOKUP($B50,凉菜定价,COLUMNS(凉菜成本核算!$B$3:$J$3),0),"")</f>
        <v/>
      </c>
      <c r="K50" s="37" t="str">
        <f>IFERROR(VLOOKUP($B50,凉菜定价,COLUMNS(凉菜成本核算!$B$3:K$3),0)*$C50/VLOOKUP($B50,凉菜定价,COLUMNS(凉菜成本核算!$B$3:$C$3),0),"")</f>
        <v/>
      </c>
    </row>
    <row r="51" spans="1:11">
      <c r="A51" s="115" t="s">
        <v>1248</v>
      </c>
      <c r="B51" s="66" t="s">
        <v>1249</v>
      </c>
      <c r="C51" s="66">
        <v>15</v>
      </c>
      <c r="D51" s="18" t="s">
        <v>1250</v>
      </c>
      <c r="E51" s="37">
        <v>10</v>
      </c>
      <c r="F51" s="18" t="s">
        <v>1181</v>
      </c>
      <c r="G51" s="37">
        <v>0.2</v>
      </c>
      <c r="H51" s="37">
        <f>IFERROR(VLOOKUP($B51,凉菜定价,COLUMNS(凉菜成本核算!$B$3:$H$3),0),"")</f>
        <v>0</v>
      </c>
      <c r="I51" s="37">
        <f>IFERROR(VLOOKUP($B51,凉菜定价,COLUMNS(凉菜成本核算!$B$3:I$3),0)*$C51/VLOOKUP($B51,凉菜定价,COLUMNS(凉菜成本核算!$B$3:$C$3),0),"")</f>
        <v>0</v>
      </c>
      <c r="J51" s="37">
        <f>IFERROR(VLOOKUP($B51,凉菜定价,COLUMNS(凉菜成本核算!$B$3:$J$3),0),"")</f>
        <v>0</v>
      </c>
      <c r="K51" s="37">
        <f>IFERROR(VLOOKUP($B51,凉菜定价,COLUMNS(凉菜成本核算!$B$3:K$3),0)*$C51/VLOOKUP($B51,凉菜定价,COLUMNS(凉菜成本核算!$B$3:$C$3),0),"")</f>
        <v>0</v>
      </c>
    </row>
    <row r="52" spans="1:11">
      <c r="A52" s="115"/>
      <c r="B52" s="66" t="s">
        <v>1251</v>
      </c>
      <c r="C52" s="66">
        <v>15</v>
      </c>
      <c r="D52" s="18" t="s">
        <v>1252</v>
      </c>
      <c r="E52" s="37">
        <v>8</v>
      </c>
      <c r="F52" s="18" t="s">
        <v>1253</v>
      </c>
      <c r="G52" s="37">
        <v>4</v>
      </c>
      <c r="H52" s="37">
        <f>IFERROR(VLOOKUP($B52,凉菜定价,COLUMNS(凉菜成本核算!$B$3:$H$3),0),"")</f>
        <v>0</v>
      </c>
      <c r="I52" s="37">
        <f>IFERROR(VLOOKUP($B52,凉菜定价,COLUMNS(凉菜成本核算!$B$3:I$3),0)*$C52/VLOOKUP($B52,凉菜定价,COLUMNS(凉菜成本核算!$B$3:$C$3),0),"")</f>
        <v>0</v>
      </c>
      <c r="J52" s="37">
        <f>IFERROR(VLOOKUP($B52,凉菜定价,COLUMNS(凉菜成本核算!$B$3:$J$3),0),"")</f>
        <v>0</v>
      </c>
      <c r="K52" s="37">
        <f>IFERROR(VLOOKUP($B52,凉菜定价,COLUMNS(凉菜成本核算!$B$3:K$3),0)*$C52/VLOOKUP($B52,凉菜定价,COLUMNS(凉菜成本核算!$B$3:$C$3),0),"")</f>
        <v>0</v>
      </c>
    </row>
    <row r="53" spans="1:11">
      <c r="A53" s="115"/>
      <c r="B53" s="66" t="s">
        <v>1254</v>
      </c>
      <c r="C53" s="66">
        <v>10</v>
      </c>
      <c r="D53" s="18" t="s">
        <v>1255</v>
      </c>
      <c r="E53" s="37">
        <v>3</v>
      </c>
      <c r="F53" s="18" t="s">
        <v>1256</v>
      </c>
      <c r="G53" s="37">
        <v>2</v>
      </c>
      <c r="H53" s="37" t="str">
        <f>IFERROR(VLOOKUP($B53,凉菜定价,COLUMNS(凉菜成本核算!$B$3:$H$3),0),"")</f>
        <v/>
      </c>
      <c r="I53" s="37" t="str">
        <f>IFERROR(VLOOKUP($B53,凉菜定价,COLUMNS(凉菜成本核算!$B$3:I$3),0)*$C53/VLOOKUP($B53,凉菜定价,COLUMNS(凉菜成本核算!$B$3:$C$3),0),"")</f>
        <v/>
      </c>
      <c r="J53" s="37" t="str">
        <f>IFERROR(VLOOKUP($B53,凉菜定价,COLUMNS(凉菜成本核算!$B$3:$J$3),0),"")</f>
        <v/>
      </c>
      <c r="K53" s="37" t="str">
        <f>IFERROR(VLOOKUP($B53,凉菜定价,COLUMNS(凉菜成本核算!$B$3:K$3),0)*$C53/VLOOKUP($B53,凉菜定价,COLUMNS(凉菜成本核算!$B$3:$C$3),0),"")</f>
        <v/>
      </c>
    </row>
    <row r="54" spans="1:11">
      <c r="A54" s="116"/>
      <c r="B54" s="117"/>
      <c r="C54" s="116"/>
      <c r="D54" s="116"/>
      <c r="E54" s="116"/>
      <c r="F54" s="116"/>
      <c r="G54" s="116"/>
      <c r="H54" s="116"/>
      <c r="I54" s="116"/>
      <c r="J54" s="116"/>
      <c r="K54" s="116"/>
    </row>
    <row r="55" spans="1:11">
      <c r="A55" s="116"/>
      <c r="B55" s="117"/>
      <c r="C55" s="116"/>
      <c r="D55" s="116"/>
      <c r="E55" s="116"/>
      <c r="F55" s="116"/>
      <c r="G55" s="116"/>
      <c r="H55" s="116"/>
      <c r="I55" s="116"/>
      <c r="J55" s="116"/>
      <c r="K55" s="116"/>
    </row>
    <row r="56" spans="1:11">
      <c r="A56" s="116"/>
      <c r="B56" s="117"/>
      <c r="C56" s="116"/>
      <c r="D56" s="116"/>
      <c r="E56" s="116"/>
      <c r="F56" s="116"/>
      <c r="G56" s="116"/>
      <c r="H56" s="116"/>
      <c r="I56" s="116"/>
      <c r="J56" s="116"/>
      <c r="K56" s="116"/>
    </row>
    <row r="57" spans="1:11">
      <c r="A57" s="116"/>
      <c r="B57" s="117"/>
      <c r="C57" s="116"/>
      <c r="D57" s="116"/>
      <c r="E57" s="116"/>
      <c r="F57" s="116"/>
      <c r="G57" s="116"/>
      <c r="H57" s="116"/>
      <c r="I57" s="116"/>
      <c r="J57" s="116"/>
      <c r="K57" s="116"/>
    </row>
    <row r="58" spans="1:11">
      <c r="A58" s="116"/>
      <c r="B58" s="117"/>
      <c r="C58" s="116"/>
      <c r="D58" s="116"/>
      <c r="E58" s="116"/>
      <c r="F58" s="116"/>
      <c r="G58" s="116"/>
      <c r="H58" s="116"/>
      <c r="I58" s="116"/>
      <c r="J58" s="116"/>
      <c r="K58" s="116"/>
    </row>
    <row r="59" spans="1:11">
      <c r="A59" s="116"/>
      <c r="B59" s="117"/>
      <c r="C59" s="116"/>
      <c r="D59" s="116"/>
      <c r="E59" s="116"/>
      <c r="F59" s="116"/>
      <c r="G59" s="116"/>
      <c r="H59" s="116"/>
      <c r="I59" s="116"/>
      <c r="J59" s="116"/>
      <c r="K59" s="116"/>
    </row>
    <row r="60" spans="1:11">
      <c r="A60" s="116"/>
      <c r="B60" s="117"/>
      <c r="C60" s="116"/>
      <c r="D60" s="116"/>
      <c r="E60" s="116"/>
      <c r="F60" s="116"/>
      <c r="G60" s="116"/>
      <c r="H60" s="116"/>
      <c r="I60" s="116"/>
      <c r="J60" s="116"/>
      <c r="K60" s="116"/>
    </row>
    <row r="61" spans="1:11">
      <c r="A61" s="116"/>
      <c r="B61" s="117"/>
      <c r="C61" s="116"/>
      <c r="D61" s="116"/>
      <c r="E61" s="116"/>
      <c r="F61" s="116"/>
      <c r="G61" s="116"/>
      <c r="H61" s="116"/>
      <c r="I61" s="116"/>
      <c r="J61" s="116"/>
      <c r="K61" s="119"/>
    </row>
    <row r="62" spans="1:11">
      <c r="A62" s="116"/>
      <c r="B62" s="117"/>
      <c r="C62" s="116"/>
      <c r="D62" s="116"/>
      <c r="E62" s="116"/>
      <c r="F62" s="116"/>
      <c r="G62" s="116"/>
      <c r="H62" s="116"/>
      <c r="I62" s="116"/>
      <c r="J62" s="116"/>
      <c r="K62" s="119"/>
    </row>
    <row r="63" spans="1:11">
      <c r="A63" s="116"/>
      <c r="B63" s="117"/>
      <c r="C63" s="116"/>
      <c r="D63" s="116"/>
      <c r="E63" s="116"/>
      <c r="F63" s="116"/>
      <c r="G63" s="116"/>
      <c r="H63" s="116"/>
      <c r="I63" s="116"/>
      <c r="J63" s="116"/>
      <c r="K63" s="119"/>
    </row>
    <row r="64" spans="1:11">
      <c r="A64" s="116"/>
      <c r="B64" s="117"/>
      <c r="C64" s="116"/>
      <c r="D64" s="116"/>
      <c r="E64" s="116"/>
      <c r="F64" s="116"/>
      <c r="G64" s="116"/>
      <c r="H64" s="116"/>
      <c r="I64" s="116"/>
      <c r="J64" s="116"/>
      <c r="K64" s="119"/>
    </row>
    <row r="65" spans="1:11">
      <c r="A65" s="116"/>
      <c r="B65" s="117"/>
      <c r="C65" s="116"/>
      <c r="D65" s="116"/>
      <c r="E65" s="116"/>
      <c r="F65" s="116"/>
      <c r="G65" s="116"/>
      <c r="H65" s="116"/>
      <c r="I65" s="116"/>
      <c r="J65" s="116"/>
      <c r="K65" s="119"/>
    </row>
    <row r="66" spans="1:11">
      <c r="A66" s="116"/>
      <c r="B66" s="117"/>
      <c r="C66" s="116"/>
      <c r="D66" s="116"/>
      <c r="E66" s="116"/>
      <c r="F66" s="116"/>
      <c r="G66" s="116"/>
      <c r="H66" s="116"/>
      <c r="I66" s="116"/>
      <c r="J66" s="116"/>
      <c r="K66" s="119"/>
    </row>
    <row r="67" spans="1:11">
      <c r="A67" s="116"/>
      <c r="B67" s="117"/>
      <c r="C67" s="116"/>
      <c r="D67" s="116"/>
      <c r="E67" s="116"/>
      <c r="F67" s="116"/>
      <c r="G67" s="116"/>
      <c r="H67" s="116"/>
      <c r="I67" s="116"/>
      <c r="J67" s="116"/>
      <c r="K67" s="119"/>
    </row>
    <row r="68" spans="1:11">
      <c r="A68" s="116"/>
      <c r="B68" s="117"/>
      <c r="C68" s="116"/>
      <c r="D68" s="116"/>
      <c r="E68" s="116"/>
      <c r="F68" s="116"/>
      <c r="G68" s="116"/>
      <c r="H68" s="116"/>
      <c r="I68" s="116"/>
      <c r="J68" s="116"/>
      <c r="K68" s="119"/>
    </row>
    <row r="69" spans="1:11">
      <c r="A69" s="116"/>
      <c r="B69" s="117"/>
      <c r="C69" s="116"/>
      <c r="D69" s="116"/>
      <c r="E69" s="116"/>
      <c r="F69" s="116"/>
      <c r="G69" s="116"/>
      <c r="H69" s="116"/>
      <c r="I69" s="116"/>
      <c r="J69" s="116"/>
      <c r="K69" s="119"/>
    </row>
    <row r="70" spans="1:11">
      <c r="A70" s="116"/>
      <c r="B70" s="117"/>
      <c r="C70" s="116"/>
      <c r="D70" s="116"/>
      <c r="E70" s="116"/>
      <c r="F70" s="116"/>
      <c r="G70" s="116"/>
      <c r="H70" s="116"/>
      <c r="I70" s="116"/>
      <c r="J70" s="116"/>
      <c r="K70" s="119"/>
    </row>
    <row r="71" spans="1:11">
      <c r="A71" s="116"/>
      <c r="B71" s="117"/>
      <c r="C71" s="116"/>
      <c r="D71" s="116"/>
      <c r="E71" s="116"/>
      <c r="F71" s="116"/>
      <c r="G71" s="116"/>
      <c r="H71" s="116"/>
      <c r="I71" s="116"/>
      <c r="J71" s="116"/>
      <c r="K71" s="119"/>
    </row>
    <row r="72" spans="1:11">
      <c r="A72" s="116"/>
      <c r="B72" s="117"/>
      <c r="C72" s="116"/>
      <c r="D72" s="116"/>
      <c r="E72" s="116"/>
      <c r="F72" s="116"/>
      <c r="G72" s="116"/>
      <c r="H72" s="116"/>
      <c r="I72" s="116"/>
      <c r="J72" s="116"/>
      <c r="K72" s="119"/>
    </row>
    <row r="73" spans="1:11">
      <c r="A73" s="116"/>
      <c r="B73" s="117"/>
      <c r="C73" s="116"/>
      <c r="D73" s="116"/>
      <c r="E73" s="116"/>
      <c r="F73" s="116"/>
      <c r="G73" s="116"/>
      <c r="H73" s="116"/>
      <c r="I73" s="116"/>
      <c r="J73" s="116"/>
      <c r="K73" s="119"/>
    </row>
    <row r="74" spans="1:11">
      <c r="A74" s="116"/>
      <c r="B74" s="117"/>
      <c r="C74" s="116"/>
      <c r="D74" s="116"/>
      <c r="E74" s="116"/>
      <c r="F74" s="116"/>
      <c r="G74" s="116"/>
      <c r="H74" s="116"/>
      <c r="I74" s="116"/>
      <c r="J74" s="116"/>
      <c r="K74" s="119"/>
    </row>
    <row r="75" spans="1:11">
      <c r="A75" s="116"/>
      <c r="B75" s="117"/>
      <c r="C75" s="116"/>
      <c r="D75" s="116"/>
      <c r="E75" s="116"/>
      <c r="F75" s="116"/>
      <c r="G75" s="116"/>
      <c r="H75" s="116"/>
      <c r="I75" s="116"/>
      <c r="J75" s="116"/>
      <c r="K75" s="119"/>
    </row>
    <row r="76" spans="1:11">
      <c r="A76" s="116"/>
      <c r="B76" s="117"/>
      <c r="C76" s="116"/>
      <c r="D76" s="116"/>
      <c r="E76" s="116"/>
      <c r="F76" s="116"/>
      <c r="G76" s="116"/>
      <c r="H76" s="116"/>
      <c r="I76" s="116"/>
      <c r="J76" s="116"/>
      <c r="K76" s="119"/>
    </row>
    <row r="77" spans="1:11">
      <c r="A77" s="116"/>
      <c r="B77" s="117"/>
      <c r="C77" s="116"/>
      <c r="D77" s="116"/>
      <c r="E77" s="116"/>
      <c r="F77" s="116"/>
      <c r="G77" s="116"/>
      <c r="H77" s="116"/>
      <c r="I77" s="116"/>
      <c r="J77" s="116"/>
      <c r="K77" s="119"/>
    </row>
    <row r="78" spans="1:11">
      <c r="A78" s="116"/>
      <c r="B78" s="117"/>
      <c r="C78" s="116"/>
      <c r="D78" s="116"/>
      <c r="E78" s="116"/>
      <c r="F78" s="116"/>
      <c r="G78" s="116"/>
      <c r="H78" s="116"/>
      <c r="I78" s="116"/>
      <c r="J78" s="116"/>
      <c r="K78" s="119"/>
    </row>
    <row r="79" spans="1:11">
      <c r="A79" s="116"/>
      <c r="B79" s="117"/>
      <c r="C79" s="116"/>
      <c r="D79" s="116"/>
      <c r="E79" s="116"/>
      <c r="F79" s="116"/>
      <c r="G79" s="116"/>
      <c r="H79" s="116"/>
      <c r="I79" s="116"/>
      <c r="J79" s="116"/>
      <c r="K79" s="119"/>
    </row>
    <row r="80" spans="1:11">
      <c r="A80" s="116"/>
      <c r="B80" s="117"/>
      <c r="C80" s="116"/>
      <c r="D80" s="116"/>
      <c r="E80" s="116"/>
      <c r="F80" s="116"/>
      <c r="G80" s="116"/>
      <c r="H80" s="116"/>
      <c r="I80" s="116"/>
      <c r="J80" s="116"/>
      <c r="K80" s="119"/>
    </row>
    <row r="81" spans="1:11">
      <c r="A81" s="116"/>
      <c r="B81" s="117"/>
      <c r="C81" s="116"/>
      <c r="D81" s="116"/>
      <c r="E81" s="116"/>
      <c r="F81" s="116"/>
      <c r="G81" s="116"/>
      <c r="H81" s="116"/>
      <c r="I81" s="116"/>
      <c r="J81" s="116"/>
      <c r="K81" s="119"/>
    </row>
    <row r="82" spans="1:11">
      <c r="A82" s="116"/>
      <c r="B82" s="117"/>
      <c r="C82" s="116"/>
      <c r="D82" s="116"/>
      <c r="E82" s="116"/>
      <c r="F82" s="116"/>
      <c r="G82" s="116"/>
      <c r="H82" s="116"/>
      <c r="I82" s="116"/>
      <c r="J82" s="116"/>
      <c r="K82" s="119"/>
    </row>
    <row r="83" spans="1:11">
      <c r="A83" s="116"/>
      <c r="B83" s="117"/>
      <c r="C83" s="116"/>
      <c r="D83" s="116"/>
      <c r="E83" s="116"/>
      <c r="F83" s="116"/>
      <c r="G83" s="116"/>
      <c r="H83" s="116"/>
      <c r="I83" s="116"/>
      <c r="J83" s="116"/>
      <c r="K83" s="119"/>
    </row>
    <row r="84" spans="1:11">
      <c r="A84" s="116"/>
      <c r="B84" s="117"/>
      <c r="C84" s="116"/>
      <c r="D84" s="116"/>
      <c r="E84" s="116"/>
      <c r="F84" s="116"/>
      <c r="G84" s="116"/>
      <c r="H84" s="116"/>
      <c r="I84" s="116"/>
      <c r="J84" s="116"/>
      <c r="K84" s="119"/>
    </row>
    <row r="85" spans="1:11">
      <c r="A85" s="116"/>
      <c r="B85" s="117"/>
      <c r="C85" s="116"/>
      <c r="D85" s="116"/>
      <c r="E85" s="116"/>
      <c r="F85" s="116"/>
      <c r="G85" s="116"/>
      <c r="H85" s="116"/>
      <c r="I85" s="116"/>
      <c r="J85" s="116"/>
      <c r="K85" s="119"/>
    </row>
    <row r="86" spans="1:11">
      <c r="A86" s="116"/>
      <c r="B86" s="117"/>
      <c r="C86" s="116"/>
      <c r="D86" s="116"/>
      <c r="E86" s="116"/>
      <c r="F86" s="116"/>
      <c r="G86" s="116"/>
      <c r="H86" s="116"/>
      <c r="I86" s="116"/>
      <c r="J86" s="116"/>
      <c r="K86" s="119"/>
    </row>
    <row r="87" spans="1:11">
      <c r="A87" s="116"/>
      <c r="B87" s="117"/>
      <c r="C87" s="116"/>
      <c r="D87" s="116"/>
      <c r="E87" s="116"/>
      <c r="F87" s="116"/>
      <c r="G87" s="116"/>
      <c r="H87" s="116"/>
      <c r="I87" s="116"/>
      <c r="J87" s="116"/>
      <c r="K87" s="116"/>
    </row>
    <row r="88" spans="1:11">
      <c r="A88" s="116"/>
      <c r="B88" s="117"/>
      <c r="C88" s="116"/>
      <c r="D88" s="116"/>
      <c r="E88" s="116"/>
      <c r="F88" s="116"/>
      <c r="G88" s="116"/>
      <c r="H88" s="116"/>
      <c r="I88" s="116"/>
      <c r="J88" s="116"/>
      <c r="K88" s="116"/>
    </row>
    <row r="89" spans="1:11">
      <c r="A89" s="116"/>
      <c r="B89" s="117"/>
      <c r="C89" s="116"/>
      <c r="D89" s="116"/>
      <c r="E89" s="116"/>
      <c r="F89" s="116"/>
      <c r="G89" s="116"/>
      <c r="H89" s="116"/>
      <c r="I89" s="116"/>
      <c r="J89" s="116"/>
      <c r="K89" s="116"/>
    </row>
    <row r="90" spans="1:11">
      <c r="A90" s="116"/>
      <c r="B90" s="117"/>
      <c r="C90" s="116"/>
      <c r="D90" s="116"/>
      <c r="E90" s="116"/>
      <c r="F90" s="116"/>
      <c r="G90" s="116"/>
      <c r="H90" s="116"/>
      <c r="I90" s="116"/>
      <c r="J90" s="116"/>
      <c r="K90" s="116"/>
    </row>
    <row r="91" spans="1:11">
      <c r="A91" s="116"/>
      <c r="B91" s="117"/>
      <c r="C91" s="116"/>
      <c r="D91" s="116"/>
      <c r="E91" s="116"/>
      <c r="F91" s="116"/>
      <c r="G91" s="116"/>
      <c r="H91" s="116"/>
      <c r="I91" s="116"/>
      <c r="J91" s="116"/>
      <c r="K91" s="116"/>
    </row>
    <row r="92" spans="1:11">
      <c r="A92" s="116"/>
      <c r="B92" s="117"/>
      <c r="C92" s="116"/>
      <c r="D92" s="116"/>
      <c r="E92" s="116"/>
      <c r="F92" s="116"/>
      <c r="G92" s="116"/>
      <c r="H92" s="116"/>
      <c r="I92" s="116"/>
      <c r="J92" s="116"/>
      <c r="K92" s="116"/>
    </row>
    <row r="93" spans="1:11">
      <c r="A93" s="116"/>
      <c r="B93" s="117"/>
      <c r="C93" s="116"/>
      <c r="D93" s="116"/>
      <c r="E93" s="116"/>
      <c r="F93" s="116"/>
      <c r="G93" s="116"/>
      <c r="H93" s="116"/>
      <c r="I93" s="116"/>
      <c r="J93" s="116"/>
      <c r="K93" s="116"/>
    </row>
    <row r="94" spans="1:11">
      <c r="A94" s="116"/>
      <c r="B94" s="117"/>
      <c r="C94" s="116"/>
      <c r="D94" s="116"/>
      <c r="E94" s="116"/>
      <c r="F94" s="116"/>
      <c r="G94" s="116"/>
      <c r="H94" s="116"/>
      <c r="I94" s="116"/>
      <c r="J94" s="116"/>
      <c r="K94" s="116"/>
    </row>
    <row r="95" spans="1:11">
      <c r="A95" s="116"/>
      <c r="B95" s="117"/>
      <c r="C95" s="116"/>
      <c r="D95" s="116"/>
      <c r="E95" s="116"/>
      <c r="F95" s="116"/>
      <c r="G95" s="116"/>
      <c r="H95" s="116"/>
      <c r="I95" s="116"/>
      <c r="J95" s="116"/>
      <c r="K95" s="116"/>
    </row>
    <row r="96" spans="1:11">
      <c r="A96" s="116"/>
      <c r="B96" s="117"/>
      <c r="C96" s="116"/>
      <c r="D96" s="116"/>
      <c r="E96" s="116"/>
      <c r="F96" s="116"/>
      <c r="G96" s="116"/>
      <c r="H96" s="116"/>
      <c r="I96" s="116"/>
      <c r="J96" s="116"/>
      <c r="K96" s="116"/>
    </row>
    <row r="97" spans="1:11">
      <c r="A97" s="116"/>
      <c r="B97" s="117"/>
      <c r="C97" s="116"/>
      <c r="D97" s="116"/>
      <c r="E97" s="116"/>
      <c r="F97" s="116"/>
      <c r="G97" s="116"/>
      <c r="H97" s="116"/>
      <c r="I97" s="116"/>
      <c r="J97" s="116"/>
      <c r="K97" s="116"/>
    </row>
    <row r="98" spans="1:11">
      <c r="A98" s="116"/>
      <c r="B98" s="117"/>
      <c r="C98" s="116"/>
      <c r="D98" s="116"/>
      <c r="E98" s="116"/>
      <c r="F98" s="116"/>
      <c r="G98" s="116"/>
      <c r="H98" s="116"/>
      <c r="I98" s="116"/>
      <c r="J98" s="116"/>
      <c r="K98" s="116"/>
    </row>
    <row r="99" spans="1:11">
      <c r="A99" s="116"/>
      <c r="B99" s="117"/>
      <c r="C99" s="116"/>
      <c r="D99" s="116"/>
      <c r="E99" s="116"/>
      <c r="F99" s="116"/>
      <c r="G99" s="116"/>
      <c r="H99" s="116"/>
      <c r="I99" s="116"/>
      <c r="J99" s="116"/>
      <c r="K99" s="116"/>
    </row>
    <row r="100" spans="1:11">
      <c r="A100" s="116"/>
      <c r="B100" s="117"/>
      <c r="C100" s="116"/>
      <c r="D100" s="116"/>
      <c r="E100" s="116"/>
      <c r="F100" s="116"/>
      <c r="G100" s="116"/>
      <c r="H100" s="116"/>
      <c r="I100" s="116"/>
      <c r="J100" s="116"/>
      <c r="K100" s="116"/>
    </row>
    <row r="101" spans="1:11">
      <c r="A101" s="116"/>
      <c r="B101" s="117"/>
      <c r="C101" s="116"/>
      <c r="D101" s="116"/>
      <c r="E101" s="116"/>
      <c r="F101" s="116"/>
      <c r="G101" s="116"/>
      <c r="H101" s="116"/>
      <c r="I101" s="116"/>
      <c r="J101" s="116"/>
      <c r="K101" s="116"/>
    </row>
    <row r="102" spans="1:11">
      <c r="A102" s="116"/>
      <c r="B102" s="117"/>
      <c r="C102" s="116"/>
      <c r="D102" s="116"/>
      <c r="E102" s="116"/>
      <c r="F102" s="116"/>
      <c r="G102" s="116"/>
      <c r="H102" s="116"/>
      <c r="I102" s="116"/>
      <c r="J102" s="116"/>
      <c r="K102" s="116"/>
    </row>
    <row r="103" spans="1:11">
      <c r="A103" s="116"/>
      <c r="B103" s="117"/>
      <c r="C103" s="116"/>
      <c r="D103" s="116"/>
      <c r="E103" s="116"/>
      <c r="F103" s="116"/>
      <c r="G103" s="116"/>
      <c r="H103" s="116"/>
      <c r="I103" s="116"/>
      <c r="J103" s="116"/>
      <c r="K103" s="116"/>
    </row>
    <row r="104" spans="1:11">
      <c r="A104" s="116"/>
      <c r="B104" s="117"/>
      <c r="C104" s="116"/>
      <c r="D104" s="116"/>
      <c r="E104" s="116"/>
      <c r="F104" s="116"/>
      <c r="G104" s="116"/>
      <c r="H104" s="116"/>
      <c r="I104" s="116"/>
      <c r="J104" s="116"/>
      <c r="K104" s="116"/>
    </row>
    <row r="105" spans="1:11">
      <c r="A105" s="116"/>
      <c r="B105" s="117"/>
      <c r="C105" s="116"/>
      <c r="D105" s="116"/>
      <c r="E105" s="116"/>
      <c r="F105" s="116"/>
      <c r="G105" s="116"/>
      <c r="H105" s="116"/>
      <c r="I105" s="116"/>
      <c r="J105" s="116"/>
      <c r="K105" s="116"/>
    </row>
    <row r="106" spans="1:11">
      <c r="A106" s="116"/>
      <c r="B106" s="117"/>
      <c r="C106" s="116"/>
      <c r="D106" s="116"/>
      <c r="E106" s="116"/>
      <c r="F106" s="116"/>
      <c r="G106" s="116"/>
      <c r="H106" s="116"/>
      <c r="I106" s="116"/>
      <c r="J106" s="116"/>
      <c r="K106" s="116"/>
    </row>
    <row r="107" spans="1:11">
      <c r="A107" s="116"/>
      <c r="B107" s="117"/>
      <c r="C107" s="116"/>
      <c r="D107" s="116"/>
      <c r="E107" s="116"/>
      <c r="F107" s="116"/>
      <c r="G107" s="116"/>
      <c r="H107" s="116"/>
      <c r="I107" s="116"/>
      <c r="J107" s="116"/>
      <c r="K107" s="116"/>
    </row>
    <row r="108" spans="1:11">
      <c r="A108" s="116"/>
      <c r="B108" s="117"/>
      <c r="C108" s="116"/>
      <c r="D108" s="116"/>
      <c r="E108" s="116"/>
      <c r="F108" s="116"/>
      <c r="G108" s="116"/>
      <c r="H108" s="116"/>
      <c r="I108" s="116"/>
      <c r="J108" s="116"/>
      <c r="K108" s="116"/>
    </row>
    <row r="109" spans="1:11">
      <c r="A109" s="116"/>
      <c r="B109" s="117"/>
      <c r="C109" s="116"/>
      <c r="D109" s="116"/>
      <c r="E109" s="116"/>
      <c r="F109" s="116"/>
      <c r="G109" s="116"/>
      <c r="H109" s="116"/>
      <c r="I109" s="116"/>
      <c r="J109" s="116"/>
      <c r="K109" s="116"/>
    </row>
    <row r="110" spans="1:11">
      <c r="A110" s="116"/>
      <c r="B110" s="117"/>
      <c r="C110" s="116"/>
      <c r="D110" s="116"/>
      <c r="E110" s="116"/>
      <c r="F110" s="116"/>
      <c r="G110" s="116"/>
      <c r="H110" s="116"/>
      <c r="I110" s="116"/>
      <c r="J110" s="116"/>
      <c r="K110" s="116"/>
    </row>
    <row r="111" spans="1:11">
      <c r="A111" s="116"/>
      <c r="B111" s="117"/>
      <c r="C111" s="116"/>
      <c r="D111" s="116"/>
      <c r="E111" s="116"/>
      <c r="F111" s="116"/>
      <c r="G111" s="116"/>
      <c r="H111" s="116"/>
      <c r="I111" s="116"/>
      <c r="J111" s="116"/>
      <c r="K111" s="116"/>
    </row>
    <row r="112" spans="1:11">
      <c r="A112" s="116"/>
      <c r="B112" s="117"/>
      <c r="C112" s="116"/>
      <c r="D112" s="116"/>
      <c r="E112" s="116"/>
      <c r="F112" s="116"/>
      <c r="G112" s="116"/>
      <c r="H112" s="116"/>
      <c r="I112" s="116"/>
      <c r="J112" s="116"/>
      <c r="K112" s="116"/>
    </row>
    <row r="113" spans="1:11">
      <c r="A113" s="116"/>
      <c r="B113" s="117"/>
      <c r="C113" s="116"/>
      <c r="D113" s="116"/>
      <c r="E113" s="116"/>
      <c r="F113" s="116"/>
      <c r="G113" s="116"/>
      <c r="H113" s="116"/>
      <c r="I113" s="116"/>
      <c r="J113" s="116"/>
      <c r="K113" s="116"/>
    </row>
    <row r="114" spans="1:11">
      <c r="A114" s="116"/>
      <c r="B114" s="117"/>
      <c r="C114" s="116"/>
      <c r="D114" s="116"/>
      <c r="E114" s="116"/>
      <c r="F114" s="116"/>
      <c r="G114" s="116"/>
      <c r="H114" s="116"/>
      <c r="I114" s="116"/>
      <c r="J114" s="116"/>
      <c r="K114" s="116"/>
    </row>
    <row r="115" spans="1:11">
      <c r="A115" s="116"/>
      <c r="B115" s="117"/>
      <c r="C115" s="116"/>
      <c r="D115" s="116"/>
      <c r="E115" s="116"/>
      <c r="F115" s="116"/>
      <c r="G115" s="116"/>
      <c r="H115" s="116"/>
      <c r="I115" s="116"/>
      <c r="J115" s="116"/>
      <c r="K115" s="116"/>
    </row>
    <row r="116" spans="1:11">
      <c r="A116" s="116"/>
      <c r="B116" s="117"/>
      <c r="C116" s="116"/>
      <c r="D116" s="116"/>
      <c r="E116" s="116"/>
      <c r="F116" s="116"/>
      <c r="G116" s="116"/>
      <c r="H116" s="116"/>
      <c r="I116" s="116"/>
      <c r="J116" s="116"/>
      <c r="K116" s="116"/>
    </row>
    <row r="117" spans="1:11">
      <c r="A117" s="116"/>
      <c r="B117" s="117"/>
      <c r="C117" s="116"/>
      <c r="D117" s="116"/>
      <c r="E117" s="116"/>
      <c r="F117" s="116"/>
      <c r="G117" s="116"/>
      <c r="H117" s="116"/>
      <c r="I117" s="116"/>
      <c r="J117" s="116"/>
      <c r="K117" s="116"/>
    </row>
    <row r="118" spans="1:11">
      <c r="A118" s="116"/>
      <c r="B118" s="117"/>
      <c r="C118" s="116"/>
      <c r="D118" s="116"/>
      <c r="E118" s="116"/>
      <c r="F118" s="116"/>
      <c r="G118" s="116"/>
      <c r="H118" s="116"/>
      <c r="I118" s="116"/>
      <c r="J118" s="116"/>
      <c r="K118" s="116"/>
    </row>
    <row r="119" spans="1:11">
      <c r="A119" s="116"/>
      <c r="B119" s="117"/>
      <c r="C119" s="116"/>
      <c r="D119" s="116"/>
      <c r="E119" s="116"/>
      <c r="F119" s="116"/>
      <c r="G119" s="116"/>
      <c r="H119" s="116"/>
      <c r="I119" s="116"/>
      <c r="J119" s="116"/>
      <c r="K119" s="116"/>
    </row>
    <row r="120" spans="1:11">
      <c r="A120" s="116"/>
      <c r="B120" s="117"/>
      <c r="C120" s="116"/>
      <c r="D120" s="116"/>
      <c r="E120" s="116"/>
      <c r="F120" s="116"/>
      <c r="G120" s="116"/>
      <c r="H120" s="116"/>
      <c r="I120" s="116"/>
      <c r="J120" s="116"/>
      <c r="K120" s="116"/>
    </row>
    <row r="121" spans="1:11">
      <c r="A121" s="116"/>
      <c r="B121" s="117"/>
      <c r="C121" s="116"/>
      <c r="D121" s="116"/>
      <c r="E121" s="116"/>
      <c r="F121" s="116"/>
      <c r="G121" s="116"/>
      <c r="H121" s="116"/>
      <c r="I121" s="116"/>
      <c r="J121" s="116"/>
      <c r="K121" s="116"/>
    </row>
    <row r="122" spans="1:11">
      <c r="A122" s="116"/>
      <c r="B122" s="117"/>
      <c r="C122" s="116"/>
      <c r="D122" s="116"/>
      <c r="E122" s="116"/>
      <c r="F122" s="116"/>
      <c r="G122" s="116"/>
      <c r="H122" s="116"/>
      <c r="I122" s="116"/>
      <c r="J122" s="116"/>
      <c r="K122" s="116"/>
    </row>
    <row r="123" spans="1:11">
      <c r="A123" s="116"/>
      <c r="B123" s="117"/>
      <c r="C123" s="116"/>
      <c r="D123" s="116"/>
      <c r="E123" s="116"/>
      <c r="F123" s="116"/>
      <c r="G123" s="116"/>
      <c r="H123" s="116"/>
      <c r="I123" s="116"/>
      <c r="J123" s="116"/>
      <c r="K123" s="116"/>
    </row>
    <row r="124" spans="1:11">
      <c r="A124" s="116"/>
      <c r="B124" s="117"/>
      <c r="C124" s="116"/>
      <c r="D124" s="116"/>
      <c r="E124" s="116"/>
      <c r="F124" s="116"/>
      <c r="G124" s="116"/>
      <c r="H124" s="116"/>
      <c r="I124" s="116"/>
      <c r="J124" s="116"/>
      <c r="K124" s="116"/>
    </row>
    <row r="125" spans="1:11">
      <c r="A125" s="116"/>
      <c r="B125" s="117"/>
      <c r="C125" s="116"/>
      <c r="D125" s="116"/>
      <c r="E125" s="116"/>
      <c r="F125" s="116"/>
      <c r="G125" s="116"/>
      <c r="H125" s="116"/>
      <c r="I125" s="116"/>
      <c r="J125" s="116"/>
      <c r="K125" s="116"/>
    </row>
    <row r="126" spans="1:11">
      <c r="A126" s="116"/>
      <c r="B126" s="117"/>
      <c r="C126" s="116"/>
      <c r="D126" s="116"/>
      <c r="E126" s="116"/>
      <c r="F126" s="116"/>
      <c r="G126" s="116"/>
      <c r="H126" s="116"/>
      <c r="I126" s="116"/>
      <c r="J126" s="116"/>
      <c r="K126" s="116"/>
    </row>
    <row r="127" spans="1:11">
      <c r="A127" s="116"/>
      <c r="B127" s="117"/>
      <c r="C127" s="116"/>
      <c r="D127" s="116"/>
      <c r="E127" s="116"/>
      <c r="F127" s="116"/>
      <c r="G127" s="116"/>
      <c r="H127" s="116"/>
      <c r="I127" s="116"/>
      <c r="J127" s="116"/>
      <c r="K127" s="116"/>
    </row>
    <row r="128" spans="1:11">
      <c r="A128" s="116"/>
      <c r="B128" s="117"/>
      <c r="C128" s="116"/>
      <c r="D128" s="116"/>
      <c r="E128" s="116"/>
      <c r="F128" s="116"/>
      <c r="G128" s="116"/>
      <c r="H128" s="116"/>
      <c r="I128" s="116"/>
      <c r="J128" s="116"/>
      <c r="K128" s="116"/>
    </row>
    <row r="129" spans="1:11">
      <c r="A129" s="116"/>
      <c r="B129" s="117"/>
      <c r="C129" s="116"/>
      <c r="D129" s="116"/>
      <c r="E129" s="116"/>
      <c r="F129" s="116"/>
      <c r="G129" s="116"/>
      <c r="H129" s="116"/>
      <c r="I129" s="116"/>
      <c r="J129" s="116"/>
      <c r="K129" s="116"/>
    </row>
    <row r="130" spans="1:11">
      <c r="A130" s="116"/>
      <c r="B130" s="117"/>
      <c r="C130" s="116"/>
      <c r="D130" s="116"/>
      <c r="E130" s="116"/>
      <c r="F130" s="116"/>
      <c r="G130" s="116"/>
      <c r="H130" s="116"/>
      <c r="I130" s="116"/>
      <c r="J130" s="116"/>
      <c r="K130" s="116"/>
    </row>
    <row r="131" spans="1:11">
      <c r="A131" s="116"/>
      <c r="B131" s="117"/>
      <c r="C131" s="116"/>
      <c r="D131" s="116"/>
      <c r="E131" s="116"/>
      <c r="F131" s="116"/>
      <c r="G131" s="116"/>
      <c r="H131" s="116"/>
      <c r="I131" s="116"/>
      <c r="J131" s="116"/>
      <c r="K131" s="116"/>
    </row>
    <row r="132" spans="1:11">
      <c r="A132" s="116"/>
      <c r="B132" s="117"/>
      <c r="C132" s="116"/>
      <c r="D132" s="116"/>
      <c r="E132" s="116"/>
      <c r="F132" s="116"/>
      <c r="G132" s="116"/>
      <c r="H132" s="116"/>
      <c r="I132" s="116"/>
      <c r="J132" s="116"/>
      <c r="K132" s="116"/>
    </row>
    <row r="133" spans="1:11">
      <c r="A133" s="116"/>
      <c r="B133" s="117"/>
      <c r="C133" s="116"/>
      <c r="D133" s="116"/>
      <c r="E133" s="116"/>
      <c r="F133" s="116"/>
      <c r="G133" s="116"/>
      <c r="H133" s="116"/>
      <c r="I133" s="116"/>
      <c r="J133" s="116"/>
      <c r="K133" s="116"/>
    </row>
    <row r="134" spans="1:11">
      <c r="A134" s="116"/>
      <c r="B134" s="117"/>
      <c r="C134" s="116"/>
      <c r="D134" s="116"/>
      <c r="E134" s="116"/>
      <c r="F134" s="116"/>
      <c r="G134" s="116"/>
      <c r="H134" s="116"/>
      <c r="I134" s="116"/>
      <c r="J134" s="116"/>
      <c r="K134" s="116"/>
    </row>
    <row r="135" spans="1:11">
      <c r="A135" s="116"/>
      <c r="B135" s="117"/>
      <c r="C135" s="116"/>
      <c r="D135" s="116"/>
      <c r="E135" s="116"/>
      <c r="F135" s="116"/>
      <c r="G135" s="116"/>
      <c r="H135" s="116"/>
      <c r="I135" s="116"/>
      <c r="J135" s="116"/>
      <c r="K135" s="116"/>
    </row>
    <row r="136" spans="1:11">
      <c r="A136" s="116"/>
      <c r="B136" s="117"/>
      <c r="C136" s="116"/>
      <c r="D136" s="116"/>
      <c r="E136" s="116"/>
      <c r="F136" s="116"/>
      <c r="G136" s="116"/>
      <c r="H136" s="116"/>
      <c r="I136" s="116"/>
      <c r="J136" s="116"/>
      <c r="K136" s="116"/>
    </row>
    <row r="137" spans="1:11">
      <c r="A137" s="116"/>
      <c r="B137" s="117"/>
      <c r="C137" s="116"/>
      <c r="D137" s="116"/>
      <c r="E137" s="116"/>
      <c r="F137" s="116"/>
      <c r="G137" s="116"/>
      <c r="H137" s="116"/>
      <c r="I137" s="116"/>
      <c r="J137" s="116"/>
      <c r="K137" s="116"/>
    </row>
    <row r="138" spans="1:11">
      <c r="A138" s="116"/>
      <c r="B138" s="117"/>
      <c r="C138" s="116"/>
      <c r="D138" s="116"/>
      <c r="E138" s="116"/>
      <c r="F138" s="116"/>
      <c r="G138" s="116"/>
      <c r="H138" s="116"/>
      <c r="I138" s="116"/>
      <c r="J138" s="116"/>
      <c r="K138" s="116"/>
    </row>
    <row r="139" spans="1:11">
      <c r="A139" s="116"/>
      <c r="B139" s="117"/>
      <c r="C139" s="116"/>
      <c r="D139" s="116"/>
      <c r="E139" s="116"/>
      <c r="F139" s="116"/>
      <c r="G139" s="116"/>
      <c r="H139" s="116"/>
      <c r="I139" s="116"/>
      <c r="J139" s="116"/>
      <c r="K139" s="116"/>
    </row>
    <row r="140" spans="1:11">
      <c r="A140" s="116"/>
      <c r="B140" s="117"/>
      <c r="C140" s="116"/>
      <c r="D140" s="116"/>
      <c r="E140" s="116"/>
      <c r="F140" s="116"/>
      <c r="G140" s="116"/>
      <c r="H140" s="116"/>
      <c r="I140" s="116"/>
      <c r="J140" s="116"/>
      <c r="K140" s="116"/>
    </row>
    <row r="141" spans="1:11">
      <c r="A141" s="116"/>
      <c r="B141" s="117"/>
      <c r="C141" s="116"/>
      <c r="D141" s="116"/>
      <c r="E141" s="116"/>
      <c r="F141" s="116"/>
      <c r="G141" s="116"/>
      <c r="H141" s="116"/>
      <c r="I141" s="116"/>
      <c r="J141" s="116"/>
      <c r="K141" s="116"/>
    </row>
    <row r="142" spans="1:11">
      <c r="A142" s="116"/>
      <c r="B142" s="117"/>
      <c r="C142" s="116"/>
      <c r="D142" s="116"/>
      <c r="E142" s="116"/>
      <c r="F142" s="116"/>
      <c r="G142" s="116"/>
      <c r="H142" s="116"/>
      <c r="I142" s="116"/>
      <c r="J142" s="116"/>
      <c r="K142" s="116"/>
    </row>
    <row r="143" spans="1:11">
      <c r="A143" s="116"/>
      <c r="B143" s="117"/>
      <c r="C143" s="116"/>
      <c r="D143" s="116"/>
      <c r="E143" s="116"/>
      <c r="F143" s="116"/>
      <c r="G143" s="116"/>
      <c r="H143" s="116"/>
      <c r="I143" s="116"/>
      <c r="J143" s="116"/>
      <c r="K143" s="116"/>
    </row>
    <row r="144" spans="1:11">
      <c r="A144" s="116"/>
      <c r="B144" s="117"/>
      <c r="C144" s="116"/>
      <c r="D144" s="116"/>
      <c r="E144" s="116"/>
      <c r="F144" s="116"/>
      <c r="G144" s="116"/>
      <c r="H144" s="116"/>
      <c r="I144" s="116"/>
      <c r="J144" s="116"/>
      <c r="K144" s="116"/>
    </row>
    <row r="145" spans="1:11">
      <c r="A145" s="116"/>
      <c r="B145" s="117"/>
      <c r="C145" s="116"/>
      <c r="D145" s="116"/>
      <c r="E145" s="116"/>
      <c r="F145" s="116"/>
      <c r="G145" s="116"/>
      <c r="H145" s="116"/>
      <c r="I145" s="116"/>
      <c r="J145" s="116"/>
      <c r="K145" s="116"/>
    </row>
    <row r="146" spans="1:11">
      <c r="A146" s="116"/>
      <c r="B146" s="117"/>
      <c r="C146" s="116"/>
      <c r="D146" s="116"/>
      <c r="E146" s="116"/>
      <c r="F146" s="116"/>
      <c r="G146" s="116"/>
      <c r="H146" s="116"/>
      <c r="I146" s="116"/>
      <c r="J146" s="116"/>
      <c r="K146" s="116"/>
    </row>
    <row r="147" spans="1:11">
      <c r="A147" s="116"/>
      <c r="B147" s="117"/>
      <c r="C147" s="116"/>
      <c r="D147" s="116"/>
      <c r="E147" s="116"/>
      <c r="F147" s="116"/>
      <c r="G147" s="116"/>
      <c r="H147" s="116"/>
      <c r="I147" s="116"/>
      <c r="J147" s="116"/>
      <c r="K147" s="116"/>
    </row>
    <row r="148" spans="1:11">
      <c r="A148" s="116"/>
      <c r="B148" s="117"/>
      <c r="C148" s="116"/>
      <c r="D148" s="116"/>
      <c r="E148" s="116"/>
      <c r="F148" s="116"/>
      <c r="G148" s="116"/>
      <c r="H148" s="116"/>
      <c r="I148" s="116"/>
      <c r="J148" s="116"/>
      <c r="K148" s="116"/>
    </row>
    <row r="149" spans="1:11">
      <c r="A149" s="116"/>
      <c r="B149" s="117"/>
      <c r="C149" s="116"/>
      <c r="D149" s="116"/>
      <c r="E149" s="116"/>
      <c r="F149" s="116"/>
      <c r="G149" s="116"/>
      <c r="H149" s="116"/>
      <c r="I149" s="116"/>
      <c r="J149" s="116"/>
      <c r="K149" s="116"/>
    </row>
    <row r="150" spans="1:11">
      <c r="A150" s="116"/>
      <c r="B150" s="117"/>
      <c r="C150" s="116"/>
      <c r="D150" s="116"/>
      <c r="E150" s="116"/>
      <c r="F150" s="116"/>
      <c r="G150" s="116"/>
      <c r="H150" s="116"/>
      <c r="I150" s="116"/>
      <c r="J150" s="116"/>
      <c r="K150" s="116"/>
    </row>
    <row r="151" spans="1:11">
      <c r="A151" s="116"/>
      <c r="B151" s="117"/>
      <c r="C151" s="116"/>
      <c r="D151" s="116"/>
      <c r="E151" s="116"/>
      <c r="F151" s="116"/>
      <c r="G151" s="116"/>
      <c r="H151" s="116"/>
      <c r="I151" s="116"/>
      <c r="J151" s="116"/>
      <c r="K151" s="116"/>
    </row>
    <row r="152" spans="1:11">
      <c r="A152" s="116"/>
      <c r="B152" s="117"/>
      <c r="C152" s="116"/>
      <c r="D152" s="116"/>
      <c r="E152" s="116"/>
      <c r="F152" s="116"/>
      <c r="G152" s="116"/>
      <c r="H152" s="116"/>
      <c r="I152" s="116"/>
      <c r="J152" s="116"/>
      <c r="K152" s="116"/>
    </row>
    <row r="153" spans="1:11">
      <c r="A153" s="116"/>
      <c r="B153" s="117"/>
      <c r="C153" s="116"/>
      <c r="D153" s="116"/>
      <c r="E153" s="116"/>
      <c r="F153" s="116"/>
      <c r="G153" s="116"/>
      <c r="H153" s="116"/>
      <c r="I153" s="116"/>
      <c r="J153" s="116"/>
      <c r="K153" s="116"/>
    </row>
    <row r="154" spans="1:11">
      <c r="A154" s="116"/>
      <c r="B154" s="117"/>
      <c r="C154" s="116"/>
      <c r="D154" s="116"/>
      <c r="E154" s="116"/>
      <c r="F154" s="116"/>
      <c r="G154" s="116"/>
      <c r="H154" s="116"/>
      <c r="I154" s="116"/>
      <c r="J154" s="116"/>
      <c r="K154" s="116"/>
    </row>
    <row r="155" spans="1:11">
      <c r="A155" s="116"/>
      <c r="B155" s="117"/>
      <c r="C155" s="116"/>
      <c r="D155" s="116"/>
      <c r="E155" s="116"/>
      <c r="F155" s="116"/>
      <c r="G155" s="116"/>
      <c r="H155" s="116"/>
      <c r="I155" s="116"/>
      <c r="J155" s="116"/>
      <c r="K155" s="116"/>
    </row>
    <row r="156" spans="1:11">
      <c r="A156" s="116"/>
      <c r="B156" s="117"/>
      <c r="C156" s="116"/>
      <c r="D156" s="116"/>
      <c r="E156" s="116"/>
      <c r="F156" s="116"/>
      <c r="G156" s="116"/>
      <c r="H156" s="116"/>
      <c r="I156" s="116"/>
      <c r="J156" s="116"/>
      <c r="K156" s="116"/>
    </row>
    <row r="157" spans="1:11">
      <c r="A157" s="116"/>
      <c r="B157" s="117"/>
      <c r="C157" s="116"/>
      <c r="D157" s="116"/>
      <c r="E157" s="116"/>
      <c r="F157" s="116"/>
      <c r="G157" s="116"/>
      <c r="H157" s="116"/>
      <c r="I157" s="116"/>
      <c r="J157" s="116"/>
      <c r="K157" s="116"/>
    </row>
    <row r="158" spans="1:11">
      <c r="A158" s="116"/>
      <c r="B158" s="117"/>
      <c r="C158" s="116"/>
      <c r="D158" s="116"/>
      <c r="E158" s="116"/>
      <c r="F158" s="116"/>
      <c r="G158" s="116"/>
      <c r="H158" s="116"/>
      <c r="I158" s="116"/>
      <c r="J158" s="116"/>
      <c r="K158" s="116"/>
    </row>
    <row r="159" spans="1:11">
      <c r="A159" s="116"/>
      <c r="B159" s="117"/>
      <c r="C159" s="116"/>
      <c r="D159" s="116"/>
      <c r="E159" s="116"/>
      <c r="F159" s="116"/>
      <c r="G159" s="116"/>
      <c r="H159" s="116"/>
      <c r="I159" s="116"/>
      <c r="J159" s="116"/>
      <c r="K159" s="116"/>
    </row>
    <row r="160" spans="1:11">
      <c r="A160" s="116"/>
      <c r="B160" s="117"/>
      <c r="C160" s="116"/>
      <c r="D160" s="116"/>
      <c r="E160" s="116"/>
      <c r="F160" s="116"/>
      <c r="G160" s="116"/>
      <c r="H160" s="116"/>
      <c r="I160" s="116"/>
      <c r="J160" s="116"/>
      <c r="K160" s="116"/>
    </row>
    <row r="161" spans="1:11">
      <c r="A161" s="116"/>
      <c r="B161" s="117"/>
      <c r="C161" s="116"/>
      <c r="D161" s="116"/>
      <c r="E161" s="116"/>
      <c r="F161" s="116"/>
      <c r="G161" s="116"/>
      <c r="H161" s="116"/>
      <c r="I161" s="116"/>
      <c r="J161" s="116"/>
      <c r="K161" s="116"/>
    </row>
    <row r="162" spans="1:11">
      <c r="A162" s="116"/>
      <c r="B162" s="117"/>
      <c r="C162" s="116"/>
      <c r="D162" s="116"/>
      <c r="E162" s="116"/>
      <c r="F162" s="116"/>
      <c r="G162" s="116"/>
      <c r="H162" s="116"/>
      <c r="I162" s="116"/>
      <c r="J162" s="116"/>
      <c r="K162" s="116"/>
    </row>
    <row r="163" spans="1:11">
      <c r="A163" s="116"/>
      <c r="B163" s="117"/>
      <c r="C163" s="116"/>
      <c r="D163" s="116"/>
      <c r="E163" s="116"/>
      <c r="F163" s="116"/>
      <c r="G163" s="116"/>
      <c r="H163" s="116"/>
      <c r="I163" s="116"/>
      <c r="J163" s="116"/>
      <c r="K163" s="116"/>
    </row>
    <row r="164" spans="1:11">
      <c r="A164" s="116"/>
      <c r="B164" s="117"/>
      <c r="C164" s="116"/>
      <c r="D164" s="116"/>
      <c r="E164" s="116"/>
      <c r="F164" s="116"/>
      <c r="G164" s="116"/>
      <c r="H164" s="116"/>
      <c r="I164" s="116"/>
      <c r="J164" s="116"/>
      <c r="K164" s="116"/>
    </row>
    <row r="165" spans="1:11">
      <c r="A165" s="116"/>
      <c r="B165" s="117"/>
      <c r="C165" s="116"/>
      <c r="D165" s="116"/>
      <c r="E165" s="116"/>
      <c r="F165" s="116"/>
      <c r="G165" s="116"/>
      <c r="H165" s="116"/>
      <c r="I165" s="116"/>
      <c r="J165" s="116"/>
      <c r="K165" s="116"/>
    </row>
    <row r="166" spans="1:11">
      <c r="A166" s="116"/>
      <c r="B166" s="117"/>
      <c r="C166" s="116"/>
      <c r="D166" s="116"/>
      <c r="E166" s="116"/>
      <c r="F166" s="116"/>
      <c r="G166" s="116"/>
      <c r="H166" s="116"/>
      <c r="I166" s="116"/>
      <c r="J166" s="116"/>
      <c r="K166" s="116"/>
    </row>
    <row r="167" spans="1:11">
      <c r="A167" s="116"/>
      <c r="B167" s="117"/>
      <c r="C167" s="116"/>
      <c r="D167" s="116"/>
      <c r="E167" s="116"/>
      <c r="F167" s="116"/>
      <c r="G167" s="116"/>
      <c r="H167" s="116"/>
      <c r="I167" s="116"/>
      <c r="J167" s="116"/>
      <c r="K167" s="116"/>
    </row>
    <row r="168" spans="1:11">
      <c r="A168" s="116"/>
      <c r="B168" s="117"/>
      <c r="C168" s="116"/>
      <c r="D168" s="116"/>
      <c r="E168" s="116"/>
      <c r="F168" s="116"/>
      <c r="G168" s="116"/>
      <c r="H168" s="116"/>
      <c r="I168" s="116"/>
      <c r="J168" s="116"/>
      <c r="K168" s="116"/>
    </row>
    <row r="169" spans="1:11">
      <c r="A169" s="116"/>
      <c r="B169" s="117"/>
      <c r="C169" s="116"/>
      <c r="D169" s="116"/>
      <c r="E169" s="116"/>
      <c r="F169" s="116"/>
      <c r="G169" s="116"/>
      <c r="H169" s="116"/>
      <c r="I169" s="116"/>
      <c r="J169" s="116"/>
      <c r="K169" s="116"/>
    </row>
    <row r="170" spans="1:11">
      <c r="A170" s="116"/>
      <c r="B170" s="117"/>
      <c r="C170" s="116"/>
      <c r="D170" s="116"/>
      <c r="E170" s="116"/>
      <c r="F170" s="116"/>
      <c r="G170" s="116"/>
      <c r="H170" s="116"/>
      <c r="I170" s="116"/>
      <c r="J170" s="116"/>
      <c r="K170" s="116"/>
    </row>
    <row r="171" spans="1:11">
      <c r="A171" s="116"/>
      <c r="B171" s="117"/>
      <c r="C171" s="116"/>
      <c r="D171" s="116"/>
      <c r="E171" s="116"/>
      <c r="F171" s="116"/>
      <c r="G171" s="116"/>
      <c r="H171" s="116"/>
      <c r="I171" s="116"/>
      <c r="J171" s="116"/>
      <c r="K171" s="116"/>
    </row>
    <row r="172" spans="1:11">
      <c r="A172" s="116"/>
      <c r="B172" s="117"/>
      <c r="C172" s="116"/>
      <c r="D172" s="116"/>
      <c r="E172" s="116"/>
      <c r="F172" s="116"/>
      <c r="G172" s="116"/>
      <c r="H172" s="116"/>
      <c r="I172" s="116"/>
      <c r="J172" s="116"/>
      <c r="K172" s="116"/>
    </row>
    <row r="173" spans="1:11">
      <c r="A173" s="116"/>
      <c r="B173" s="117"/>
      <c r="C173" s="116"/>
      <c r="D173" s="116"/>
      <c r="E173" s="116"/>
      <c r="F173" s="116"/>
      <c r="G173" s="116"/>
      <c r="H173" s="116"/>
      <c r="I173" s="116"/>
      <c r="J173" s="116"/>
      <c r="K173" s="116"/>
    </row>
    <row r="174" spans="1:11">
      <c r="A174" s="116"/>
      <c r="B174" s="117"/>
      <c r="C174" s="116"/>
      <c r="D174" s="116"/>
      <c r="E174" s="116"/>
      <c r="F174" s="116"/>
      <c r="G174" s="116"/>
      <c r="H174" s="116"/>
      <c r="I174" s="116"/>
      <c r="J174" s="116"/>
      <c r="K174" s="116"/>
    </row>
    <row r="175" spans="1:11">
      <c r="A175" s="116"/>
      <c r="B175" s="117"/>
      <c r="C175" s="116"/>
      <c r="D175" s="116"/>
      <c r="E175" s="116"/>
      <c r="F175" s="116"/>
      <c r="G175" s="116"/>
      <c r="H175" s="116"/>
      <c r="I175" s="116"/>
      <c r="J175" s="116"/>
      <c r="K175" s="116"/>
    </row>
    <row r="176" spans="1:11">
      <c r="A176" s="116"/>
      <c r="B176" s="117"/>
      <c r="C176" s="116"/>
      <c r="D176" s="116"/>
      <c r="E176" s="116"/>
      <c r="F176" s="116"/>
      <c r="G176" s="116"/>
      <c r="H176" s="116"/>
      <c r="I176" s="116"/>
      <c r="J176" s="116"/>
      <c r="K176" s="116"/>
    </row>
    <row r="177" spans="1:11">
      <c r="A177" s="116"/>
      <c r="B177" s="117"/>
      <c r="C177" s="116"/>
      <c r="D177" s="116"/>
      <c r="E177" s="116"/>
      <c r="F177" s="116"/>
      <c r="G177" s="116"/>
      <c r="H177" s="116"/>
      <c r="I177" s="116"/>
      <c r="J177" s="116"/>
      <c r="K177" s="116"/>
    </row>
    <row r="178" spans="1:11">
      <c r="A178" s="116"/>
      <c r="B178" s="117"/>
      <c r="C178" s="116"/>
      <c r="D178" s="116"/>
      <c r="E178" s="116"/>
      <c r="F178" s="116"/>
      <c r="G178" s="116"/>
      <c r="H178" s="116"/>
      <c r="I178" s="116"/>
      <c r="J178" s="116"/>
      <c r="K178" s="116"/>
    </row>
    <row r="179" spans="1:11">
      <c r="A179" s="116"/>
      <c r="B179" s="117"/>
      <c r="C179" s="116"/>
      <c r="D179" s="116"/>
      <c r="E179" s="116"/>
      <c r="F179" s="116"/>
      <c r="G179" s="116"/>
      <c r="H179" s="116"/>
      <c r="I179" s="116"/>
      <c r="J179" s="116"/>
      <c r="K179" s="116"/>
    </row>
    <row r="180" spans="1:11">
      <c r="A180" s="116"/>
      <c r="B180" s="117"/>
      <c r="C180" s="116"/>
      <c r="D180" s="116"/>
      <c r="E180" s="116"/>
      <c r="F180" s="116"/>
      <c r="G180" s="116"/>
      <c r="H180" s="116"/>
      <c r="I180" s="116"/>
      <c r="J180" s="116"/>
      <c r="K180" s="116"/>
    </row>
    <row r="181" spans="1:11">
      <c r="A181" s="116"/>
      <c r="B181" s="117"/>
      <c r="C181" s="116"/>
      <c r="D181" s="116"/>
      <c r="E181" s="116"/>
      <c r="F181" s="116"/>
      <c r="G181" s="116"/>
      <c r="H181" s="116"/>
      <c r="I181" s="116"/>
      <c r="J181" s="116"/>
      <c r="K181" s="116"/>
    </row>
    <row r="182" spans="1:11">
      <c r="A182" s="116"/>
      <c r="B182" s="117"/>
      <c r="C182" s="116"/>
      <c r="D182" s="116"/>
      <c r="E182" s="116"/>
      <c r="F182" s="116"/>
      <c r="G182" s="116"/>
      <c r="H182" s="116"/>
      <c r="I182" s="116"/>
      <c r="J182" s="116"/>
      <c r="K182" s="116"/>
    </row>
    <row r="183" spans="1:11">
      <c r="A183" s="116"/>
      <c r="B183" s="117"/>
      <c r="C183" s="116"/>
      <c r="D183" s="116"/>
      <c r="E183" s="116"/>
      <c r="F183" s="116"/>
      <c r="G183" s="116"/>
      <c r="H183" s="116"/>
      <c r="I183" s="116"/>
      <c r="J183" s="116"/>
      <c r="K183" s="116"/>
    </row>
    <row r="184" spans="1:11">
      <c r="A184" s="116"/>
      <c r="B184" s="117"/>
      <c r="C184" s="116"/>
      <c r="D184" s="116"/>
      <c r="E184" s="116"/>
      <c r="F184" s="116"/>
      <c r="G184" s="116"/>
      <c r="H184" s="116"/>
      <c r="I184" s="116"/>
      <c r="J184" s="116"/>
      <c r="K184" s="116"/>
    </row>
    <row r="185" spans="1:11">
      <c r="A185" s="116"/>
      <c r="B185" s="117"/>
      <c r="C185" s="116"/>
      <c r="D185" s="116"/>
      <c r="E185" s="116"/>
      <c r="F185" s="116"/>
      <c r="G185" s="116"/>
      <c r="H185" s="116"/>
      <c r="I185" s="116"/>
      <c r="J185" s="116"/>
      <c r="K185" s="116"/>
    </row>
    <row r="186" spans="1:11">
      <c r="A186" s="116"/>
      <c r="B186" s="117"/>
      <c r="C186" s="116"/>
      <c r="D186" s="116"/>
      <c r="E186" s="116"/>
      <c r="F186" s="116"/>
      <c r="G186" s="116"/>
      <c r="H186" s="116"/>
      <c r="I186" s="116"/>
      <c r="J186" s="116"/>
      <c r="K186" s="116"/>
    </row>
    <row r="187" spans="1:11">
      <c r="A187" s="116"/>
      <c r="B187" s="117"/>
      <c r="C187" s="116"/>
      <c r="D187" s="116"/>
      <c r="E187" s="116"/>
      <c r="F187" s="116"/>
      <c r="G187" s="116"/>
      <c r="H187" s="116"/>
      <c r="I187" s="116"/>
      <c r="J187" s="116"/>
      <c r="K187" s="116"/>
    </row>
    <row r="188" spans="1:11">
      <c r="A188" s="116"/>
      <c r="B188" s="117"/>
      <c r="C188" s="116"/>
      <c r="D188" s="116"/>
      <c r="E188" s="116"/>
      <c r="F188" s="116"/>
      <c r="G188" s="116"/>
      <c r="H188" s="116"/>
      <c r="I188" s="116"/>
      <c r="J188" s="116"/>
      <c r="K188" s="116"/>
    </row>
    <row r="189" spans="1:11">
      <c r="A189" s="116"/>
      <c r="B189" s="117"/>
      <c r="C189" s="116"/>
      <c r="D189" s="116"/>
      <c r="E189" s="116"/>
      <c r="F189" s="116"/>
      <c r="G189" s="116"/>
      <c r="H189" s="116"/>
      <c r="I189" s="116"/>
      <c r="J189" s="116"/>
      <c r="K189" s="116"/>
    </row>
    <row r="190" spans="1:11">
      <c r="A190" s="116"/>
      <c r="B190" s="117"/>
      <c r="C190" s="116"/>
      <c r="D190" s="116"/>
      <c r="E190" s="116"/>
      <c r="F190" s="116"/>
      <c r="G190" s="116"/>
      <c r="H190" s="116"/>
      <c r="I190" s="116"/>
      <c r="J190" s="116"/>
      <c r="K190" s="116"/>
    </row>
    <row r="191" spans="1:11">
      <c r="A191" s="116"/>
      <c r="B191" s="117"/>
      <c r="C191" s="116"/>
      <c r="D191" s="116"/>
      <c r="E191" s="116"/>
      <c r="F191" s="116"/>
      <c r="G191" s="116"/>
      <c r="H191" s="116"/>
      <c r="I191" s="116"/>
      <c r="J191" s="116"/>
      <c r="K191" s="116"/>
    </row>
    <row r="192" spans="1:11">
      <c r="A192" s="116"/>
      <c r="B192" s="117"/>
      <c r="C192" s="116"/>
      <c r="D192" s="116"/>
      <c r="E192" s="116"/>
      <c r="F192" s="116"/>
      <c r="G192" s="116"/>
      <c r="H192" s="116"/>
      <c r="I192" s="116"/>
      <c r="J192" s="116"/>
      <c r="K192" s="116"/>
    </row>
    <row r="193" spans="1:11">
      <c r="A193" s="116"/>
      <c r="B193" s="117"/>
      <c r="C193" s="116"/>
      <c r="D193" s="116"/>
      <c r="E193" s="116"/>
      <c r="F193" s="116"/>
      <c r="G193" s="116"/>
      <c r="H193" s="116"/>
      <c r="I193" s="116"/>
      <c r="J193" s="116"/>
      <c r="K193" s="116"/>
    </row>
    <row r="194" spans="1:11">
      <c r="A194" s="116"/>
      <c r="B194" s="117"/>
      <c r="C194" s="116"/>
      <c r="D194" s="116"/>
      <c r="E194" s="116"/>
      <c r="F194" s="116"/>
      <c r="G194" s="116"/>
      <c r="H194" s="116"/>
      <c r="I194" s="116"/>
      <c r="J194" s="116"/>
      <c r="K194" s="116"/>
    </row>
    <row r="195" spans="1:11">
      <c r="A195" s="116"/>
      <c r="B195" s="117"/>
      <c r="C195" s="116"/>
      <c r="D195" s="116"/>
      <c r="E195" s="116"/>
      <c r="F195" s="116"/>
      <c r="G195" s="116"/>
      <c r="H195" s="116"/>
      <c r="I195" s="116"/>
      <c r="J195" s="116"/>
      <c r="K195" s="116"/>
    </row>
    <row r="196" spans="1:11">
      <c r="A196" s="116"/>
      <c r="B196" s="117"/>
      <c r="C196" s="116"/>
      <c r="D196" s="116"/>
      <c r="E196" s="116"/>
      <c r="F196" s="116"/>
      <c r="G196" s="116"/>
      <c r="H196" s="116"/>
      <c r="I196" s="116"/>
      <c r="J196" s="116"/>
      <c r="K196" s="116"/>
    </row>
    <row r="197" spans="1:11">
      <c r="A197" s="116"/>
      <c r="B197" s="117"/>
      <c r="C197" s="116"/>
      <c r="D197" s="116"/>
      <c r="E197" s="116"/>
      <c r="F197" s="116"/>
      <c r="G197" s="116"/>
      <c r="H197" s="116"/>
      <c r="I197" s="116"/>
      <c r="J197" s="116"/>
      <c r="K197" s="116"/>
    </row>
    <row r="198" spans="1:11">
      <c r="A198" s="116"/>
      <c r="B198" s="117"/>
      <c r="C198" s="116"/>
      <c r="D198" s="116"/>
      <c r="E198" s="116"/>
      <c r="F198" s="116"/>
      <c r="G198" s="116"/>
      <c r="H198" s="116"/>
      <c r="I198" s="116"/>
      <c r="J198" s="116"/>
      <c r="K198" s="116"/>
    </row>
    <row r="199" spans="1:11">
      <c r="A199" s="116"/>
      <c r="B199" s="117"/>
      <c r="C199" s="116"/>
      <c r="D199" s="116"/>
      <c r="E199" s="116"/>
      <c r="F199" s="116"/>
      <c r="G199" s="116"/>
      <c r="H199" s="116"/>
      <c r="I199" s="116"/>
      <c r="J199" s="116"/>
      <c r="K199" s="116"/>
    </row>
    <row r="200" spans="1:11">
      <c r="A200" s="116"/>
      <c r="B200" s="117"/>
      <c r="C200" s="116"/>
      <c r="D200" s="116"/>
      <c r="E200" s="116"/>
      <c r="F200" s="116"/>
      <c r="G200" s="116"/>
      <c r="H200" s="116"/>
      <c r="I200" s="116"/>
      <c r="J200" s="116"/>
      <c r="K200" s="116"/>
    </row>
    <row r="201" spans="1:11">
      <c r="A201" s="116"/>
      <c r="B201" s="117"/>
      <c r="C201" s="116"/>
      <c r="D201" s="116"/>
      <c r="E201" s="116"/>
      <c r="F201" s="116"/>
      <c r="G201" s="116"/>
      <c r="H201" s="116"/>
      <c r="I201" s="116"/>
      <c r="J201" s="116"/>
      <c r="K201" s="116"/>
    </row>
    <row r="202" spans="1:11">
      <c r="A202" s="116"/>
      <c r="B202" s="117"/>
      <c r="C202" s="116"/>
      <c r="D202" s="116"/>
      <c r="E202" s="116"/>
      <c r="F202" s="116"/>
      <c r="G202" s="116"/>
      <c r="H202" s="116"/>
      <c r="I202" s="116"/>
      <c r="J202" s="116"/>
      <c r="K202" s="116"/>
    </row>
    <row r="203" spans="1:11">
      <c r="A203" s="116"/>
      <c r="B203" s="117"/>
      <c r="C203" s="116"/>
      <c r="D203" s="116"/>
      <c r="E203" s="116"/>
      <c r="F203" s="116"/>
      <c r="G203" s="116"/>
      <c r="H203" s="116"/>
      <c r="I203" s="116"/>
      <c r="J203" s="116"/>
      <c r="K203" s="116"/>
    </row>
    <row r="204" spans="1:11">
      <c r="A204" s="116"/>
      <c r="B204" s="117"/>
      <c r="C204" s="116"/>
      <c r="D204" s="116"/>
      <c r="E204" s="116"/>
      <c r="F204" s="116"/>
      <c r="G204" s="116"/>
      <c r="H204" s="116"/>
      <c r="I204" s="116"/>
      <c r="J204" s="116"/>
      <c r="K204" s="116"/>
    </row>
    <row r="205" spans="1:11">
      <c r="A205" s="116"/>
      <c r="B205" s="117"/>
      <c r="C205" s="116"/>
      <c r="D205" s="116"/>
      <c r="E205" s="116"/>
      <c r="F205" s="116"/>
      <c r="G205" s="116"/>
      <c r="H205" s="116"/>
      <c r="I205" s="116"/>
      <c r="J205" s="116"/>
      <c r="K205" s="116"/>
    </row>
    <row r="206" spans="1:11">
      <c r="A206" s="116"/>
      <c r="B206" s="117"/>
      <c r="C206" s="116"/>
      <c r="D206" s="116"/>
      <c r="E206" s="116"/>
      <c r="F206" s="116"/>
      <c r="G206" s="116"/>
      <c r="H206" s="116"/>
      <c r="I206" s="116"/>
      <c r="J206" s="116"/>
      <c r="K206" s="116"/>
    </row>
    <row r="207" spans="1:11">
      <c r="A207" s="116"/>
      <c r="B207" s="117"/>
      <c r="C207" s="116"/>
      <c r="D207" s="116"/>
      <c r="E207" s="116"/>
      <c r="F207" s="116"/>
      <c r="G207" s="116"/>
      <c r="H207" s="116"/>
      <c r="I207" s="116"/>
      <c r="J207" s="116"/>
      <c r="K207" s="116"/>
    </row>
    <row r="208" spans="1:11">
      <c r="A208" s="116"/>
      <c r="B208" s="117"/>
      <c r="C208" s="116"/>
      <c r="D208" s="116"/>
      <c r="E208" s="116"/>
      <c r="F208" s="116"/>
      <c r="G208" s="116"/>
      <c r="H208" s="116"/>
      <c r="I208" s="116"/>
      <c r="J208" s="116"/>
      <c r="K208" s="116"/>
    </row>
    <row r="209" spans="1:11">
      <c r="A209" s="116"/>
      <c r="B209" s="117"/>
      <c r="C209" s="116"/>
      <c r="D209" s="116"/>
      <c r="E209" s="116"/>
      <c r="F209" s="116"/>
      <c r="G209" s="116"/>
      <c r="H209" s="116"/>
      <c r="I209" s="116"/>
      <c r="J209" s="116"/>
      <c r="K209" s="116"/>
    </row>
    <row r="210" spans="1:11">
      <c r="A210" s="116"/>
      <c r="B210" s="117"/>
      <c r="C210" s="116"/>
      <c r="D210" s="116"/>
      <c r="E210" s="116"/>
      <c r="F210" s="116"/>
      <c r="G210" s="116"/>
      <c r="H210" s="116"/>
      <c r="I210" s="116"/>
      <c r="J210" s="116"/>
      <c r="K210" s="116"/>
    </row>
    <row r="211" spans="1:11">
      <c r="A211" s="116"/>
      <c r="B211" s="117"/>
      <c r="C211" s="116"/>
      <c r="D211" s="116"/>
      <c r="E211" s="116"/>
      <c r="F211" s="116"/>
      <c r="G211" s="116"/>
      <c r="H211" s="116"/>
      <c r="I211" s="116"/>
      <c r="J211" s="116"/>
      <c r="K211" s="116"/>
    </row>
    <row r="212" spans="1:11">
      <c r="A212" s="116"/>
      <c r="B212" s="117"/>
      <c r="C212" s="116"/>
      <c r="D212" s="116"/>
      <c r="E212" s="116"/>
      <c r="F212" s="116"/>
      <c r="G212" s="116"/>
      <c r="H212" s="116"/>
      <c r="I212" s="116"/>
      <c r="J212" s="116"/>
      <c r="K212" s="116"/>
    </row>
    <row r="213" spans="1:11">
      <c r="A213" s="116"/>
      <c r="B213" s="117"/>
      <c r="C213" s="116"/>
      <c r="D213" s="116"/>
      <c r="E213" s="116"/>
      <c r="F213" s="116"/>
      <c r="G213" s="116"/>
      <c r="H213" s="116"/>
      <c r="I213" s="116"/>
      <c r="J213" s="116"/>
      <c r="K213" s="116"/>
    </row>
    <row r="214" spans="1:11">
      <c r="A214" s="116"/>
      <c r="B214" s="117"/>
      <c r="C214" s="116"/>
      <c r="D214" s="116"/>
      <c r="E214" s="116"/>
      <c r="F214" s="116"/>
      <c r="G214" s="116"/>
      <c r="H214" s="116"/>
      <c r="I214" s="116"/>
      <c r="J214" s="116"/>
      <c r="K214" s="116"/>
    </row>
    <row r="215" spans="1:11">
      <c r="A215" s="116"/>
      <c r="B215" s="117"/>
      <c r="C215" s="116"/>
      <c r="D215" s="116"/>
      <c r="E215" s="116"/>
      <c r="F215" s="116"/>
      <c r="G215" s="116"/>
      <c r="H215" s="116"/>
      <c r="I215" s="116"/>
      <c r="J215" s="116"/>
      <c r="K215" s="116"/>
    </row>
    <row r="216" spans="1:11">
      <c r="A216" s="116"/>
      <c r="B216" s="117"/>
      <c r="C216" s="116"/>
      <c r="D216" s="116"/>
      <c r="E216" s="116"/>
      <c r="F216" s="116"/>
      <c r="G216" s="116"/>
      <c r="H216" s="116"/>
      <c r="I216" s="116"/>
      <c r="J216" s="116"/>
      <c r="K216" s="116"/>
    </row>
    <row r="217" spans="1:11">
      <c r="A217" s="116"/>
      <c r="B217" s="117"/>
      <c r="C217" s="116"/>
      <c r="D217" s="116"/>
      <c r="E217" s="116"/>
      <c r="F217" s="116"/>
      <c r="G217" s="116"/>
      <c r="H217" s="116"/>
      <c r="I217" s="116"/>
      <c r="J217" s="116"/>
      <c r="K217" s="116"/>
    </row>
  </sheetData>
  <sheetProtection selectLockedCells="1"/>
  <mergeCells count="3">
    <mergeCell ref="A3:A4"/>
    <mergeCell ref="B3:B4"/>
    <mergeCell ref="C3:C4"/>
  </mergeCells>
  <phoneticPr fontId="30" type="noConversion"/>
  <conditionalFormatting sqref="B5">
    <cfRule type="expression" dxfId="23" priority="24" stopIfTrue="1">
      <formula>AND(COUNTIF($Z$55:$Z$56, B5)&gt;1,NOT(ISBLANK(B5)))</formula>
    </cfRule>
  </conditionalFormatting>
  <conditionalFormatting sqref="B5:B12">
    <cfRule type="expression" dxfId="22" priority="23" stopIfTrue="1">
      <formula>AND(COUNTIF($Z$6:$Z$56, B5)+COUNTIF($N$5:$N$71, B5)&gt;1,NOT(ISBLANK(B5)))</formula>
    </cfRule>
  </conditionalFormatting>
  <conditionalFormatting sqref="B8">
    <cfRule type="expression" dxfId="21" priority="22" stopIfTrue="1">
      <formula>AND(COUNTIF($N$60:$N$60, B8)&gt;1,NOT(ISBLANK(B8)))</formula>
    </cfRule>
  </conditionalFormatting>
  <conditionalFormatting sqref="B8 B10:B11">
    <cfRule type="expression" dxfId="20" priority="21" stopIfTrue="1">
      <formula>AND(COUNTIF($N$53:$N$53, B8)&gt;1,NOT(ISBLANK(B8)))</formula>
    </cfRule>
  </conditionalFormatting>
  <conditionalFormatting sqref="B6">
    <cfRule type="expression" dxfId="19" priority="20" stopIfTrue="1">
      <formula>AND(COUNTIF($N$57:$N$57, B6)&gt;1,NOT(ISBLANK(B6)))</formula>
    </cfRule>
  </conditionalFormatting>
  <conditionalFormatting sqref="B8">
    <cfRule type="expression" dxfId="18" priority="19" stopIfTrue="1">
      <formula>AND(COUNTIF($N$61:$N$61, B8)&gt;1,NOT(ISBLANK(B8)))</formula>
    </cfRule>
  </conditionalFormatting>
  <conditionalFormatting sqref="B6">
    <cfRule type="expression" dxfId="17" priority="18" stopIfTrue="1">
      <formula>AND(COUNTIF($N$58:$N$58, B6)&gt;1,NOT(ISBLANK(B6)))</formula>
    </cfRule>
  </conditionalFormatting>
  <conditionalFormatting sqref="B5:B12">
    <cfRule type="expression" dxfId="16" priority="17" stopIfTrue="1">
      <formula>AND(COUNTIF($Z$7:$Z$73, B5)+COUNTIF($N$6:$N$80, B5)&gt;1,NOT(ISBLANK(B5)))</formula>
    </cfRule>
  </conditionalFormatting>
  <conditionalFormatting sqref="B5:B12">
    <cfRule type="expression" dxfId="15" priority="16" stopIfTrue="1">
      <formula>AND(COUNTIF($Z$3:$Z$80, B5)+COUNTIF($N$3:$N$88, B5)&gt;1,NOT(ISBLANK(B5)))</formula>
    </cfRule>
  </conditionalFormatting>
  <conditionalFormatting sqref="B5:B12">
    <cfRule type="expression" dxfId="14" priority="15" stopIfTrue="1">
      <formula>AND(COUNTIF($Z$6:$Z$80, B5)+COUNTIF($N$5:$N$88, B5)&gt;1,NOT(ISBLANK(B5)))</formula>
    </cfRule>
  </conditionalFormatting>
  <conditionalFormatting sqref="B10:B11 B8">
    <cfRule type="duplicateValues" dxfId="13" priority="14" stopIfTrue="1"/>
  </conditionalFormatting>
  <conditionalFormatting sqref="B5:B12">
    <cfRule type="duplicateValues" dxfId="12" priority="13"/>
  </conditionalFormatting>
  <conditionalFormatting sqref="B45">
    <cfRule type="expression" dxfId="11" priority="12" stopIfTrue="1">
      <formula>AND(COUNTIF($Z$6:$Z$56, B45)+COUNTIF($N$5:$N$71, B45)&gt;1,NOT(ISBLANK(B45)))</formula>
    </cfRule>
  </conditionalFormatting>
  <conditionalFormatting sqref="B45">
    <cfRule type="expression" dxfId="10" priority="11" stopIfTrue="1">
      <formula>AND(COUNTIF($N$53:$N$53, B45)&gt;1,NOT(ISBLANK(B45)))</formula>
    </cfRule>
  </conditionalFormatting>
  <conditionalFormatting sqref="B45">
    <cfRule type="expression" dxfId="9" priority="10" stopIfTrue="1">
      <formula>AND(COUNTIF($Z$7:$Z$73, B45)+COUNTIF($N$6:$N$80, B45)&gt;1,NOT(ISBLANK(B45)))</formula>
    </cfRule>
  </conditionalFormatting>
  <conditionalFormatting sqref="B45">
    <cfRule type="expression" dxfId="8" priority="9" stopIfTrue="1">
      <formula>AND(COUNTIF($Z$3:$Z$80, B45)+COUNTIF($N$3:$N$88, B45)&gt;1,NOT(ISBLANK(B45)))</formula>
    </cfRule>
  </conditionalFormatting>
  <conditionalFormatting sqref="B45">
    <cfRule type="expression" dxfId="7" priority="8" stopIfTrue="1">
      <formula>AND(COUNTIF($Z$6:$Z$80, B45)+COUNTIF($N$5:$N$88, B45)&gt;1,NOT(ISBLANK(B45)))</formula>
    </cfRule>
  </conditionalFormatting>
  <conditionalFormatting sqref="B45">
    <cfRule type="duplicateValues" dxfId="6" priority="7" stopIfTrue="1"/>
  </conditionalFormatting>
  <conditionalFormatting sqref="B45">
    <cfRule type="duplicateValues" dxfId="5" priority="6"/>
  </conditionalFormatting>
  <conditionalFormatting sqref="B46">
    <cfRule type="expression" dxfId="4" priority="5" stopIfTrue="1">
      <formula>AND(COUNTIF($Z$6:$Z$56, B46)+COUNTIF($N$5:$N$71, B46)&gt;1,NOT(ISBLANK(B46)))</formula>
    </cfRule>
  </conditionalFormatting>
  <conditionalFormatting sqref="B46">
    <cfRule type="expression" dxfId="3" priority="4" stopIfTrue="1">
      <formula>AND(COUNTIF($Z$7:$Z$73, B46)+COUNTIF($N$6:$N$80, B46)&gt;1,NOT(ISBLANK(B46)))</formula>
    </cfRule>
  </conditionalFormatting>
  <conditionalFormatting sqref="B46">
    <cfRule type="expression" dxfId="2" priority="3" stopIfTrue="1">
      <formula>AND(COUNTIF($Z$3:$Z$80, B46)+COUNTIF($N$3:$N$88, B46)&gt;1,NOT(ISBLANK(B46)))</formula>
    </cfRule>
  </conditionalFormatting>
  <conditionalFormatting sqref="B46">
    <cfRule type="expression" dxfId="1" priority="2" stopIfTrue="1">
      <formula>AND(COUNTIF($Z$6:$Z$80, B46)+COUNTIF($N$5:$N$88, B46)&gt;1,NOT(ISBLANK(B46)))</formula>
    </cfRule>
  </conditionalFormatting>
  <conditionalFormatting sqref="B46">
    <cfRule type="duplicateValues" dxfId="0" priority="1"/>
  </conditionalFormatting>
  <printOptions horizontalCentered="1"/>
  <pageMargins left="0.35433070866141736" right="0.35433070866141736" top="0.59055118110236227" bottom="0.59055118110236227" header="0.51181102362204722" footer="0.51181102362204722"/>
  <pageSetup paperSize="12" orientation="portrait" horizontalDpi="4294967292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9</vt:i4>
      </vt:variant>
    </vt:vector>
  </HeadingPairs>
  <TitlesOfParts>
    <vt:vector size="18" baseType="lpstr">
      <vt:lpstr>一周菜单</vt:lpstr>
      <vt:lpstr>主食成本核算</vt:lpstr>
      <vt:lpstr>热菜成本核算</vt:lpstr>
      <vt:lpstr>凉菜成本核算</vt:lpstr>
      <vt:lpstr>小吃成本核算</vt:lpstr>
      <vt:lpstr>采购价格</vt:lpstr>
      <vt:lpstr>热菜投料</vt:lpstr>
      <vt:lpstr>小吃投料</vt:lpstr>
      <vt:lpstr>凉菜投料</vt:lpstr>
      <vt:lpstr>一周菜单!Print_Titles</vt:lpstr>
      <vt:lpstr>本周晚菜</vt:lpstr>
      <vt:lpstr>本周午菜</vt:lpstr>
      <vt:lpstr>成本单价</vt:lpstr>
      <vt:lpstr>凉菜定价</vt:lpstr>
      <vt:lpstr>凉菜成本核算!凉菜价</vt:lpstr>
      <vt:lpstr>热菜核算</vt:lpstr>
      <vt:lpstr>小吃定价</vt:lpstr>
      <vt:lpstr>主食定价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lxnn</cp:lastModifiedBy>
  <cp:lastPrinted>2012-06-26T11:28:26Z</cp:lastPrinted>
  <dcterms:created xsi:type="dcterms:W3CDTF">1996-12-17T01:32:42Z</dcterms:created>
  <dcterms:modified xsi:type="dcterms:W3CDTF">2012-06-28T11:31:41Z</dcterms:modified>
</cp:coreProperties>
</file>